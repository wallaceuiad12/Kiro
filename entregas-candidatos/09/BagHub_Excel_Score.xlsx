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0" documentId="8_{B35C4D40-86A2-4DB7-8A67-60CDA99950C5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Rentabilidade" sheetId="1" r:id="rId1"/>
    <sheet name="Score" sheetId="3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G9" i="3"/>
  <c r="H9" i="3"/>
  <c r="I9" i="3"/>
  <c r="J9" i="3"/>
  <c r="K9" i="3"/>
  <c r="L9" i="3"/>
  <c r="E9" i="3"/>
  <c r="J3" i="3"/>
  <c r="K3" i="3"/>
  <c r="L3" i="3"/>
  <c r="I3" i="3"/>
  <c r="B61" i="1"/>
  <c r="A66" i="1"/>
  <c r="A63" i="1"/>
  <c r="A67" i="1"/>
  <c r="A64" i="1"/>
  <c r="A68" i="1"/>
  <c r="A65" i="1"/>
  <c r="A69" i="1"/>
  <c r="A62" i="1"/>
  <c r="A49" i="1"/>
  <c r="A48" i="1"/>
  <c r="A47" i="1"/>
  <c r="A46" i="1"/>
  <c r="E21" i="1"/>
  <c r="E20" i="1"/>
  <c r="E19" i="1"/>
  <c r="E18" i="1"/>
  <c r="E14" i="1"/>
  <c r="C14" i="1"/>
  <c r="E13" i="1"/>
  <c r="C13" i="1"/>
  <c r="E12" i="1"/>
  <c r="C12" i="1"/>
  <c r="E11" i="1"/>
  <c r="C11" i="1"/>
  <c r="H7" i="1"/>
  <c r="E7" i="1"/>
  <c r="D7" i="1"/>
  <c r="F7" i="1" s="1"/>
  <c r="H6" i="1"/>
  <c r="F6" i="1"/>
  <c r="E6" i="1"/>
  <c r="H5" i="1"/>
  <c r="E5" i="1"/>
  <c r="D5" i="1"/>
  <c r="F5" i="1" s="1"/>
  <c r="H4" i="1"/>
  <c r="E4" i="1"/>
  <c r="D4" i="1"/>
  <c r="F4" i="1" s="1"/>
  <c r="I4" i="1" l="1"/>
  <c r="I5" i="1"/>
  <c r="I6" i="1"/>
  <c r="I7" i="1"/>
  <c r="F11" i="1"/>
  <c r="C32" i="1" s="1"/>
  <c r="F12" i="1"/>
  <c r="C33" i="1" s="1"/>
  <c r="F13" i="1"/>
  <c r="C34" i="1" s="1"/>
  <c r="F14" i="1"/>
  <c r="C35" i="1" s="1"/>
  <c r="B25" i="1"/>
  <c r="B26" i="1"/>
  <c r="B27" i="1"/>
  <c r="B28" i="1"/>
  <c r="B35" i="1" l="1"/>
  <c r="D35" i="1" s="1"/>
  <c r="B69" i="1" s="1"/>
  <c r="B34" i="1"/>
  <c r="D34" i="1" s="1"/>
  <c r="B68" i="1" s="1"/>
  <c r="B33" i="1"/>
  <c r="D33" i="1" s="1"/>
  <c r="B67" i="1" s="1"/>
  <c r="B32" i="1"/>
  <c r="D32" i="1" s="1"/>
  <c r="B66" i="1" s="1"/>
  <c r="C28" i="1"/>
  <c r="D28" i="1" s="1"/>
  <c r="B65" i="1" s="1"/>
  <c r="J7" i="1"/>
  <c r="E28" i="1" s="1"/>
  <c r="F28" i="1" s="1"/>
  <c r="C65" i="1" s="1"/>
  <c r="C27" i="1"/>
  <c r="D27" i="1" s="1"/>
  <c r="B64" i="1" s="1"/>
  <c r="J6" i="1"/>
  <c r="E27" i="1" s="1"/>
  <c r="F27" i="1" s="1"/>
  <c r="C64" i="1" s="1"/>
  <c r="C26" i="1"/>
  <c r="D26" i="1" s="1"/>
  <c r="B63" i="1" s="1"/>
  <c r="J5" i="1"/>
  <c r="E26" i="1" s="1"/>
  <c r="F26" i="1" s="1"/>
  <c r="C63" i="1" s="1"/>
  <c r="C25" i="1"/>
  <c r="D25" i="1" s="1"/>
  <c r="B62" i="1" s="1"/>
  <c r="J4" i="1"/>
  <c r="E25" i="1" s="1"/>
  <c r="F25" i="1" s="1"/>
  <c r="D46" i="1" l="1"/>
  <c r="C62" i="1"/>
  <c r="D47" i="1"/>
  <c r="D48" i="1"/>
  <c r="D49" i="1"/>
  <c r="B46" i="1"/>
  <c r="B47" i="1"/>
  <c r="B48" i="1"/>
  <c r="B56" i="1" s="1"/>
  <c r="B49" i="1"/>
  <c r="B58" i="1" s="1"/>
  <c r="E46" i="1"/>
  <c r="C46" i="1"/>
  <c r="B53" i="1" s="1"/>
  <c r="C39" i="1"/>
  <c r="B39" i="1"/>
  <c r="D39" i="1" s="1"/>
  <c r="E47" i="1"/>
  <c r="C47" i="1"/>
  <c r="B55" i="1" s="1"/>
  <c r="C40" i="1"/>
  <c r="B40" i="1"/>
  <c r="D40" i="1" s="1"/>
  <c r="E48" i="1"/>
  <c r="C48" i="1"/>
  <c r="B57" i="1" s="1"/>
  <c r="C41" i="1"/>
  <c r="B41" i="1"/>
  <c r="D41" i="1" s="1"/>
  <c r="E49" i="1"/>
  <c r="C49" i="1"/>
  <c r="B59" i="1" s="1"/>
  <c r="C42" i="1"/>
  <c r="B42" i="1"/>
  <c r="D42" i="1" s="1"/>
  <c r="F59" i="1" l="1"/>
  <c r="E59" i="1"/>
  <c r="D59" i="1"/>
  <c r="C59" i="1"/>
  <c r="F57" i="1"/>
  <c r="E57" i="1"/>
  <c r="D57" i="1"/>
  <c r="C57" i="1"/>
  <c r="F55" i="1"/>
  <c r="E55" i="1"/>
  <c r="D55" i="1"/>
  <c r="C55" i="1"/>
  <c r="F53" i="1"/>
  <c r="E53" i="1"/>
  <c r="D53" i="1"/>
  <c r="C53" i="1"/>
  <c r="C58" i="1"/>
  <c r="D65" i="1" s="1"/>
  <c r="C56" i="1"/>
  <c r="D64" i="1" s="1"/>
  <c r="C54" i="1"/>
  <c r="D63" i="1" s="1"/>
  <c r="B54" i="1"/>
  <c r="C52" i="1"/>
  <c r="D62" i="1" s="1"/>
  <c r="B52" i="1"/>
  <c r="D52" i="1" l="1"/>
  <c r="D54" i="1"/>
  <c r="D56" i="1"/>
  <c r="D58" i="1"/>
  <c r="E58" i="1" l="1"/>
  <c r="E56" i="1"/>
  <c r="E54" i="1"/>
  <c r="E52" i="1"/>
  <c r="F52" i="1" l="1"/>
  <c r="F54" i="1"/>
  <c r="F56" i="1"/>
  <c r="F58" i="1"/>
</calcChain>
</file>

<file path=xl/sharedStrings.xml><?xml version="1.0" encoding="utf-8"?>
<sst xmlns="http://schemas.openxmlformats.org/spreadsheetml/2006/main" count="133" uniqueCount="91">
  <si>
    <t>Custo</t>
  </si>
  <si>
    <t>Modelo armários inteligentes</t>
  </si>
  <si>
    <t>Bairro</t>
  </si>
  <si>
    <t>Posições necessárias</t>
  </si>
  <si>
    <t>Posições por Banco</t>
  </si>
  <si>
    <t xml:space="preserve">Quantidade de bancos necessários </t>
  </si>
  <si>
    <t>Custos dos equipamentos</t>
  </si>
  <si>
    <t xml:space="preserve">Custos dos bancos </t>
  </si>
  <si>
    <t>Custos por posição - Complexidade da operação</t>
  </si>
  <si>
    <t>Custos da operação</t>
  </si>
  <si>
    <t>Custo no primeiro ano</t>
  </si>
  <si>
    <t>Custo nos próximos anos sem o armário</t>
  </si>
  <si>
    <t>Estação Central</t>
  </si>
  <si>
    <t>Centro Histórico</t>
  </si>
  <si>
    <t>Arena</t>
  </si>
  <si>
    <t>Noite alta</t>
  </si>
  <si>
    <t>Modelo pontos parceiros</t>
  </si>
  <si>
    <t>Custo por posição - Complexidade da operação</t>
  </si>
  <si>
    <t xml:space="preserve">Custos das operações </t>
  </si>
  <si>
    <t xml:space="preserve">Custo Total </t>
  </si>
  <si>
    <t>Receita</t>
  </si>
  <si>
    <t>Transações por semana</t>
  </si>
  <si>
    <t>Numero de semanas</t>
  </si>
  <si>
    <t>Cobrança por transação</t>
  </si>
  <si>
    <t>Receita anual por estação</t>
  </si>
  <si>
    <t>Lucro</t>
  </si>
  <si>
    <t>Lucro por estação no primeiro ano</t>
  </si>
  <si>
    <t>Custo nos demais anos</t>
  </si>
  <si>
    <t>Lucro nos demais anos</t>
  </si>
  <si>
    <t>Pontos parceiros</t>
  </si>
  <si>
    <t xml:space="preserve">Custo </t>
  </si>
  <si>
    <t>Lucro anual por estação</t>
  </si>
  <si>
    <t>Diferença de lucro no primeiro ano</t>
  </si>
  <si>
    <t>Diferença nos demais anos</t>
  </si>
  <si>
    <t>Quantos anos pro modelo de armário inteligente superar o modelo de pontos parceiros</t>
  </si>
  <si>
    <t>3 anos</t>
  </si>
  <si>
    <t>5 anos</t>
  </si>
  <si>
    <t>2 anos</t>
  </si>
  <si>
    <t>Lucro primeiro ano</t>
  </si>
  <si>
    <t>Armários inteligentes</t>
  </si>
  <si>
    <t xml:space="preserve">Pontos Parceiros </t>
  </si>
  <si>
    <t xml:space="preserve">Comparação de lucro dos dois modelos nos 4 bairros </t>
  </si>
  <si>
    <t>Ano 1</t>
  </si>
  <si>
    <t>Ano 2</t>
  </si>
  <si>
    <t>Ano 3</t>
  </si>
  <si>
    <t xml:space="preserve">Ano 4 </t>
  </si>
  <si>
    <t>Ano 5</t>
  </si>
  <si>
    <t>Estação Central - Armários</t>
  </si>
  <si>
    <t>Estação Central - Pontos Parceiros</t>
  </si>
  <si>
    <t>Centro Histórico - Armários</t>
  </si>
  <si>
    <t>Centro Histórico - Pontos Parceiros</t>
  </si>
  <si>
    <t>Arena - Armários</t>
  </si>
  <si>
    <t>Arena - Pontos Parceiros</t>
  </si>
  <si>
    <t>Noite alta - Armários</t>
  </si>
  <si>
    <t>Noite alta - Pontos Parceiros</t>
  </si>
  <si>
    <t>Margem operacional (resultado operacional/receita)</t>
  </si>
  <si>
    <t>Apenas ano 2</t>
  </si>
  <si>
    <t>Ano 2 acumulado</t>
  </si>
  <si>
    <t>IDEM</t>
  </si>
  <si>
    <t>Análise score dos bairros</t>
  </si>
  <si>
    <t>Métodos e formulas utilizadas para o calculo do score</t>
  </si>
  <si>
    <t>ANO 1</t>
  </si>
  <si>
    <t>Modelo de Armários</t>
  </si>
  <si>
    <t>Modelo de pontos parceiros</t>
  </si>
  <si>
    <t>Critérios</t>
  </si>
  <si>
    <t>Peso</t>
  </si>
  <si>
    <t>Método de avaliação</t>
  </si>
  <si>
    <t>Estação central</t>
  </si>
  <si>
    <t>Centro histórico</t>
  </si>
  <si>
    <t xml:space="preserve">Margem operacional </t>
  </si>
  <si>
    <t>Percentual do resultado operacional/receita</t>
  </si>
  <si>
    <t>Resultado operacional</t>
  </si>
  <si>
    <t>Valor gerado</t>
  </si>
  <si>
    <t>Utilização da capacidade</t>
  </si>
  <si>
    <t>Quanto da capacidade disponível é utilizada</t>
  </si>
  <si>
    <t>Complexidade operacional</t>
  </si>
  <si>
    <t>Baixa complexidade, maior nota</t>
  </si>
  <si>
    <t>Regularidade da demanda</t>
  </si>
  <si>
    <t>Demanda recorrente recebe maior nota que demanda concentrada</t>
  </si>
  <si>
    <t>Score</t>
  </si>
  <si>
    <t>Bairro e modelo</t>
  </si>
  <si>
    <t>Ano 4</t>
  </si>
  <si>
    <t>Centro – armários</t>
  </si>
  <si>
    <t>Centro – parceiros</t>
  </si>
  <si>
    <t>Estação – armários</t>
  </si>
  <si>
    <t>Estação – parceiros</t>
  </si>
  <si>
    <t>Arena – armários</t>
  </si>
  <si>
    <t>Arena – parceiros</t>
  </si>
  <si>
    <t>Noite Alta – armários</t>
  </si>
  <si>
    <t>Noite Alta – parceiros</t>
  </si>
  <si>
    <t>OBS: para o calculo dos ano 2 até 5 foi adotado a margem isolada de cada ano e o resultado operacional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</si>
</sst>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>
    <font>
      <sz val="11"/>
      <color theme="1"/>
      <name val="Calibri"/>
    </font>
    <font>
      <sz val="11"/>
      <color theme="1"/>
      <name val="Arial"/>
    </font>
    <font>
      <b/>
      <sz val="11"/>
      <color theme="1"/>
      <name val="Arial"/>
    </font>
    <font>
      <b/>
      <sz val="16"/>
      <color theme="1"/>
      <name val="Arial"/>
    </font>
    <font>
      <b/>
      <sz val="16"/>
      <color rgb="FF000000"/>
      <name val="Arial"/>
    </font>
    <font>
      <b/>
      <sz val="14"/>
      <color theme="1"/>
      <name val="Arial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0" fontId="0" fillId="0" borderId="0" xfId="0" applyNumberFormat="1"/>
    <xf numFmtId="164" fontId="1" fillId="0" borderId="0" xfId="0" applyNumberFormat="1" applyFont="1"/>
    <xf numFmtId="0" fontId="1" fillId="0" borderId="0" xfId="0" applyNumberFormat="1" applyFont="1"/>
    <xf numFmtId="2" fontId="1" fillId="0" borderId="0" xfId="0" applyNumberFormat="1" applyFont="1"/>
    <xf numFmtId="164" fontId="2" fillId="0" borderId="0" xfId="0" applyNumberFormat="1" applyFont="1"/>
    <xf numFmtId="164" fontId="2" fillId="2" borderId="0" xfId="0" applyNumberFormat="1" applyFont="1" applyFill="1"/>
    <xf numFmtId="10" fontId="0" fillId="0" borderId="0" xfId="0" applyNumberFormat="1"/>
    <xf numFmtId="9" fontId="0" fillId="0" borderId="0" xfId="0" applyNumberFormat="1"/>
    <xf numFmtId="0" fontId="0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0" xfId="0" applyFont="1" applyFill="1"/>
    <xf numFmtId="2" fontId="0" fillId="0" borderId="0" xfId="0" applyNumberFormat="1" applyFont="1"/>
    <xf numFmtId="2" fontId="6" fillId="0" borderId="0" xfId="0" applyNumberFormat="1" applyFont="1"/>
    <xf numFmtId="0" fontId="0" fillId="0" borderId="0" xfId="0" applyAlignment="1"/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/>
    </xf>
    <xf numFmtId="0" fontId="5" fillId="6" borderId="0" xfId="0" applyFont="1" applyFill="1" applyAlignme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6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590550</xdr:colOff>
      <xdr:row>0</xdr:row>
      <xdr:rowOff>219075</xdr:rowOff>
    </xdr:from>
    <xdr:to>
      <xdr:col>22</xdr:col>
      <xdr:colOff>0</xdr:colOff>
      <xdr:row>30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A3D7C48-969D-7953-073E-C92955A3526A}"/>
            </a:ext>
            <a:ext uri="{147F2762-F138-4A5C-976F-8EAC2B608ADB}">
              <a16:predDERef xmlns:a16="http://schemas.microsoft.com/office/drawing/2014/main" pred="{7ED95FCF-8692-9F60-0464-DB6A1BBCC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01775" y="219075"/>
          <a:ext cx="4895850" cy="5534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opLeftCell="A39" zoomScaleNormal="100" zoomScaleSheetLayoutView="100" workbookViewId="0">
      <selection activeCell="C75" sqref="C75"/>
    </sheetView>
  </sheetViews>
  <sheetFormatPr defaultRowHeight="15"/>
  <cols>
    <col min="1" max="1" width="35.42578125" customWidth="1"/>
    <col min="2" max="2" width="34.7109375" customWidth="1"/>
    <col min="3" max="3" width="40.5703125" bestFit="1" customWidth="1"/>
    <col min="4" max="4" width="86" customWidth="1"/>
    <col min="5" max="5" width="26.42578125" customWidth="1"/>
    <col min="6" max="6" width="23.5703125" customWidth="1"/>
    <col min="7" max="7" width="48.7109375" customWidth="1"/>
    <col min="8" max="8" width="20.5703125" customWidth="1"/>
    <col min="9" max="9" width="22.5703125" customWidth="1"/>
    <col min="10" max="10" width="40.42578125" customWidth="1"/>
  </cols>
  <sheetData>
    <row r="1" spans="1:10" ht="2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8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3"/>
    </row>
    <row r="3" spans="1:1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6" t="s">
        <v>10</v>
      </c>
      <c r="J3" s="6" t="s">
        <v>11</v>
      </c>
    </row>
    <row r="4" spans="1:10">
      <c r="A4" s="3" t="s">
        <v>12</v>
      </c>
      <c r="B4" s="3">
        <v>2400</v>
      </c>
      <c r="C4" s="4">
        <v>40</v>
      </c>
      <c r="D4" s="4">
        <f>B4/C4</f>
        <v>60</v>
      </c>
      <c r="E4" s="3">
        <f>B4*1400</f>
        <v>3360000</v>
      </c>
      <c r="F4" s="3">
        <f>D4*70000</f>
        <v>4200000</v>
      </c>
      <c r="G4" s="3">
        <v>1400</v>
      </c>
      <c r="H4" s="3">
        <f>B4*G4</f>
        <v>3360000</v>
      </c>
      <c r="I4" s="3">
        <f>E4+F4+H4</f>
        <v>10920000</v>
      </c>
      <c r="J4" s="3">
        <f>I4-F4</f>
        <v>6720000</v>
      </c>
    </row>
    <row r="5" spans="1:10">
      <c r="A5" s="3" t="s">
        <v>13</v>
      </c>
      <c r="B5" s="3">
        <v>1000</v>
      </c>
      <c r="C5" s="4">
        <v>40</v>
      </c>
      <c r="D5" s="4">
        <f t="shared" ref="D5:D7" si="0">B5/C5</f>
        <v>25</v>
      </c>
      <c r="E5" s="3">
        <f t="shared" ref="E5:E7" si="1">B5*1400</f>
        <v>1400000</v>
      </c>
      <c r="F5" s="3">
        <f>D5*70000</f>
        <v>1750000</v>
      </c>
      <c r="G5" s="3">
        <v>700</v>
      </c>
      <c r="H5" s="3">
        <f t="shared" ref="H5:H7" si="2">B5*G5</f>
        <v>700000</v>
      </c>
      <c r="I5" s="3">
        <f t="shared" ref="I5:I7" si="3">E5+F5+H5</f>
        <v>3850000</v>
      </c>
      <c r="J5" s="3">
        <f t="shared" ref="J5:J7" si="4">I5-F5</f>
        <v>2100000</v>
      </c>
    </row>
    <row r="6" spans="1:10">
      <c r="A6" s="3" t="s">
        <v>14</v>
      </c>
      <c r="B6" s="3">
        <v>900</v>
      </c>
      <c r="C6" s="4">
        <v>40</v>
      </c>
      <c r="D6" s="4">
        <v>23</v>
      </c>
      <c r="E6" s="3">
        <f t="shared" si="1"/>
        <v>1260000</v>
      </c>
      <c r="F6" s="3">
        <f t="shared" ref="F6:F7" si="5">D6*70000</f>
        <v>1610000</v>
      </c>
      <c r="G6" s="3">
        <v>1400</v>
      </c>
      <c r="H6" s="3">
        <f t="shared" si="2"/>
        <v>1260000</v>
      </c>
      <c r="I6" s="3">
        <f t="shared" si="3"/>
        <v>4130000</v>
      </c>
      <c r="J6" s="3">
        <f t="shared" si="4"/>
        <v>2520000</v>
      </c>
    </row>
    <row r="7" spans="1:10">
      <c r="A7" s="3" t="s">
        <v>15</v>
      </c>
      <c r="B7" s="3">
        <v>1800</v>
      </c>
      <c r="C7" s="4">
        <v>40</v>
      </c>
      <c r="D7" s="4">
        <f t="shared" si="0"/>
        <v>45</v>
      </c>
      <c r="E7" s="3">
        <f t="shared" si="1"/>
        <v>2520000</v>
      </c>
      <c r="F7" s="3">
        <f t="shared" si="5"/>
        <v>3150000</v>
      </c>
      <c r="G7" s="3">
        <v>3200</v>
      </c>
      <c r="H7" s="3">
        <f t="shared" si="2"/>
        <v>5760000</v>
      </c>
      <c r="I7" s="3">
        <f t="shared" si="3"/>
        <v>11430000</v>
      </c>
      <c r="J7" s="3">
        <f t="shared" si="4"/>
        <v>8280000</v>
      </c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18">
      <c r="A9" s="29" t="s">
        <v>16</v>
      </c>
      <c r="B9" s="29"/>
      <c r="C9" s="29"/>
      <c r="D9" s="29"/>
      <c r="E9" s="29"/>
      <c r="F9" s="29"/>
      <c r="G9" s="29"/>
      <c r="H9" s="29"/>
      <c r="I9" s="29"/>
      <c r="J9" s="3"/>
    </row>
    <row r="10" spans="1:10">
      <c r="A10" s="3" t="s">
        <v>2</v>
      </c>
      <c r="B10" s="3" t="s">
        <v>3</v>
      </c>
      <c r="C10" s="3" t="s">
        <v>6</v>
      </c>
      <c r="D10" s="3" t="s">
        <v>17</v>
      </c>
      <c r="E10" s="3" t="s">
        <v>18</v>
      </c>
      <c r="F10" s="6" t="s">
        <v>19</v>
      </c>
      <c r="G10" s="3"/>
      <c r="H10" s="3"/>
      <c r="I10" s="3"/>
      <c r="J10" s="3"/>
    </row>
    <row r="11" spans="1:10">
      <c r="A11" s="3" t="s">
        <v>12</v>
      </c>
      <c r="B11" s="3">
        <v>2400</v>
      </c>
      <c r="C11" s="3">
        <f>B11*1400</f>
        <v>3360000</v>
      </c>
      <c r="D11" s="3">
        <v>2000</v>
      </c>
      <c r="E11" s="3">
        <f>B11*D11</f>
        <v>4800000</v>
      </c>
      <c r="F11" s="3">
        <f>C11+E11</f>
        <v>8160000</v>
      </c>
      <c r="G11" s="3"/>
      <c r="H11" s="3"/>
      <c r="I11" s="3"/>
      <c r="J11" s="3"/>
    </row>
    <row r="12" spans="1:10">
      <c r="A12" s="3" t="s">
        <v>13</v>
      </c>
      <c r="B12" s="3">
        <v>1000</v>
      </c>
      <c r="C12" s="3">
        <f t="shared" ref="C12:C14" si="6">B12*1400</f>
        <v>1400000</v>
      </c>
      <c r="D12" s="3">
        <v>1100</v>
      </c>
      <c r="E12" s="3">
        <f t="shared" ref="E12:E14" si="7">B12*D12</f>
        <v>1100000</v>
      </c>
      <c r="F12" s="3">
        <f t="shared" ref="F12:F14" si="8">C12+E12</f>
        <v>2500000</v>
      </c>
      <c r="G12" s="3"/>
      <c r="H12" s="3"/>
      <c r="I12" s="3"/>
      <c r="J12" s="3"/>
    </row>
    <row r="13" spans="1:10">
      <c r="A13" s="3" t="s">
        <v>14</v>
      </c>
      <c r="B13" s="3">
        <v>900</v>
      </c>
      <c r="C13" s="3">
        <f t="shared" si="6"/>
        <v>1260000</v>
      </c>
      <c r="D13" s="3">
        <v>2000</v>
      </c>
      <c r="E13" s="3">
        <f t="shared" si="7"/>
        <v>1800000</v>
      </c>
      <c r="F13" s="3">
        <f t="shared" si="8"/>
        <v>3060000</v>
      </c>
      <c r="G13" s="3"/>
      <c r="H13" s="3"/>
      <c r="I13" s="3"/>
      <c r="J13" s="3"/>
    </row>
    <row r="14" spans="1:10">
      <c r="A14" s="3" t="s">
        <v>15</v>
      </c>
      <c r="B14" s="3">
        <v>1800</v>
      </c>
      <c r="C14" s="3">
        <f t="shared" si="6"/>
        <v>2520000</v>
      </c>
      <c r="D14" s="3">
        <v>4600</v>
      </c>
      <c r="E14" s="3">
        <f t="shared" si="7"/>
        <v>8280000</v>
      </c>
      <c r="F14" s="3">
        <f t="shared" si="8"/>
        <v>10800000</v>
      </c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20.25">
      <c r="A16" s="31" t="s">
        <v>20</v>
      </c>
      <c r="B16" s="31"/>
      <c r="C16" s="31"/>
      <c r="D16" s="31"/>
      <c r="E16" s="31"/>
      <c r="F16" s="31"/>
      <c r="G16" s="31"/>
      <c r="H16" s="31"/>
      <c r="I16" s="31"/>
      <c r="J16" s="31"/>
    </row>
    <row r="17" spans="1:10">
      <c r="A17" s="3" t="s">
        <v>2</v>
      </c>
      <c r="B17" s="3" t="s">
        <v>21</v>
      </c>
      <c r="C17" s="3" t="s">
        <v>22</v>
      </c>
      <c r="D17" s="3" t="s">
        <v>23</v>
      </c>
      <c r="E17" s="7" t="s">
        <v>24</v>
      </c>
      <c r="F17" s="3"/>
      <c r="G17" s="3"/>
      <c r="H17" s="3"/>
      <c r="I17" s="3"/>
      <c r="J17" s="3"/>
    </row>
    <row r="18" spans="1:10">
      <c r="A18" s="3" t="s">
        <v>12</v>
      </c>
      <c r="B18" s="4">
        <v>24000</v>
      </c>
      <c r="C18" s="4">
        <v>50</v>
      </c>
      <c r="D18" s="3">
        <v>30</v>
      </c>
      <c r="E18" s="3">
        <f>B18*C18*D18</f>
        <v>36000000</v>
      </c>
      <c r="F18" s="3"/>
      <c r="G18" s="3"/>
      <c r="H18" s="3"/>
      <c r="I18" s="3"/>
      <c r="J18" s="3"/>
    </row>
    <row r="19" spans="1:10">
      <c r="A19" s="3" t="s">
        <v>13</v>
      </c>
      <c r="B19" s="4">
        <v>18000</v>
      </c>
      <c r="C19" s="4">
        <v>50</v>
      </c>
      <c r="D19" s="3">
        <v>30</v>
      </c>
      <c r="E19" s="3">
        <f t="shared" ref="E19:E21" si="9">B19*C19*D19</f>
        <v>27000000</v>
      </c>
      <c r="F19" s="3"/>
      <c r="G19" s="3"/>
      <c r="H19" s="3"/>
      <c r="I19" s="3"/>
      <c r="J19" s="3"/>
    </row>
    <row r="20" spans="1:10">
      <c r="A20" s="3" t="s">
        <v>14</v>
      </c>
      <c r="B20" s="4">
        <v>12000</v>
      </c>
      <c r="C20" s="4">
        <v>50</v>
      </c>
      <c r="D20" s="3">
        <v>30</v>
      </c>
      <c r="E20" s="3">
        <f t="shared" si="9"/>
        <v>18000000</v>
      </c>
      <c r="F20" s="3"/>
      <c r="G20" s="3"/>
      <c r="H20" s="3"/>
      <c r="I20" s="3"/>
      <c r="J20" s="3"/>
    </row>
    <row r="21" spans="1:10">
      <c r="A21" s="3" t="s">
        <v>15</v>
      </c>
      <c r="B21" s="4">
        <v>20000</v>
      </c>
      <c r="C21" s="4">
        <v>50</v>
      </c>
      <c r="D21" s="3">
        <v>30</v>
      </c>
      <c r="E21" s="3">
        <f t="shared" si="9"/>
        <v>30000000</v>
      </c>
      <c r="F21" s="3"/>
      <c r="G21" s="3"/>
      <c r="H21" s="3"/>
      <c r="I21" s="3"/>
      <c r="J21" s="3"/>
    </row>
    <row r="22" spans="1:10" ht="20.25">
      <c r="A22" s="31" t="s">
        <v>25</v>
      </c>
      <c r="B22" s="31"/>
      <c r="C22" s="31"/>
      <c r="D22" s="31"/>
      <c r="E22" s="31"/>
      <c r="F22" s="31"/>
      <c r="G22" s="31"/>
      <c r="H22" s="31"/>
      <c r="I22" s="31"/>
      <c r="J22" s="3"/>
    </row>
    <row r="23" spans="1:10" ht="18">
      <c r="A23" s="29" t="s">
        <v>1</v>
      </c>
      <c r="B23" s="29"/>
      <c r="C23" s="29"/>
      <c r="D23" s="29"/>
      <c r="E23" s="29"/>
      <c r="F23" s="29"/>
      <c r="G23" s="29"/>
      <c r="H23" s="29"/>
      <c r="I23" s="29"/>
      <c r="J23" s="29"/>
    </row>
    <row r="24" spans="1:10">
      <c r="A24" s="3"/>
      <c r="B24" s="3" t="s">
        <v>20</v>
      </c>
      <c r="C24" s="6" t="s">
        <v>10</v>
      </c>
      <c r="D24" s="6" t="s">
        <v>26</v>
      </c>
      <c r="E24" s="3" t="s">
        <v>27</v>
      </c>
      <c r="F24" s="6" t="s">
        <v>28</v>
      </c>
      <c r="G24" s="3"/>
      <c r="H24" s="3"/>
      <c r="I24" s="3"/>
      <c r="J24" s="3"/>
    </row>
    <row r="25" spans="1:10">
      <c r="A25" s="3" t="s">
        <v>12</v>
      </c>
      <c r="B25" s="3">
        <f>E18</f>
        <v>36000000</v>
      </c>
      <c r="C25" s="3">
        <f>I4</f>
        <v>10920000</v>
      </c>
      <c r="D25" s="3">
        <f>B25-C25</f>
        <v>25080000</v>
      </c>
      <c r="E25" s="3">
        <f>J4</f>
        <v>6720000</v>
      </c>
      <c r="F25" s="3">
        <f>B25-E25</f>
        <v>29280000</v>
      </c>
      <c r="G25" s="3"/>
      <c r="H25" s="3"/>
      <c r="I25" s="3"/>
      <c r="J25" s="3"/>
    </row>
    <row r="26" spans="1:10">
      <c r="A26" s="3" t="s">
        <v>13</v>
      </c>
      <c r="B26" s="3">
        <f>E19</f>
        <v>27000000</v>
      </c>
      <c r="C26" s="3">
        <f>I5</f>
        <v>3850000</v>
      </c>
      <c r="D26" s="3">
        <f t="shared" ref="D26:D28" si="10">B26-C26</f>
        <v>23150000</v>
      </c>
      <c r="E26" s="3">
        <f t="shared" ref="E26:E28" si="11">J5</f>
        <v>2100000</v>
      </c>
      <c r="F26" s="3">
        <f t="shared" ref="F26:F28" si="12">B26-E26</f>
        <v>24900000</v>
      </c>
      <c r="G26" s="3"/>
      <c r="H26" s="3"/>
      <c r="I26" s="3"/>
      <c r="J26" s="3"/>
    </row>
    <row r="27" spans="1:10">
      <c r="A27" s="3" t="s">
        <v>14</v>
      </c>
      <c r="B27" s="3">
        <f>E20</f>
        <v>18000000</v>
      </c>
      <c r="C27" s="3">
        <f>I6</f>
        <v>4130000</v>
      </c>
      <c r="D27" s="3">
        <f t="shared" si="10"/>
        <v>13870000</v>
      </c>
      <c r="E27" s="3">
        <f t="shared" si="11"/>
        <v>2520000</v>
      </c>
      <c r="F27" s="3">
        <f t="shared" si="12"/>
        <v>15480000</v>
      </c>
      <c r="G27" s="3"/>
      <c r="H27" s="3"/>
      <c r="I27" s="3"/>
      <c r="J27" s="3"/>
    </row>
    <row r="28" spans="1:10">
      <c r="A28" s="3" t="s">
        <v>15</v>
      </c>
      <c r="B28" s="3">
        <f>E21</f>
        <v>30000000</v>
      </c>
      <c r="C28" s="3">
        <f>I7</f>
        <v>11430000</v>
      </c>
      <c r="D28" s="3">
        <f t="shared" si="10"/>
        <v>18570000</v>
      </c>
      <c r="E28" s="3">
        <f t="shared" si="11"/>
        <v>8280000</v>
      </c>
      <c r="F28" s="3">
        <f t="shared" si="12"/>
        <v>21720000</v>
      </c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18">
      <c r="A30" s="29" t="s">
        <v>29</v>
      </c>
      <c r="B30" s="29"/>
      <c r="C30" s="29"/>
      <c r="D30" s="29"/>
      <c r="E30" s="29"/>
      <c r="F30" s="29"/>
      <c r="G30" s="29"/>
      <c r="H30" s="29"/>
      <c r="I30" s="29"/>
      <c r="J30" s="29"/>
    </row>
    <row r="31" spans="1:10">
      <c r="A31" s="3"/>
      <c r="B31" s="3" t="s">
        <v>20</v>
      </c>
      <c r="C31" s="6" t="s">
        <v>30</v>
      </c>
      <c r="D31" s="6" t="s">
        <v>31</v>
      </c>
      <c r="E31" s="3"/>
      <c r="F31" s="3"/>
      <c r="G31" s="3"/>
      <c r="H31" s="3"/>
      <c r="I31" s="3"/>
      <c r="J31" s="3"/>
    </row>
    <row r="32" spans="1:10">
      <c r="A32" s="3" t="s">
        <v>12</v>
      </c>
      <c r="B32" s="3">
        <f>B25</f>
        <v>36000000</v>
      </c>
      <c r="C32" s="3">
        <f>F11</f>
        <v>8160000</v>
      </c>
      <c r="D32" s="3">
        <f>B32-C32</f>
        <v>27840000</v>
      </c>
      <c r="E32" s="3"/>
      <c r="F32" s="3"/>
      <c r="G32" s="3"/>
      <c r="H32" s="3"/>
      <c r="I32" s="3"/>
      <c r="J32" s="3"/>
    </row>
    <row r="33" spans="1:10">
      <c r="A33" s="3" t="s">
        <v>13</v>
      </c>
      <c r="B33" s="3">
        <f t="shared" ref="B33:B35" si="13">B26</f>
        <v>27000000</v>
      </c>
      <c r="C33" s="3">
        <f t="shared" ref="C33:C35" si="14">F12</f>
        <v>2500000</v>
      </c>
      <c r="D33" s="3">
        <f t="shared" ref="D33:D35" si="15">B33-C33</f>
        <v>24500000</v>
      </c>
      <c r="E33" s="3"/>
      <c r="F33" s="3"/>
      <c r="G33" s="3"/>
      <c r="H33" s="3"/>
      <c r="I33" s="3"/>
      <c r="J33" s="3"/>
    </row>
    <row r="34" spans="1:10">
      <c r="A34" s="3" t="s">
        <v>14</v>
      </c>
      <c r="B34" s="3">
        <f t="shared" si="13"/>
        <v>18000000</v>
      </c>
      <c r="C34" s="3">
        <f t="shared" si="14"/>
        <v>3060000</v>
      </c>
      <c r="D34" s="3">
        <f t="shared" si="15"/>
        <v>14940000</v>
      </c>
      <c r="E34" s="3"/>
      <c r="F34" s="3"/>
      <c r="G34" s="3"/>
      <c r="H34" s="3"/>
      <c r="I34" s="3"/>
      <c r="J34" s="3"/>
    </row>
    <row r="35" spans="1:10">
      <c r="A35" s="3" t="s">
        <v>15</v>
      </c>
      <c r="B35" s="3">
        <f t="shared" si="13"/>
        <v>30000000</v>
      </c>
      <c r="C35" s="3">
        <f t="shared" si="14"/>
        <v>10800000</v>
      </c>
      <c r="D35" s="3">
        <f t="shared" si="15"/>
        <v>19200000</v>
      </c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 t="s">
        <v>32</v>
      </c>
      <c r="C38" s="3" t="s">
        <v>33</v>
      </c>
      <c r="D38" s="3" t="s">
        <v>34</v>
      </c>
      <c r="E38" s="3"/>
      <c r="F38" s="3"/>
      <c r="G38" s="3"/>
      <c r="H38" s="3"/>
      <c r="I38" s="3"/>
      <c r="J38" s="3"/>
    </row>
    <row r="39" spans="1:10">
      <c r="A39" s="3" t="s">
        <v>12</v>
      </c>
      <c r="B39" s="3">
        <f>D32-D25</f>
        <v>2760000</v>
      </c>
      <c r="C39" s="3">
        <f>D32-F25</f>
        <v>-1440000</v>
      </c>
      <c r="D39" s="5">
        <f>(B39/(-C39))</f>
        <v>1.9166666666666667</v>
      </c>
      <c r="E39" s="3" t="s">
        <v>35</v>
      </c>
      <c r="F39" s="3"/>
      <c r="G39" s="3"/>
      <c r="H39" s="3"/>
      <c r="I39" s="3"/>
      <c r="J39" s="3"/>
    </row>
    <row r="40" spans="1:10">
      <c r="A40" s="3" t="s">
        <v>13</v>
      </c>
      <c r="B40" s="3">
        <f t="shared" ref="B40:B42" si="16">D33-D26</f>
        <v>1350000</v>
      </c>
      <c r="C40" s="3">
        <f t="shared" ref="C40:C42" si="17">D33-F26</f>
        <v>-400000</v>
      </c>
      <c r="D40" s="5">
        <f t="shared" ref="D40:D42" si="18">(B40/(-C40))</f>
        <v>3.375</v>
      </c>
      <c r="E40" s="3" t="s">
        <v>36</v>
      </c>
      <c r="F40" s="3"/>
      <c r="G40" s="3"/>
      <c r="H40" s="3"/>
      <c r="I40" s="3"/>
      <c r="J40" s="3"/>
    </row>
    <row r="41" spans="1:10">
      <c r="A41" s="3" t="s">
        <v>14</v>
      </c>
      <c r="B41" s="3">
        <f t="shared" si="16"/>
        <v>1070000</v>
      </c>
      <c r="C41" s="3">
        <f t="shared" si="17"/>
        <v>-540000</v>
      </c>
      <c r="D41" s="5">
        <f t="shared" si="18"/>
        <v>1.9814814814814814</v>
      </c>
      <c r="E41" s="3" t="s">
        <v>35</v>
      </c>
      <c r="F41" s="3"/>
      <c r="G41" s="3"/>
      <c r="H41" s="3"/>
      <c r="I41" s="3"/>
      <c r="J41" s="3"/>
    </row>
    <row r="42" spans="1:10">
      <c r="A42" s="3" t="s">
        <v>15</v>
      </c>
      <c r="B42" s="3">
        <f t="shared" si="16"/>
        <v>630000</v>
      </c>
      <c r="C42" s="3">
        <f t="shared" si="17"/>
        <v>-2520000</v>
      </c>
      <c r="D42" s="5">
        <f t="shared" si="18"/>
        <v>0.25</v>
      </c>
      <c r="E42" s="3" t="s">
        <v>37</v>
      </c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0" t="s">
        <v>38</v>
      </c>
      <c r="C44" s="30"/>
      <c r="D44" s="30" t="s">
        <v>28</v>
      </c>
      <c r="E44" s="30"/>
      <c r="F44" s="3"/>
      <c r="G44" s="3"/>
      <c r="H44" s="3"/>
      <c r="I44" s="3"/>
      <c r="J44" s="3"/>
    </row>
    <row r="45" spans="1:10">
      <c r="A45" s="3"/>
      <c r="B45" s="3" t="s">
        <v>39</v>
      </c>
      <c r="C45" s="3" t="s">
        <v>40</v>
      </c>
      <c r="D45" s="3" t="s">
        <v>39</v>
      </c>
      <c r="E45" s="3" t="s">
        <v>29</v>
      </c>
      <c r="F45" s="3"/>
      <c r="G45" s="3"/>
      <c r="H45" s="3"/>
      <c r="I45" s="3"/>
      <c r="J45" s="3"/>
    </row>
    <row r="46" spans="1:10">
      <c r="A46" s="3" t="str">
        <f>A39</f>
        <v>Estação Central</v>
      </c>
      <c r="B46" s="3">
        <f>D25</f>
        <v>25080000</v>
      </c>
      <c r="C46" s="3">
        <f>D32</f>
        <v>27840000</v>
      </c>
      <c r="D46" s="3">
        <f>F25</f>
        <v>29280000</v>
      </c>
      <c r="E46" s="3">
        <f>D32</f>
        <v>27840000</v>
      </c>
      <c r="F46" s="3"/>
      <c r="G46" s="3"/>
      <c r="H46" s="3"/>
      <c r="I46" s="3"/>
      <c r="J46" s="3"/>
    </row>
    <row r="47" spans="1:10">
      <c r="A47" s="3" t="str">
        <f t="shared" ref="A47:A49" si="19">A40</f>
        <v>Centro Histórico</v>
      </c>
      <c r="B47" s="3">
        <f t="shared" ref="B47:B49" si="20">D26</f>
        <v>23150000</v>
      </c>
      <c r="C47" s="3">
        <f t="shared" ref="C47:C49" si="21">D33</f>
        <v>24500000</v>
      </c>
      <c r="D47" s="3">
        <f t="shared" ref="D47:D49" si="22">F26</f>
        <v>24900000</v>
      </c>
      <c r="E47" s="3">
        <f t="shared" ref="E47:E49" si="23">D33</f>
        <v>24500000</v>
      </c>
      <c r="F47" s="3"/>
      <c r="G47" s="3"/>
      <c r="H47" s="3"/>
      <c r="I47" s="3"/>
      <c r="J47" s="3"/>
    </row>
    <row r="48" spans="1:10">
      <c r="A48" s="3" t="str">
        <f t="shared" si="19"/>
        <v>Arena</v>
      </c>
      <c r="B48" s="3">
        <f t="shared" si="20"/>
        <v>13870000</v>
      </c>
      <c r="C48" s="3">
        <f t="shared" si="21"/>
        <v>14940000</v>
      </c>
      <c r="D48" s="3">
        <f t="shared" si="22"/>
        <v>15480000</v>
      </c>
      <c r="E48" s="3">
        <f t="shared" si="23"/>
        <v>14940000</v>
      </c>
      <c r="F48" s="3"/>
      <c r="G48" s="3"/>
      <c r="H48" s="3"/>
      <c r="I48" s="3"/>
      <c r="J48" s="3"/>
    </row>
    <row r="49" spans="1:10">
      <c r="A49" s="3" t="str">
        <f t="shared" si="19"/>
        <v>Noite alta</v>
      </c>
      <c r="B49" s="3">
        <f t="shared" si="20"/>
        <v>18570000</v>
      </c>
      <c r="C49" s="3">
        <f t="shared" si="21"/>
        <v>19200000</v>
      </c>
      <c r="D49" s="3">
        <f t="shared" si="22"/>
        <v>21720000</v>
      </c>
      <c r="E49" s="3">
        <f t="shared" si="23"/>
        <v>19200000</v>
      </c>
      <c r="F49" s="3"/>
      <c r="G49" s="3"/>
      <c r="H49" s="3"/>
      <c r="I49" s="3"/>
      <c r="J49" s="3"/>
    </row>
    <row r="50" spans="1:10" ht="20.25">
      <c r="A50" s="3"/>
      <c r="B50" s="31" t="s">
        <v>41</v>
      </c>
      <c r="C50" s="31"/>
      <c r="D50" s="31"/>
      <c r="E50" s="31"/>
      <c r="F50" s="31"/>
      <c r="G50" s="3"/>
      <c r="H50" s="3"/>
      <c r="I50" s="3"/>
      <c r="J50" s="3"/>
    </row>
    <row r="51" spans="1:10">
      <c r="A51" s="3"/>
      <c r="B51" s="3" t="s">
        <v>42</v>
      </c>
      <c r="C51" s="3" t="s">
        <v>43</v>
      </c>
      <c r="D51" s="3" t="s">
        <v>44</v>
      </c>
      <c r="E51" s="3" t="s">
        <v>45</v>
      </c>
      <c r="F51" s="3" t="s">
        <v>46</v>
      </c>
      <c r="G51" s="3"/>
      <c r="H51" s="3"/>
      <c r="I51" s="3"/>
      <c r="J51" s="3"/>
    </row>
    <row r="52" spans="1:10">
      <c r="A52" s="3" t="s">
        <v>47</v>
      </c>
      <c r="B52" s="3">
        <f>B46</f>
        <v>25080000</v>
      </c>
      <c r="C52" s="3">
        <f>B46+D46</f>
        <v>54360000</v>
      </c>
      <c r="D52" s="3">
        <f>C52+D46</f>
        <v>83640000</v>
      </c>
      <c r="E52" s="3">
        <f>D52+D46</f>
        <v>112920000</v>
      </c>
      <c r="F52" s="3">
        <f>E52+D46</f>
        <v>142200000</v>
      </c>
      <c r="G52" s="3"/>
      <c r="H52" s="3"/>
      <c r="I52" s="3"/>
      <c r="J52" s="3"/>
    </row>
    <row r="53" spans="1:10">
      <c r="A53" s="3" t="s">
        <v>48</v>
      </c>
      <c r="B53" s="3">
        <f>C46</f>
        <v>27840000</v>
      </c>
      <c r="C53" s="3">
        <f>B53*2</f>
        <v>55680000</v>
      </c>
      <c r="D53" s="3">
        <f>B53*3</f>
        <v>83520000</v>
      </c>
      <c r="E53" s="3">
        <f>B53*4</f>
        <v>111360000</v>
      </c>
      <c r="F53" s="3">
        <f>B53*5</f>
        <v>139200000</v>
      </c>
      <c r="G53" s="3"/>
      <c r="H53" s="3"/>
      <c r="I53" s="3"/>
      <c r="J53" s="3"/>
    </row>
    <row r="54" spans="1:10">
      <c r="A54" s="3" t="s">
        <v>49</v>
      </c>
      <c r="B54" s="3">
        <f>B47</f>
        <v>23150000</v>
      </c>
      <c r="C54" s="3">
        <f>B47+D47</f>
        <v>48050000</v>
      </c>
      <c r="D54" s="3">
        <f>C54+D47</f>
        <v>72950000</v>
      </c>
      <c r="E54" s="3">
        <f>D54+D47</f>
        <v>97850000</v>
      </c>
      <c r="F54" s="3">
        <f>E54+D47</f>
        <v>122750000</v>
      </c>
      <c r="G54" s="3"/>
      <c r="H54" s="3"/>
      <c r="I54" s="3"/>
      <c r="J54" s="3"/>
    </row>
    <row r="55" spans="1:10">
      <c r="A55" s="3" t="s">
        <v>50</v>
      </c>
      <c r="B55" s="3">
        <f>C47</f>
        <v>24500000</v>
      </c>
      <c r="C55" s="3">
        <f>B55*2</f>
        <v>49000000</v>
      </c>
      <c r="D55" s="3">
        <f>B55*3</f>
        <v>73500000</v>
      </c>
      <c r="E55" s="3">
        <f>B55*4</f>
        <v>98000000</v>
      </c>
      <c r="F55" s="3">
        <f>B55*5</f>
        <v>122500000</v>
      </c>
      <c r="G55" s="3"/>
      <c r="H55" s="3"/>
      <c r="I55" s="3"/>
      <c r="J55" s="3"/>
    </row>
    <row r="56" spans="1:10">
      <c r="A56" s="3" t="s">
        <v>51</v>
      </c>
      <c r="B56" s="3">
        <f>B48</f>
        <v>13870000</v>
      </c>
      <c r="C56" s="3">
        <f>B56+D48</f>
        <v>29350000</v>
      </c>
      <c r="D56" s="3">
        <f>C56+D48</f>
        <v>44830000</v>
      </c>
      <c r="E56" s="3">
        <f>D56+D48</f>
        <v>60310000</v>
      </c>
      <c r="F56" s="3">
        <f>E56+D48</f>
        <v>75790000</v>
      </c>
      <c r="G56" s="3"/>
      <c r="H56" s="3"/>
      <c r="I56" s="3"/>
      <c r="J56" s="3"/>
    </row>
    <row r="57" spans="1:10">
      <c r="A57" s="3" t="s">
        <v>52</v>
      </c>
      <c r="B57" s="3">
        <f>C48</f>
        <v>14940000</v>
      </c>
      <c r="C57" s="3">
        <f>B57*2</f>
        <v>29880000</v>
      </c>
      <c r="D57" s="3">
        <f>B57*3</f>
        <v>44820000</v>
      </c>
      <c r="E57" s="3">
        <f>B57*4</f>
        <v>59760000</v>
      </c>
      <c r="F57" s="3">
        <f>B57*5</f>
        <v>74700000</v>
      </c>
      <c r="G57" s="3"/>
      <c r="H57" s="3"/>
      <c r="I57" s="3"/>
      <c r="J57" s="3"/>
    </row>
    <row r="58" spans="1:10">
      <c r="A58" s="3" t="s">
        <v>53</v>
      </c>
      <c r="B58" s="3">
        <f>B49</f>
        <v>18570000</v>
      </c>
      <c r="C58" s="3">
        <f>B58+D49</f>
        <v>40290000</v>
      </c>
      <c r="D58" s="3">
        <f>C58+D49</f>
        <v>62010000</v>
      </c>
      <c r="E58" s="3">
        <f>D58+D49</f>
        <v>83730000</v>
      </c>
      <c r="F58" s="3">
        <f>E58+D49</f>
        <v>105450000</v>
      </c>
      <c r="G58" s="3"/>
      <c r="H58" s="3"/>
      <c r="I58" s="3"/>
      <c r="J58" s="3"/>
    </row>
    <row r="59" spans="1:10">
      <c r="A59" s="3" t="s">
        <v>54</v>
      </c>
      <c r="B59" s="3">
        <f>C49</f>
        <v>19200000</v>
      </c>
      <c r="C59" s="3">
        <f>B59*2</f>
        <v>38400000</v>
      </c>
      <c r="D59" s="3">
        <f>B59*3</f>
        <v>57600000</v>
      </c>
      <c r="E59" s="3">
        <f>B59*4</f>
        <v>76800000</v>
      </c>
      <c r="F59" s="3">
        <f>B59*5</f>
        <v>96000000</v>
      </c>
      <c r="G59" s="3"/>
      <c r="H59" s="3"/>
      <c r="I59" s="3"/>
      <c r="J59" s="3"/>
    </row>
    <row r="60" spans="1:10" ht="20.25">
      <c r="A60" s="32" t="s">
        <v>55</v>
      </c>
      <c r="B60" s="33"/>
      <c r="C60" s="33"/>
      <c r="D60" s="33"/>
      <c r="E60" s="33"/>
      <c r="F60" s="33"/>
      <c r="G60" s="1"/>
      <c r="H60" s="1"/>
      <c r="I60" s="1"/>
      <c r="J60" s="1"/>
    </row>
    <row r="61" spans="1:10" ht="20.25">
      <c r="A61" s="20"/>
      <c r="B61" s="21" t="str">
        <f>B51</f>
        <v>Ano 1</v>
      </c>
      <c r="C61" s="21" t="s">
        <v>56</v>
      </c>
      <c r="D61" s="21" t="s">
        <v>57</v>
      </c>
      <c r="E61" s="21"/>
      <c r="F61" s="21"/>
      <c r="G61" s="1"/>
      <c r="H61" s="1"/>
      <c r="I61" s="1"/>
      <c r="J61" s="1"/>
    </row>
    <row r="62" spans="1:10">
      <c r="A62" s="1" t="str">
        <f>A52</f>
        <v>Estação Central - Armários</v>
      </c>
      <c r="B62" s="8">
        <f>D25/E18</f>
        <v>0.69666666666666666</v>
      </c>
      <c r="C62" s="8">
        <f>F25/E18</f>
        <v>0.81333333333333335</v>
      </c>
      <c r="D62" s="8">
        <f>C52/(E18*2)</f>
        <v>0.755</v>
      </c>
      <c r="E62" s="34"/>
      <c r="F62" s="8"/>
      <c r="G62" s="1"/>
      <c r="H62" s="1"/>
      <c r="I62" s="1"/>
      <c r="J62" s="1"/>
    </row>
    <row r="63" spans="1:10">
      <c r="A63" s="1" t="str">
        <f>A54</f>
        <v>Centro Histórico - Armários</v>
      </c>
      <c r="B63" s="8">
        <f t="shared" ref="B63:B65" si="24">D26/E19</f>
        <v>0.8574074074074074</v>
      </c>
      <c r="C63" s="8">
        <f t="shared" ref="C63:C65" si="25">F26/E19</f>
        <v>0.92222222222222228</v>
      </c>
      <c r="D63" s="8">
        <f>C54/(E19*2)</f>
        <v>0.88981481481481484</v>
      </c>
      <c r="E63" s="34"/>
      <c r="F63" s="8"/>
      <c r="G63" s="2"/>
      <c r="H63" s="2"/>
      <c r="I63" s="2"/>
      <c r="J63" s="2"/>
    </row>
    <row r="64" spans="1:10">
      <c r="A64" s="1" t="str">
        <f>A56</f>
        <v>Arena - Armários</v>
      </c>
      <c r="B64" s="8">
        <f t="shared" si="24"/>
        <v>0.77055555555555555</v>
      </c>
      <c r="C64" s="8">
        <f t="shared" si="25"/>
        <v>0.86</v>
      </c>
      <c r="D64" s="8">
        <f>C56/(E20*2)</f>
        <v>0.81527777777777777</v>
      </c>
      <c r="E64" s="34"/>
      <c r="F64" s="8"/>
    </row>
    <row r="65" spans="1:10">
      <c r="A65" s="1" t="str">
        <f>A58</f>
        <v>Noite alta - Armários</v>
      </c>
      <c r="B65" s="8">
        <f t="shared" si="24"/>
        <v>0.61899999999999999</v>
      </c>
      <c r="C65" s="8">
        <f t="shared" si="25"/>
        <v>0.72399999999999998</v>
      </c>
      <c r="D65" s="8">
        <f>C58/(E21*2)</f>
        <v>0.67149999999999999</v>
      </c>
      <c r="E65" s="34"/>
      <c r="F65" s="8"/>
    </row>
    <row r="66" spans="1:10">
      <c r="A66" s="1" t="str">
        <f t="shared" ref="A66" si="26">A53</f>
        <v>Estação Central - Pontos Parceiros</v>
      </c>
      <c r="B66" s="8">
        <f>D32/E18</f>
        <v>0.77333333333333332</v>
      </c>
      <c r="C66" s="8" t="s">
        <v>58</v>
      </c>
      <c r="D66" s="8"/>
      <c r="E66" s="8"/>
      <c r="F66" s="8"/>
      <c r="G66" s="1"/>
      <c r="H66" s="1"/>
      <c r="I66" s="1"/>
      <c r="J66" s="1"/>
    </row>
    <row r="67" spans="1:10">
      <c r="A67" s="1" t="str">
        <f>A55</f>
        <v>Centro Histórico - Pontos Parceiros</v>
      </c>
      <c r="B67" s="8">
        <f t="shared" ref="B67:B69" si="27">D33/E19</f>
        <v>0.90740740740740744</v>
      </c>
      <c r="C67" s="8" t="s">
        <v>58</v>
      </c>
      <c r="D67" s="8"/>
      <c r="E67" s="8"/>
      <c r="F67" s="8"/>
    </row>
    <row r="68" spans="1:10">
      <c r="A68" s="1" t="str">
        <f>A57</f>
        <v>Arena - Pontos Parceiros</v>
      </c>
      <c r="B68" s="8">
        <f t="shared" si="27"/>
        <v>0.83</v>
      </c>
      <c r="C68" s="8" t="s">
        <v>58</v>
      </c>
      <c r="D68" s="8"/>
      <c r="E68" s="8"/>
      <c r="F68" s="8"/>
    </row>
    <row r="69" spans="1:10">
      <c r="A69" s="1" t="str">
        <f>A59</f>
        <v>Noite alta - Pontos Parceiros</v>
      </c>
      <c r="B69" s="8">
        <f t="shared" si="27"/>
        <v>0.64</v>
      </c>
      <c r="C69" s="8" t="s">
        <v>58</v>
      </c>
      <c r="D69" s="8"/>
      <c r="E69" s="8"/>
      <c r="F69" s="8"/>
    </row>
    <row r="70" spans="1:10">
      <c r="A70" s="1"/>
      <c r="B70" s="1"/>
      <c r="C70" s="8"/>
      <c r="D70" s="8"/>
      <c r="E70" s="8"/>
      <c r="F70" s="8"/>
      <c r="G70" s="1"/>
      <c r="H70" s="1"/>
      <c r="I70" s="1"/>
      <c r="J70" s="1"/>
    </row>
    <row r="71" spans="1:10">
      <c r="A71" s="27"/>
      <c r="B71" s="27"/>
      <c r="C71" s="27"/>
      <c r="D71" s="27"/>
      <c r="E71" s="27"/>
      <c r="F71" s="27"/>
      <c r="G71" s="1"/>
      <c r="H71" s="1"/>
      <c r="I71" s="1"/>
      <c r="J71" s="1"/>
    </row>
    <row r="73" spans="1:10">
      <c r="B73" s="1"/>
      <c r="C73" s="1"/>
      <c r="D73" s="1"/>
      <c r="E73" s="1"/>
      <c r="F73" s="1"/>
    </row>
    <row r="74" spans="1:10">
      <c r="B74" s="1"/>
      <c r="C74" s="1"/>
      <c r="D74" s="1"/>
      <c r="E74" s="1"/>
      <c r="F74" s="1"/>
    </row>
    <row r="77" spans="1:10">
      <c r="A77" s="25"/>
      <c r="B77" s="25"/>
      <c r="C77" s="25"/>
      <c r="D77" s="25"/>
      <c r="E77" s="25"/>
      <c r="F77" s="25"/>
    </row>
    <row r="79" spans="1:10">
      <c r="B79" s="9"/>
    </row>
    <row r="80" spans="1:10">
      <c r="B80" s="9"/>
    </row>
    <row r="81" spans="2:2">
      <c r="B81" s="9"/>
    </row>
    <row r="82" spans="2:2">
      <c r="B82" s="9"/>
    </row>
    <row r="83" spans="2:2">
      <c r="B83" s="9"/>
    </row>
  </sheetData>
  <mergeCells count="14">
    <mergeCell ref="A77:F77"/>
    <mergeCell ref="A71:F71"/>
    <mergeCell ref="A1:J1"/>
    <mergeCell ref="A30:J30"/>
    <mergeCell ref="B44:C44"/>
    <mergeCell ref="D44:E44"/>
    <mergeCell ref="B50:F50"/>
    <mergeCell ref="A9:I9"/>
    <mergeCell ref="A60:F60"/>
    <mergeCell ref="A2:I2"/>
    <mergeCell ref="A16:J16"/>
    <mergeCell ref="A22:I22"/>
    <mergeCell ref="A23:J23"/>
    <mergeCell ref="E62:E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C8A19-3AB8-4D2B-BD73-B5239769E567}">
  <dimension ref="A1:V32"/>
  <sheetViews>
    <sheetView tabSelected="1" topLeftCell="B1" workbookViewId="0">
      <selection activeCell="O31" sqref="O31:V32"/>
    </sheetView>
  </sheetViews>
  <sheetFormatPr defaultRowHeight="15"/>
  <cols>
    <col min="2" max="2" width="24.7109375" bestFit="1" customWidth="1"/>
    <col min="4" max="4" width="61.42578125" bestFit="1" customWidth="1"/>
    <col min="5" max="5" width="14.42578125" bestFit="1" customWidth="1"/>
    <col min="6" max="6" width="15.140625" bestFit="1" customWidth="1"/>
    <col min="7" max="7" width="6.28515625" bestFit="1" customWidth="1"/>
    <col min="9" max="9" width="14.42578125" bestFit="1" customWidth="1"/>
    <col min="10" max="10" width="15.140625" bestFit="1" customWidth="1"/>
    <col min="11" max="11" width="6.28515625" bestFit="1" customWidth="1"/>
    <col min="12" max="12" width="9.7109375" bestFit="1" customWidth="1"/>
  </cols>
  <sheetData>
    <row r="1" spans="1:22" ht="18">
      <c r="B1" s="25" t="s">
        <v>59</v>
      </c>
      <c r="C1" s="25"/>
      <c r="D1" s="25"/>
      <c r="E1" s="25"/>
      <c r="F1" s="25"/>
      <c r="G1" s="25"/>
      <c r="O1" s="24" t="s">
        <v>60</v>
      </c>
      <c r="P1" s="24"/>
      <c r="Q1" s="24"/>
      <c r="R1" s="24"/>
      <c r="S1" s="24"/>
      <c r="T1" s="24"/>
      <c r="U1" s="24"/>
      <c r="V1" s="24"/>
    </row>
    <row r="2" spans="1:22">
      <c r="A2" s="22" t="s">
        <v>61</v>
      </c>
      <c r="B2" s="19"/>
      <c r="C2" s="19"/>
      <c r="D2" s="19"/>
      <c r="E2" s="26" t="s">
        <v>62</v>
      </c>
      <c r="F2" s="26"/>
      <c r="G2" s="26"/>
      <c r="H2" s="26"/>
      <c r="I2" s="26" t="s">
        <v>63</v>
      </c>
      <c r="J2" s="26"/>
      <c r="K2" s="26"/>
      <c r="L2" s="26"/>
    </row>
    <row r="3" spans="1:22">
      <c r="A3" s="22"/>
      <c r="B3" s="11" t="s">
        <v>64</v>
      </c>
      <c r="C3" s="11" t="s">
        <v>65</v>
      </c>
      <c r="D3" s="11" t="s">
        <v>66</v>
      </c>
      <c r="E3" s="12" t="s">
        <v>67</v>
      </c>
      <c r="F3" s="12" t="s">
        <v>68</v>
      </c>
      <c r="G3" s="12" t="s">
        <v>14</v>
      </c>
      <c r="H3" s="12" t="s">
        <v>15</v>
      </c>
      <c r="I3" s="12" t="str">
        <f>E3</f>
        <v>Estação central</v>
      </c>
      <c r="J3" s="12" t="str">
        <f t="shared" ref="J3:L3" si="0">F3</f>
        <v>Centro histórico</v>
      </c>
      <c r="K3" s="12" t="str">
        <f t="shared" si="0"/>
        <v>Arena</v>
      </c>
      <c r="L3" s="12" t="str">
        <f t="shared" si="0"/>
        <v>Noite alta</v>
      </c>
    </row>
    <row r="4" spans="1:22">
      <c r="A4" s="22"/>
      <c r="B4" t="s">
        <v>69</v>
      </c>
      <c r="C4" s="9">
        <v>0.35</v>
      </c>
      <c r="D4" t="s">
        <v>70</v>
      </c>
      <c r="E4">
        <v>2</v>
      </c>
      <c r="F4">
        <v>5</v>
      </c>
      <c r="G4">
        <v>3</v>
      </c>
      <c r="H4">
        <v>1</v>
      </c>
      <c r="I4">
        <v>3</v>
      </c>
      <c r="J4">
        <v>5</v>
      </c>
      <c r="K4">
        <v>4</v>
      </c>
      <c r="L4">
        <v>1</v>
      </c>
    </row>
    <row r="5" spans="1:22">
      <c r="A5" s="22"/>
      <c r="B5" t="s">
        <v>71</v>
      </c>
      <c r="C5" s="9">
        <v>0.25</v>
      </c>
      <c r="D5" s="10" t="s">
        <v>72</v>
      </c>
      <c r="E5">
        <v>4.21</v>
      </c>
      <c r="F5">
        <v>3.66</v>
      </c>
      <c r="G5">
        <v>1</v>
      </c>
      <c r="H5">
        <v>2.35</v>
      </c>
      <c r="I5">
        <v>5</v>
      </c>
      <c r="J5">
        <v>4.04</v>
      </c>
      <c r="K5">
        <v>1.31</v>
      </c>
      <c r="L5">
        <v>2.5299999999999998</v>
      </c>
    </row>
    <row r="6" spans="1:22">
      <c r="A6" s="22"/>
      <c r="B6" t="s">
        <v>73</v>
      </c>
      <c r="C6" s="9">
        <v>0.15</v>
      </c>
      <c r="D6" t="s">
        <v>74</v>
      </c>
      <c r="E6">
        <v>4</v>
      </c>
      <c r="F6">
        <v>5</v>
      </c>
      <c r="G6">
        <v>2</v>
      </c>
      <c r="H6">
        <v>3</v>
      </c>
      <c r="I6">
        <v>4</v>
      </c>
      <c r="J6">
        <v>5</v>
      </c>
      <c r="K6">
        <v>2</v>
      </c>
      <c r="L6">
        <v>3</v>
      </c>
    </row>
    <row r="7" spans="1:22">
      <c r="A7" s="22"/>
      <c r="B7" t="s">
        <v>75</v>
      </c>
      <c r="C7" s="9">
        <v>0.15</v>
      </c>
      <c r="D7" t="s">
        <v>76</v>
      </c>
      <c r="E7">
        <v>3</v>
      </c>
      <c r="F7">
        <v>5</v>
      </c>
      <c r="G7">
        <v>3</v>
      </c>
      <c r="H7">
        <v>1</v>
      </c>
      <c r="I7">
        <v>3</v>
      </c>
      <c r="J7">
        <v>5</v>
      </c>
      <c r="K7">
        <v>3</v>
      </c>
      <c r="L7">
        <v>1</v>
      </c>
    </row>
    <row r="8" spans="1:22">
      <c r="A8" s="22"/>
      <c r="B8" t="s">
        <v>77</v>
      </c>
      <c r="C8" s="9">
        <v>0.1</v>
      </c>
      <c r="D8" t="s">
        <v>78</v>
      </c>
      <c r="E8">
        <v>5</v>
      </c>
      <c r="F8">
        <v>4</v>
      </c>
      <c r="G8">
        <v>2</v>
      </c>
      <c r="H8">
        <v>2</v>
      </c>
      <c r="I8">
        <v>5</v>
      </c>
      <c r="J8">
        <v>4</v>
      </c>
      <c r="K8">
        <v>2</v>
      </c>
      <c r="L8">
        <v>2</v>
      </c>
    </row>
    <row r="9" spans="1:22">
      <c r="A9" s="22"/>
      <c r="D9" s="18" t="s">
        <v>79</v>
      </c>
      <c r="E9" s="13">
        <f>(E4*0.35)+(E5*0.25)+(E6*0.15)+(E7*0.15)+(E8*0.1)</f>
        <v>3.3025000000000002</v>
      </c>
      <c r="F9" s="13">
        <f t="shared" ref="F9:L9" si="1">(F4*0.35)+(F5*0.25)+(F6*0.15)+(F7*0.15)+(F8*0.1)</f>
        <v>4.5650000000000004</v>
      </c>
      <c r="G9" s="13">
        <f t="shared" si="1"/>
        <v>2.25</v>
      </c>
      <c r="H9" s="13">
        <f t="shared" si="1"/>
        <v>1.7374999999999998</v>
      </c>
      <c r="I9" s="13">
        <f t="shared" si="1"/>
        <v>3.8499999999999996</v>
      </c>
      <c r="J9" s="13">
        <f t="shared" si="1"/>
        <v>4.66</v>
      </c>
      <c r="K9" s="13">
        <f t="shared" si="1"/>
        <v>2.6775000000000002</v>
      </c>
      <c r="L9" s="13">
        <f t="shared" si="1"/>
        <v>1.7824999999999998</v>
      </c>
    </row>
    <row r="11" spans="1:22">
      <c r="F11" s="23" t="s">
        <v>79</v>
      </c>
      <c r="G11" s="23"/>
      <c r="H11" s="23"/>
      <c r="I11" s="23"/>
      <c r="J11" s="23"/>
    </row>
    <row r="12" spans="1:22">
      <c r="D12" s="17"/>
      <c r="E12" s="10" t="s">
        <v>80</v>
      </c>
      <c r="F12" s="14" t="s">
        <v>42</v>
      </c>
      <c r="G12" s="14" t="s">
        <v>43</v>
      </c>
      <c r="H12" s="14" t="s">
        <v>44</v>
      </c>
      <c r="I12" s="14" t="s">
        <v>81</v>
      </c>
      <c r="J12" s="14" t="s">
        <v>46</v>
      </c>
    </row>
    <row r="13" spans="1:22">
      <c r="D13" s="17"/>
      <c r="E13" s="10" t="s">
        <v>82</v>
      </c>
      <c r="F13" s="15">
        <v>4.5599999999999996</v>
      </c>
      <c r="G13" s="15">
        <v>4.6100000000000003</v>
      </c>
      <c r="H13" s="15">
        <v>4.62</v>
      </c>
      <c r="I13" s="16">
        <v>4.62</v>
      </c>
      <c r="J13" s="15">
        <v>4.6100000000000003</v>
      </c>
    </row>
    <row r="14" spans="1:22">
      <c r="D14" s="17"/>
      <c r="E14" s="10" t="s">
        <v>83</v>
      </c>
      <c r="F14" s="15">
        <v>4.66</v>
      </c>
      <c r="G14" s="15">
        <v>4.6500000000000004</v>
      </c>
      <c r="H14" s="15">
        <v>4.6399999999999997</v>
      </c>
      <c r="I14" s="15">
        <v>4.62</v>
      </c>
      <c r="J14" s="16">
        <v>4.5999999999999996</v>
      </c>
    </row>
    <row r="15" spans="1:22">
      <c r="D15" s="17"/>
      <c r="E15" s="10" t="s">
        <v>84</v>
      </c>
      <c r="F15" s="15">
        <v>3.3</v>
      </c>
      <c r="G15" s="16">
        <v>4.1500000000000004</v>
      </c>
      <c r="H15" s="15">
        <v>4.2</v>
      </c>
      <c r="I15" s="15">
        <v>4.2</v>
      </c>
      <c r="J15" s="15">
        <v>4.2</v>
      </c>
    </row>
    <row r="16" spans="1:22">
      <c r="D16" s="17"/>
      <c r="E16" s="10" t="s">
        <v>85</v>
      </c>
      <c r="F16" s="16">
        <v>3.85</v>
      </c>
      <c r="G16" s="15">
        <v>3.85</v>
      </c>
      <c r="H16" s="15">
        <v>3.85</v>
      </c>
      <c r="I16" s="15">
        <v>3.82</v>
      </c>
      <c r="J16" s="15">
        <v>3.81</v>
      </c>
    </row>
    <row r="17" spans="4:22">
      <c r="D17" s="17"/>
      <c r="E17" s="10" t="s">
        <v>86</v>
      </c>
      <c r="F17" s="15">
        <v>2.25</v>
      </c>
      <c r="G17" s="16">
        <v>2.95</v>
      </c>
      <c r="H17" s="15">
        <v>2.95</v>
      </c>
      <c r="I17" s="15">
        <v>2.96</v>
      </c>
      <c r="J17" s="15">
        <v>2.97</v>
      </c>
    </row>
    <row r="18" spans="4:22">
      <c r="D18" s="17"/>
      <c r="E18" s="10" t="s">
        <v>87</v>
      </c>
      <c r="F18" s="16">
        <v>2.68</v>
      </c>
      <c r="G18" s="15">
        <v>2.62</v>
      </c>
      <c r="H18" s="15">
        <v>2.6</v>
      </c>
      <c r="I18" s="15">
        <v>2.6</v>
      </c>
      <c r="J18" s="15">
        <v>2.6</v>
      </c>
    </row>
    <row r="19" spans="4:22">
      <c r="D19" s="17"/>
      <c r="E19" s="10" t="s">
        <v>88</v>
      </c>
      <c r="F19" s="15">
        <v>1.74</v>
      </c>
      <c r="G19" s="16">
        <v>2.17</v>
      </c>
      <c r="H19" s="15">
        <v>2.19</v>
      </c>
      <c r="I19" s="15">
        <v>2.2000000000000002</v>
      </c>
      <c r="J19" s="15">
        <v>2.21</v>
      </c>
    </row>
    <row r="20" spans="4:22">
      <c r="D20" s="17"/>
      <c r="E20" s="10" t="s">
        <v>89</v>
      </c>
      <c r="F20" s="16">
        <v>1.78</v>
      </c>
      <c r="G20" s="15">
        <v>1.74</v>
      </c>
      <c r="H20" s="15">
        <v>1.73</v>
      </c>
      <c r="I20" s="15">
        <v>1.72</v>
      </c>
      <c r="J20" s="15">
        <v>1.72</v>
      </c>
    </row>
    <row r="31" spans="4:22">
      <c r="O31" s="35" t="s">
        <v>90</v>
      </c>
      <c r="P31" s="35"/>
      <c r="Q31" s="35"/>
      <c r="R31" s="35"/>
      <c r="S31" s="35"/>
      <c r="T31" s="35"/>
      <c r="U31" s="35"/>
      <c r="V31" s="35"/>
    </row>
    <row r="32" spans="4:22">
      <c r="O32" s="35"/>
      <c r="P32" s="35"/>
      <c r="Q32" s="35"/>
      <c r="R32" s="35"/>
      <c r="S32" s="35"/>
      <c r="T32" s="35"/>
      <c r="U32" s="35"/>
      <c r="V32" s="35"/>
    </row>
  </sheetData>
  <mergeCells count="7">
    <mergeCell ref="A2:A9"/>
    <mergeCell ref="O1:V1"/>
    <mergeCell ref="F11:J11"/>
    <mergeCell ref="B1:G1"/>
    <mergeCell ref="E2:H2"/>
    <mergeCell ref="I2:L2"/>
    <mergeCell ref="O31:V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2026-09-14T05:30:44Z</dcterms:created>
  <dcterms:modified xsi:type="dcterms:W3CDTF">2026-09-17T23:29:07Z</dcterms:modified>
  <cp:category/>
  <cp:contentStatus/>
</cp:coreProperties>
</file>