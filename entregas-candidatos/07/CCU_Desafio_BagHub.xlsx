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0" documentId="8_{E67B91FB-C67E-4F2F-B99E-9E81A17908FF}" xr6:coauthVersionLast="47" xr6:coauthVersionMax="47" xr10:uidLastSave="{00000000-0000-0000-0000-000000000000}"/>
  <bookViews>
    <workbookView xWindow="0" yWindow="0" windowWidth="0" windowHeight="0" firstSheet="1" activeTab="3" xr2:uid="{00000000-000D-0000-FFFF-FFFF00000000}"/>
  </bookViews>
  <sheets>
    <sheet name="Resumo" sheetId="1" r:id="rId1"/>
    <sheet name="Calculos" sheetId="2" r:id="rId2"/>
    <sheet name="Bairros" sheetId="3" r:id="rId3"/>
    <sheet name="Premissas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D13" i="3"/>
  <c r="C13" i="3"/>
  <c r="B13" i="3"/>
  <c r="E5" i="3"/>
  <c r="D5" i="3"/>
  <c r="C5" i="3"/>
  <c r="B5" i="3"/>
  <c r="E4" i="3"/>
  <c r="D4" i="3"/>
  <c r="C4" i="3"/>
  <c r="B4" i="3"/>
  <c r="E3" i="3"/>
  <c r="E6" i="3" s="1"/>
  <c r="E7" i="3" s="1"/>
  <c r="D3" i="3"/>
  <c r="D6" i="3" s="1"/>
  <c r="D7" i="3" s="1"/>
  <c r="C3" i="3"/>
  <c r="C6" i="3" s="1"/>
  <c r="C7" i="3" s="1"/>
  <c r="B3" i="3"/>
  <c r="B6" i="3" s="1"/>
  <c r="B7" i="3" s="1"/>
  <c r="H21" i="2"/>
  <c r="F21" i="2"/>
  <c r="D21" i="2"/>
  <c r="B21" i="2"/>
  <c r="I19" i="2"/>
  <c r="H19" i="2"/>
  <c r="G19" i="2"/>
  <c r="F19" i="2"/>
  <c r="E19" i="2"/>
  <c r="D19" i="2"/>
  <c r="C19" i="2"/>
  <c r="B19" i="2"/>
  <c r="I14" i="2"/>
  <c r="I20" i="2" s="1"/>
  <c r="H14" i="2"/>
  <c r="H20" i="2" s="1"/>
  <c r="G14" i="2"/>
  <c r="G20" i="2" s="1"/>
  <c r="F14" i="2"/>
  <c r="F20" i="2" s="1"/>
  <c r="E14" i="2"/>
  <c r="E20" i="2" s="1"/>
  <c r="D14" i="2"/>
  <c r="D20" i="2" s="1"/>
  <c r="C14" i="2"/>
  <c r="C20" i="2" s="1"/>
  <c r="B14" i="2"/>
  <c r="B20" i="2" s="1"/>
  <c r="I13" i="2"/>
  <c r="H13" i="2"/>
  <c r="G13" i="2"/>
  <c r="F13" i="2"/>
  <c r="E13" i="2"/>
  <c r="D13" i="2"/>
  <c r="C13" i="2"/>
  <c r="B13" i="2"/>
  <c r="I12" i="2"/>
  <c r="H12" i="2"/>
  <c r="G12" i="2"/>
  <c r="F12" i="2"/>
  <c r="E12" i="2"/>
  <c r="D12" i="2"/>
  <c r="C12" i="2"/>
  <c r="B12" i="2"/>
  <c r="I8" i="2"/>
  <c r="H8" i="2"/>
  <c r="G8" i="2"/>
  <c r="F8" i="2"/>
  <c r="E8" i="2"/>
  <c r="D8" i="2"/>
  <c r="C8" i="2"/>
  <c r="B8" i="2"/>
  <c r="I7" i="2"/>
  <c r="H7" i="2"/>
  <c r="G7" i="2"/>
  <c r="F7" i="2"/>
  <c r="E7" i="2"/>
  <c r="D7" i="2"/>
  <c r="C7" i="2"/>
  <c r="B7" i="2"/>
  <c r="I6" i="2"/>
  <c r="I9" i="2" s="1"/>
  <c r="I10" i="2" s="1"/>
  <c r="H6" i="2"/>
  <c r="H9" i="2" s="1"/>
  <c r="H10" i="2" s="1"/>
  <c r="G6" i="2"/>
  <c r="G9" i="2" s="1"/>
  <c r="G10" i="2" s="1"/>
  <c r="F6" i="2"/>
  <c r="F9" i="2" s="1"/>
  <c r="F10" i="2" s="1"/>
  <c r="E6" i="2"/>
  <c r="E9" i="2" s="1"/>
  <c r="E10" i="2" s="1"/>
  <c r="D6" i="2"/>
  <c r="D9" i="2" s="1"/>
  <c r="D10" i="2" s="1"/>
  <c r="C6" i="2"/>
  <c r="C9" i="2" s="1"/>
  <c r="C10" i="2" s="1"/>
  <c r="B6" i="2"/>
  <c r="B9" i="2" s="1"/>
  <c r="B10" i="2" s="1"/>
  <c r="A11" i="1"/>
  <c r="A10" i="1"/>
  <c r="A9" i="1"/>
  <c r="A8" i="1"/>
  <c r="B39" i="2" l="1"/>
  <c r="C39" i="2"/>
  <c r="D39" i="2"/>
  <c r="E39" i="2"/>
  <c r="F39" i="2"/>
  <c r="G39" i="2"/>
  <c r="H39" i="2"/>
  <c r="I39" i="2"/>
  <c r="B24" i="2"/>
  <c r="B23" i="2"/>
  <c r="B15" i="2"/>
  <c r="C24" i="2"/>
  <c r="C23" i="2"/>
  <c r="C26" i="2" s="1"/>
  <c r="C16" i="2"/>
  <c r="D24" i="2"/>
  <c r="D23" i="2"/>
  <c r="D15" i="2"/>
  <c r="E24" i="2"/>
  <c r="E23" i="2"/>
  <c r="E26" i="2" s="1"/>
  <c r="E16" i="2"/>
  <c r="F24" i="2"/>
  <c r="F23" i="2"/>
  <c r="F15" i="2"/>
  <c r="G24" i="2"/>
  <c r="G23" i="2"/>
  <c r="G26" i="2" s="1"/>
  <c r="G16" i="2"/>
  <c r="H24" i="2"/>
  <c r="H23" i="2"/>
  <c r="H15" i="2"/>
  <c r="I24" i="2"/>
  <c r="I23" i="2"/>
  <c r="I26" i="2" s="1"/>
  <c r="I16" i="2"/>
  <c r="B8" i="3"/>
  <c r="C8" i="3"/>
  <c r="D8" i="3"/>
  <c r="E8" i="3"/>
  <c r="I40" i="2" l="1"/>
  <c r="I17" i="2"/>
  <c r="I33" i="2"/>
  <c r="I34" i="2" s="1"/>
  <c r="I35" i="2" s="1"/>
  <c r="I31" i="2"/>
  <c r="I28" i="2"/>
  <c r="H25" i="2"/>
  <c r="H16" i="2"/>
  <c r="H26" i="2"/>
  <c r="G40" i="2"/>
  <c r="G17" i="2"/>
  <c r="G33" i="2"/>
  <c r="G34" i="2" s="1"/>
  <c r="G35" i="2" s="1"/>
  <c r="G31" i="2"/>
  <c r="G28" i="2"/>
  <c r="F25" i="2"/>
  <c r="F16" i="2"/>
  <c r="F26" i="2"/>
  <c r="E40" i="2"/>
  <c r="E17" i="2"/>
  <c r="E33" i="2"/>
  <c r="E31" i="2"/>
  <c r="C36" i="1" s="1"/>
  <c r="E28" i="2"/>
  <c r="D25" i="2"/>
  <c r="D16" i="2"/>
  <c r="D26" i="2"/>
  <c r="C40" i="2"/>
  <c r="C17" i="2"/>
  <c r="C33" i="2"/>
  <c r="C31" i="2"/>
  <c r="B36" i="1" s="1"/>
  <c r="D36" i="1" s="1"/>
  <c r="C28" i="2"/>
  <c r="B25" i="2"/>
  <c r="B16" i="2"/>
  <c r="B26" i="2"/>
  <c r="B33" i="2" l="1"/>
  <c r="B34" i="2" s="1"/>
  <c r="B35" i="2" s="1"/>
  <c r="B31" i="2"/>
  <c r="B28" i="2"/>
  <c r="B40" i="2"/>
  <c r="B17" i="2"/>
  <c r="C32" i="2"/>
  <c r="B35" i="1" s="1"/>
  <c r="C29" i="2"/>
  <c r="B34" i="1" s="1"/>
  <c r="B33" i="1"/>
  <c r="C8" i="1"/>
  <c r="C38" i="2"/>
  <c r="C34" i="2"/>
  <c r="C35" i="2" s="1"/>
  <c r="B37" i="1"/>
  <c r="D33" i="2"/>
  <c r="D34" i="2" s="1"/>
  <c r="D35" i="2" s="1"/>
  <c r="D31" i="2"/>
  <c r="D28" i="2"/>
  <c r="D40" i="2"/>
  <c r="D17" i="2"/>
  <c r="E32" i="2"/>
  <c r="C35" i="1" s="1"/>
  <c r="E29" i="2"/>
  <c r="C34" i="1" s="1"/>
  <c r="C33" i="1"/>
  <c r="C9" i="1"/>
  <c r="E38" i="2"/>
  <c r="E34" i="2"/>
  <c r="E35" i="2" s="1"/>
  <c r="C37" i="1"/>
  <c r="F33" i="2"/>
  <c r="F34" i="2" s="1"/>
  <c r="F35" i="2" s="1"/>
  <c r="F31" i="2"/>
  <c r="F28" i="2"/>
  <c r="F40" i="2"/>
  <c r="F17" i="2"/>
  <c r="G32" i="2"/>
  <c r="G29" i="2"/>
  <c r="C10" i="1"/>
  <c r="G38" i="2"/>
  <c r="H33" i="2"/>
  <c r="H34" i="2" s="1"/>
  <c r="H35" i="2" s="1"/>
  <c r="H31" i="2"/>
  <c r="H28" i="2"/>
  <c r="H40" i="2"/>
  <c r="H17" i="2"/>
  <c r="I32" i="2"/>
  <c r="I29" i="2"/>
  <c r="C11" i="1"/>
  <c r="I38" i="2"/>
  <c r="H32" i="2" l="1"/>
  <c r="H29" i="2"/>
  <c r="B11" i="1"/>
  <c r="H38" i="2"/>
  <c r="F32" i="2"/>
  <c r="F29" i="2"/>
  <c r="B10" i="1"/>
  <c r="F38" i="2"/>
  <c r="D32" i="2"/>
  <c r="D29" i="2"/>
  <c r="B9" i="1"/>
  <c r="D38" i="2"/>
  <c r="D37" i="1"/>
  <c r="D33" i="1"/>
  <c r="D34" i="1"/>
  <c r="D35" i="1"/>
  <c r="B32" i="2"/>
  <c r="B29" i="2"/>
  <c r="B8" i="1"/>
  <c r="B38" i="2"/>
  <c r="E8" i="1" l="1"/>
  <c r="F8" i="1"/>
  <c r="D8" i="1"/>
  <c r="E9" i="1"/>
  <c r="F9" i="1"/>
  <c r="D9" i="1"/>
  <c r="E10" i="1"/>
  <c r="F10" i="1"/>
  <c r="D10" i="1"/>
  <c r="E11" i="1"/>
  <c r="G11" i="1" s="1"/>
  <c r="F11" i="1"/>
  <c r="D11" i="1"/>
  <c r="G10" i="1" l="1"/>
  <c r="G9" i="1"/>
  <c r="G8" i="1"/>
  <c r="B5" i="1"/>
</calcChain>
</file>

<file path=xl/sharedStrings.xml><?xml version="1.0" encoding="utf-8"?>
<sst xmlns="http://schemas.openxmlformats.org/spreadsheetml/2006/main" count="194" uniqueCount="147">
  <si>
    <t>BagHub | Decisão de lançamento em Porto Claro</t>
  </si>
  <si>
    <t>Objetivo: maior resultado operacional anual para sustentar a expansão.</t>
  </si>
  <si>
    <t>Bairro líder:</t>
  </si>
  <si>
    <t>Estação Central</t>
  </si>
  <si>
    <t>Modelo:</t>
  </si>
  <si>
    <t>Parceiros</t>
  </si>
  <si>
    <t>Resultado anual (R$)</t>
  </si>
  <si>
    <t>Bairro</t>
  </si>
  <si>
    <t>Resultado armários</t>
  </si>
  <si>
    <t>Resultado parceiros</t>
  </si>
  <si>
    <t>Melhor modelo</t>
  </si>
  <si>
    <t>Melhor resultado</t>
  </si>
  <si>
    <t>Vantagem parceiros</t>
  </si>
  <si>
    <t>Ranking</t>
  </si>
  <si>
    <t>Indicadores para apoiar a decisão</t>
  </si>
  <si>
    <t>Indicador</t>
  </si>
  <si>
    <t>Estação + parceiros</t>
  </si>
  <si>
    <t>Centro + parceiros</t>
  </si>
  <si>
    <t>Diferença Estação - Centro</t>
  </si>
  <si>
    <t>Margem operacional</t>
  </si>
  <si>
    <t>Resultado/posição/ano (R$)</t>
  </si>
  <si>
    <t>Custo/transação (R$)</t>
  </si>
  <si>
    <t>Transações/semana no equilíbrio</t>
  </si>
  <si>
    <t>Queda da demanda da Estação que iguala seu resultado ao do Centro</t>
  </si>
  <si>
    <t>Teste adicional: apenas a demanda da Estação cai; custos, capacidade e resultado do Centro ficam constantes.</t>
  </si>
  <si>
    <t>Conclusões da base original e implicações para o lançamento</t>
  </si>
  <si>
    <t>1. Lançar na Estação Central com parceiros: maior resultado anual. Garantir cobertura nos horários das conexões.</t>
  </si>
  <si>
    <t>2. Expandir ao Centro Histórico: segunda maior contribuição anual, maior margem e menor complexidade.</t>
  </si>
  <si>
    <t>3. Noite Alta precede Arena. Parceiros geram R$ 630 mil a mais; armários 24h são alternativa se não houver cobertura noturna.</t>
  </si>
  <si>
    <t>4. Parceiros vencem nos quatro bairros: a economia com bancos supera seu maior custo de operação.</t>
  </si>
  <si>
    <t>5. Validar localização, horários e atendimento dos parceiros. Não alterar a demanda-base por limitações hipotéticas.</t>
  </si>
  <si>
    <t>6. Acompanhar demanda, ocupação de pico, filas, incidentes e resultado por ponto antes de avançar.</t>
  </si>
  <si>
    <t>BagHub | Rentabilidade anual por bairro e modelo</t>
  </si>
  <si>
    <t xml:space="preserve">Análise de oito possíveis cenários. </t>
  </si>
  <si>
    <t>Custos em valores positivos. Valores monetários em reais.</t>
  </si>
  <si>
    <t>Centro Histórico</t>
  </si>
  <si>
    <t>Arena</t>
  </si>
  <si>
    <t>Noite Alta</t>
  </si>
  <si>
    <t>Modelo</t>
  </si>
  <si>
    <t>Armários</t>
  </si>
  <si>
    <t>Transações por semana</t>
  </si>
  <si>
    <t>Semanas por ano</t>
  </si>
  <si>
    <t>Tarifa por transação (R$)</t>
  </si>
  <si>
    <t>Transações por ano</t>
  </si>
  <si>
    <t>Receita anual (R$)</t>
  </si>
  <si>
    <t>Posições necessárias</t>
  </si>
  <si>
    <t>Utilização informada</t>
  </si>
  <si>
    <t>Complexidade operacional</t>
  </si>
  <si>
    <t>Número de bancos</t>
  </si>
  <si>
    <t>n.a.</t>
  </si>
  <si>
    <t>Posições físicas disponíveis</t>
  </si>
  <si>
    <t>Posições adicionais por arredondamento</t>
  </si>
  <si>
    <t>Equipamento/seguro/manutenção por posição</t>
  </si>
  <si>
    <t>Operação por posição (R$/ano)</t>
  </si>
  <si>
    <t>Custo por banco (R$/ano)</t>
  </si>
  <si>
    <t>Equipamento, seguro e manutenção (R$)</t>
  </si>
  <si>
    <t>Operação (R$)</t>
  </si>
  <si>
    <t>Bancos de armários (R$)</t>
  </si>
  <si>
    <t>Custos anuais totais (R$)</t>
  </si>
  <si>
    <t>Resultado operacional anual (R$)</t>
  </si>
  <si>
    <t>Custo por transação (R$)</t>
  </si>
  <si>
    <t>Resultado por posição/ano (R$)</t>
  </si>
  <si>
    <t>Demanda mínima / demanda projetada</t>
  </si>
  <si>
    <t>Queda da demanda até resultado zero</t>
  </si>
  <si>
    <t>Conferências: diferenças monetárias devem ser zero</t>
  </si>
  <si>
    <t>Receita menos custos menos resultado</t>
  </si>
  <si>
    <t>Receita versus premissas originais</t>
  </si>
  <si>
    <t>Posições físicas atendem à necessidade</t>
  </si>
  <si>
    <t>Equilíbrio: análise adicional c/ custos anuais da capacidade contratada mantidos cte.</t>
  </si>
  <si>
    <t>A queda admissível mede resultado zero, não a perda de liderança para outro bairro.</t>
  </si>
  <si>
    <t>BagHub | Demanda, capacidade e implantação</t>
  </si>
  <si>
    <t>Utilização</t>
  </si>
  <si>
    <t>Transações/posição/semana</t>
  </si>
  <si>
    <t>Transações/posição/dia (média)</t>
  </si>
  <si>
    <t>Posições por 1.000 transações semanais</t>
  </si>
  <si>
    <t>Leitura dos bairros e hipóteses operacionais</t>
  </si>
  <si>
    <t>Âncora de demanda</t>
  </si>
  <si>
    <t>Terminal ferroviário e rodoviário. 110 mil embarques/dia são contexto de circulação.</t>
  </si>
  <si>
    <t>Hotéis, atrações e circulação turística.</t>
  </si>
  <si>
    <t>Estádio e centro de convenções.</t>
  </si>
  <si>
    <t>Bares e casas de show.</t>
  </si>
  <si>
    <t>Localização e conexões</t>
  </si>
  <si>
    <t>Área central no mapa, vizinha ao Centro Histórico. Distâncias e tempos não foram informados.</t>
  </si>
  <si>
    <t>Corredor turístico com a Orla, indicado no mapa.</t>
  </si>
  <si>
    <t>Polo de eventos distinto do corredor turístico.</t>
  </si>
  <si>
    <t>Bairro vizinho ao Centro Histórico no mapa.</t>
  </si>
  <si>
    <t>Picos e implicações</t>
  </si>
  <si>
    <t>Conexões podem concentrar chegadas e retiradas. Medir horários de maior movimento.</t>
  </si>
  <si>
    <t>Turismo pode gerar concentração entre check-out e saída da cidade. Hipótese a validar.</t>
  </si>
  <si>
    <t>Eventos concentram demanda em janelas curtas, com risco de filas simultâneas.</t>
  </si>
  <si>
    <t>Maior fluxo entre 19h e 2h. A média semanal não revela os picos noturnos.</t>
  </si>
  <si>
    <t>Complexidade</t>
  </si>
  <si>
    <t>Condição para pontos parceiros</t>
  </si>
  <si>
    <t>Cobertura de horários compatível com as conexões, acesso com bagagem e controle de filas.</t>
  </si>
  <si>
    <t>Selecionar comércios próximos às atrações e verificar horários de retirada.</t>
  </si>
  <si>
    <t>Acesso compatível com restrições de eventos e equipe disponível antes e depois deles.</t>
  </si>
  <si>
    <t>Parceiros abertos até a retirada, identificação dos itens e suporte noturno.</t>
  </si>
  <si>
    <t>Critério de atratividade</t>
  </si>
  <si>
    <t>Maior demanda projetada e maior resultado absoluto. Exige a maior capacidade contratada.</t>
  </si>
  <si>
    <t>Maior utilização e giro por posição. Menor complexidade e maior margem no modelo parceiro.</t>
  </si>
  <si>
    <t>Menor demanda e menor utilização. Capacidade de pico não pode ser reduzida pela média.</t>
  </si>
  <si>
    <t>Segunda maior demanda e alta complexidade. Parceiros rendem R$ 630 mil a mais, menor vantagem entre bairros; armários 24h são alternativa se não houver cobertura noturna.</t>
  </si>
  <si>
    <t>Implantação e acompanhamento</t>
  </si>
  <si>
    <t>Próximo passo sugerido</t>
  </si>
  <si>
    <t>Mapear comércios próximos ao terminal, contratar capacidade e testar retirada em horários críticos.</t>
  </si>
  <si>
    <t>Prospectar pontos no corredor turístico e acompanhar o perfil de uso por horário.</t>
  </si>
  <si>
    <t>Cruzar a operação com o calendário de eventos e ensaiar recebimento e retirada em lote.</t>
  </si>
  <si>
    <t>Validar parceiros noturnos, segurança, suporte e regras claras para retirada.</t>
  </si>
  <si>
    <t>Indicadores a acompanhar</t>
  </si>
  <si>
    <t>Transações, ocupação de pico, fila, prazo de retirada, incidentes e resultado por ponto.</t>
  </si>
  <si>
    <t>Médias diárias usam 7 dias apenas como normalização; não representam picos ou horários efetivos.</t>
  </si>
  <si>
    <t>Análise qualitativa do caso. Horários específicos e efeitos de check-out são hipóteses a validar.</t>
  </si>
  <si>
    <t>Utilização baixa não indica capacidade dispensável: as posições foram dimensionadas para os picos.</t>
  </si>
  <si>
    <t>BagHub | Premissas do case</t>
  </si>
  <si>
    <t>Premissa geral</t>
  </si>
  <si>
    <t>Valor</t>
  </si>
  <si>
    <t>Unidade</t>
  </si>
  <si>
    <t>Tarifa por transação</t>
  </si>
  <si>
    <t>R$/item</t>
  </si>
  <si>
    <t>Semanas de operação no ano</t>
  </si>
  <si>
    <t>semanas</t>
  </si>
  <si>
    <t>Posições por banco de armários</t>
  </si>
  <si>
    <t>posições</t>
  </si>
  <si>
    <t>Custo anual por banco</t>
  </si>
  <si>
    <t>R$/banco/ano</t>
  </si>
  <si>
    <t>Equipamento, seguro e manutenção</t>
  </si>
  <si>
    <t>R$/posição/ano</t>
  </si>
  <si>
    <t>Embarques na Estação Central</t>
  </si>
  <si>
    <t>embarques/dia</t>
  </si>
  <si>
    <t>Transações/semana</t>
  </si>
  <si>
    <t>Moderada</t>
  </si>
  <si>
    <t>Baixa</t>
  </si>
  <si>
    <t>Alta</t>
  </si>
  <si>
    <t>Operação por posição/ano</t>
  </si>
  <si>
    <t>Regras de cálculo e interpretação</t>
  </si>
  <si>
    <t>Receita = transações por semana x semanas de operação x tarifa. Não aplicar utilização.</t>
  </si>
  <si>
    <t>Todos os custos informados são anuais. O custo dos bancos não é tratado como CAPEX.</t>
  </si>
  <si>
    <t>Custos por posição usam as posições necessárias, mesmo com sobra física de armários.</t>
  </si>
  <si>
    <t>Bancos = posições necessárias / 40, arredondado para cima. Parceiros não têm bancos.</t>
  </si>
  <si>
    <t>Equipamento, seguro e manutenção de R$ 1.400 por posição se aplicam aos dois modelos.</t>
  </si>
  <si>
    <t>Resultado = receita menos custos diretos. Excluir impostos e despesas corporativas.</t>
  </si>
  <si>
    <t>Avaliar os bairros separadamente. Não somar cenários alternativos nem compartilhar capacidade.</t>
  </si>
  <si>
    <t>Preço e demanda são iguais nos dois modelos. A capacidade necessária é contratável.</t>
  </si>
  <si>
    <t>Licenças são padronizadas. Depósito e retirada ocorrem no mesmo ponto.</t>
  </si>
  <si>
    <t>Ponto de equilíbrio adicional mantém capacidade, tarifa e custos anuais constantes.</t>
  </si>
  <si>
    <t>As conclusões textuais descrevem a base original. Revise-as se alterar os dados.</t>
  </si>
  <si>
    <t>Azul: dados editáveis. Verde: vínculos entre abas. Preto: fórmulas na própria aba.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</si>
</sst>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&quot;-&quot;"/>
    <numFmt numFmtId="165" formatCode="0.0%;\(0.0%\);&quot;-&quot;"/>
    <numFmt numFmtId="166" formatCode="&quot;R$ &quot;#,##0;\(&quot;R$ &quot;#,##0\);&quot;-&quot;"/>
    <numFmt numFmtId="167" formatCode="&quot;R$ &quot;#,##0.00;\(&quot;R$ &quot;#,##0.00\);&quot;-&quot;"/>
    <numFmt numFmtId="168" formatCode="#,##0.0"/>
    <numFmt numFmtId="169" formatCode="0.0"/>
    <numFmt numFmtId="170" formatCode="0.0\ &quot;p.p.&quot;;\(0.0\)\ &quot;p.p.&quot;"/>
  </numFmts>
  <fonts count="15">
    <font>
      <sz val="11"/>
      <name val="Carlito"/>
    </font>
    <font>
      <sz val="10"/>
      <color rgb="FF202B3C"/>
      <name val="Arial"/>
    </font>
    <font>
      <b/>
      <sz val="16"/>
      <color rgb="FF202B3C"/>
      <name val="Arial"/>
    </font>
    <font>
      <i/>
      <sz val="10"/>
      <color rgb="FF566275"/>
      <name val="Arial"/>
    </font>
    <font>
      <b/>
      <sz val="10"/>
      <color rgb="FFFFFFFF"/>
      <name val="Arial"/>
    </font>
    <font>
      <sz val="10"/>
      <color rgb="FF2156AA"/>
      <name val="Arial"/>
    </font>
    <font>
      <b/>
      <sz val="10"/>
      <color rgb="FF202B3C"/>
      <name val="Arial"/>
    </font>
    <font>
      <sz val="10"/>
      <color rgb="FF19704C"/>
      <name val="Arial"/>
    </font>
    <font>
      <sz val="10"/>
      <color rgb="FF222222"/>
      <name val="Arial"/>
    </font>
    <font>
      <i/>
      <sz val="10"/>
      <color rgb="FF202B3C"/>
      <name val="Arial"/>
    </font>
    <font>
      <i/>
      <sz val="10"/>
      <color rgb="FF19704C"/>
      <name val="Arial"/>
    </font>
    <font>
      <i/>
      <sz val="10"/>
      <color rgb="FF222222"/>
      <name val="Arial"/>
    </font>
    <font>
      <b/>
      <sz val="10"/>
      <color rgb="FF222222"/>
      <name val="Arial"/>
    </font>
    <font>
      <b/>
      <sz val="16"/>
      <color rgb="FF19704C"/>
      <name val="Arial"/>
    </font>
    <font>
      <b/>
      <u/>
      <sz val="12"/>
      <color rgb="FF202B3C"/>
      <name val="Arial"/>
    </font>
  </fonts>
  <fills count="5">
    <fill>
      <patternFill patternType="none"/>
    </fill>
    <fill>
      <patternFill patternType="gray125"/>
    </fill>
    <fill>
      <patternFill patternType="solid">
        <fgColor rgb="FF202B3C"/>
      </patternFill>
    </fill>
    <fill>
      <patternFill patternType="solid">
        <fgColor rgb="FFF0F3F7"/>
      </patternFill>
    </fill>
    <fill>
      <patternFill patternType="solid">
        <fgColor rgb="FFE2ED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vertical="center"/>
    </xf>
    <xf numFmtId="164" fontId="5" fillId="0" borderId="0" xfId="0" applyNumberFormat="1" applyFont="1" applyFill="1" applyBorder="1" applyAlignment="1">
      <alignment vertical="center"/>
    </xf>
    <xf numFmtId="165" fontId="5" fillId="0" borderId="0" xfId="0" applyNumberFormat="1" applyFont="1" applyFill="1" applyBorder="1" applyAlignment="1">
      <alignment vertical="center"/>
    </xf>
    <xf numFmtId="166" fontId="5" fillId="0" borderId="0" xfId="0" applyNumberFormat="1" applyFont="1" applyFill="1" applyBorder="1" applyAlignment="1">
      <alignment vertical="center"/>
    </xf>
    <xf numFmtId="0" fontId="6" fillId="3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164" fontId="7" fillId="0" borderId="0" xfId="0" applyNumberFormat="1" applyFont="1" applyFill="1" applyBorder="1" applyAlignment="1">
      <alignment horizontal="right" vertical="center"/>
    </xf>
    <xf numFmtId="164" fontId="8" fillId="0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/>
    </xf>
    <xf numFmtId="166" fontId="7" fillId="0" borderId="0" xfId="0" applyNumberFormat="1" applyFont="1" applyFill="1" applyBorder="1" applyAlignment="1">
      <alignment horizontal="right" vertical="center"/>
    </xf>
    <xf numFmtId="166" fontId="8" fillId="0" borderId="0" xfId="0" applyNumberFormat="1" applyFont="1" applyFill="1" applyBorder="1" applyAlignment="1">
      <alignment horizontal="right" vertical="center"/>
    </xf>
    <xf numFmtId="166" fontId="1" fillId="0" borderId="0" xfId="0" applyNumberFormat="1" applyFont="1" applyFill="1" applyBorder="1" applyAlignment="1">
      <alignment horizontal="right" vertical="center"/>
    </xf>
    <xf numFmtId="167" fontId="8" fillId="0" borderId="0" xfId="0" applyNumberFormat="1" applyFont="1" applyFill="1" applyBorder="1" applyAlignment="1">
      <alignment horizontal="right" vertical="center"/>
    </xf>
    <xf numFmtId="168" fontId="8" fillId="0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vertical="center"/>
    </xf>
    <xf numFmtId="165" fontId="10" fillId="0" borderId="0" xfId="0" applyNumberFormat="1" applyFont="1" applyFill="1" applyBorder="1" applyAlignment="1">
      <alignment horizontal="right" vertical="center"/>
    </xf>
    <xf numFmtId="165" fontId="11" fillId="0" borderId="0" xfId="0" applyNumberFormat="1" applyFont="1" applyFill="1" applyBorder="1" applyAlignment="1">
      <alignment horizontal="right" vertical="center"/>
    </xf>
    <xf numFmtId="166" fontId="12" fillId="3" borderId="0" xfId="0" applyNumberFormat="1" applyFont="1" applyFill="1" applyBorder="1" applyAlignment="1">
      <alignment horizontal="right" vertical="center"/>
    </xf>
    <xf numFmtId="0" fontId="6" fillId="4" borderId="0" xfId="0" applyNumberFormat="1" applyFont="1" applyFill="1" applyBorder="1" applyAlignment="1">
      <alignment vertical="center"/>
    </xf>
    <xf numFmtId="166" fontId="12" fillId="4" borderId="0" xfId="0" applyNumberFormat="1" applyFont="1" applyFill="1" applyBorder="1" applyAlignment="1">
      <alignment horizontal="right" vertical="center"/>
    </xf>
    <xf numFmtId="164" fontId="6" fillId="3" borderId="0" xfId="0" applyNumberFormat="1" applyFont="1" applyFill="1" applyBorder="1" applyAlignment="1">
      <alignment horizontal="right" vertical="center"/>
    </xf>
    <xf numFmtId="2" fontId="8" fillId="0" borderId="0" xfId="0" applyNumberFormat="1" applyFont="1" applyFill="1" applyBorder="1" applyAlignment="1">
      <alignment horizontal="right" vertical="center"/>
    </xf>
    <xf numFmtId="2" fontId="7" fillId="0" borderId="0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vertical="center"/>
    </xf>
    <xf numFmtId="166" fontId="13" fillId="0" borderId="0" xfId="0" applyNumberFormat="1" applyFont="1" applyFill="1" applyBorder="1" applyAlignment="1">
      <alignment vertical="center"/>
    </xf>
    <xf numFmtId="1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70" fontId="1" fillId="0" borderId="0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Border="1" applyAlignment="1">
      <alignment horizontal="center" vertical="center"/>
    </xf>
    <xf numFmtId="168" fontId="1" fillId="0" borderId="0" xfId="0" applyNumberFormat="1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>
      <alignment horizontal="center" vertical="center"/>
    </xf>
    <xf numFmtId="165" fontId="7" fillId="0" borderId="0" xfId="0" applyNumberFormat="1" applyFont="1" applyFill="1" applyBorder="1" applyAlignment="1">
      <alignment horizontal="center" vertical="center"/>
    </xf>
    <xf numFmtId="169" fontId="8" fillId="0" borderId="0" xfId="0" applyNumberFormat="1" applyFon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color rgb="FFB00020"/>
      </font>
      <fill>
        <patternFill>
          <bgColor rgb="FFFCE5E5"/>
        </patternFill>
      </fill>
    </dxf>
    <dxf>
      <font>
        <b/>
      </font>
      <fill>
        <patternFill>
          <bgColor rgb="FFE2ED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Resultado operacional anual (R$ milhões)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Resultado armários</c:v>
          </c:tx>
          <c:spPr>
            <a:solidFill>
              <a:srgbClr val="94A3B8"/>
            </a:solidFill>
          </c:spPr>
          <c:invertIfNegative val="1"/>
          <c:cat>
            <c:strRef>
              <c:f>Resumo!$A$8:$A$11</c:f>
              <c:strCache>
                <c:ptCount val="4"/>
                <c:pt idx="0">
                  <c:v>Estação Central</c:v>
                </c:pt>
                <c:pt idx="1">
                  <c:v>Centro Histórico</c:v>
                </c:pt>
                <c:pt idx="2">
                  <c:v>Arena</c:v>
                </c:pt>
                <c:pt idx="3">
                  <c:v>Noite Alta</c:v>
                </c:pt>
              </c:strCache>
            </c:strRef>
          </c:cat>
          <c:val>
            <c:numRef>
              <c:f>Resumo!$B$8:$B$11</c:f>
              <c:numCache>
                <c:formatCode>"R$ "#,##0;\("R$ "#,##0\);"-"</c:formatCode>
                <c:ptCount val="4"/>
                <c:pt idx="0">
                  <c:v>25080000</c:v>
                </c:pt>
                <c:pt idx="1">
                  <c:v>23150000</c:v>
                </c:pt>
                <c:pt idx="2">
                  <c:v>13870000</c:v>
                </c:pt>
                <c:pt idx="3">
                  <c:v>18570000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A53-43B4-9896-CC0F76BA4007}"/>
            </c:ext>
          </c:extLst>
        </c:ser>
        <c:ser>
          <c:idx val="1"/>
          <c:order val="1"/>
          <c:tx>
            <c:v>Resultado parceiros</c:v>
          </c:tx>
          <c:spPr>
            <a:solidFill>
              <a:srgbClr val="B93034"/>
            </a:solidFill>
          </c:spPr>
          <c:invertIfNegative val="1"/>
          <c:cat>
            <c:strRef>
              <c:f>Resumo!$A$8:$A$11</c:f>
              <c:strCache>
                <c:ptCount val="4"/>
                <c:pt idx="0">
                  <c:v>Estação Central</c:v>
                </c:pt>
                <c:pt idx="1">
                  <c:v>Centro Histórico</c:v>
                </c:pt>
                <c:pt idx="2">
                  <c:v>Arena</c:v>
                </c:pt>
                <c:pt idx="3">
                  <c:v>Noite Alta</c:v>
                </c:pt>
              </c:strCache>
            </c:strRef>
          </c:cat>
          <c:val>
            <c:numRef>
              <c:f>Resumo!$C$8:$C$11</c:f>
              <c:numCache>
                <c:formatCode>"R$ "#,##0;\("R$ "#,##0\);"-"</c:formatCode>
                <c:ptCount val="4"/>
                <c:pt idx="0">
                  <c:v>27840000</c:v>
                </c:pt>
                <c:pt idx="1">
                  <c:v>24500000</c:v>
                </c:pt>
                <c:pt idx="2">
                  <c:v>14940000</c:v>
                </c:pt>
                <c:pt idx="3">
                  <c:v>19200000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6A53-43B4-9896-CC0F76BA4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,,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2B3C"/>
  </sheetPr>
  <dimension ref="A1:J61"/>
  <sheetViews>
    <sheetView showGridLines="0" topLeftCell="A39" workbookViewId="0">
      <selection activeCell="A40" sqref="A40"/>
    </sheetView>
  </sheetViews>
  <sheetFormatPr defaultRowHeight="14.25" customHeight="1"/>
  <cols>
    <col min="1" max="1" width="29" customWidth="1"/>
    <col min="2" max="6" width="22" customWidth="1"/>
    <col min="7" max="7" width="14" customWidth="1"/>
  </cols>
  <sheetData>
    <row r="1" spans="1:10" ht="23.1" customHeight="1">
      <c r="A1" s="2" t="s">
        <v>0</v>
      </c>
      <c r="B1" s="2"/>
      <c r="C1" s="2"/>
      <c r="D1" s="2"/>
      <c r="E1" s="2"/>
      <c r="F1" s="2"/>
      <c r="G1" s="2"/>
      <c r="H1" s="1"/>
      <c r="I1" s="1"/>
      <c r="J1" s="1"/>
    </row>
    <row r="2" spans="1:10" ht="23.1" customHeight="1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23.1" customHeight="1">
      <c r="A3" s="1" t="s">
        <v>2</v>
      </c>
      <c r="B3" s="35" t="s">
        <v>3</v>
      </c>
      <c r="C3" s="30"/>
      <c r="D3" s="1" t="s">
        <v>4</v>
      </c>
      <c r="E3" s="35" t="s">
        <v>5</v>
      </c>
      <c r="F3" s="30"/>
      <c r="G3" s="1"/>
      <c r="H3" s="1"/>
      <c r="I3" s="1"/>
      <c r="J3" s="1"/>
    </row>
    <row r="4" spans="1:10" ht="23.1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1" customHeight="1">
      <c r="A5" s="1" t="s">
        <v>6</v>
      </c>
      <c r="B5" s="31">
        <f>MAX(E8:E11)</f>
        <v>27840000</v>
      </c>
      <c r="C5" s="1"/>
      <c r="D5" s="1"/>
      <c r="E5" s="1"/>
      <c r="F5" s="1"/>
      <c r="G5" s="1"/>
      <c r="H5" s="1"/>
      <c r="I5" s="1"/>
      <c r="J5" s="1"/>
    </row>
    <row r="6" spans="1:10" ht="23.1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38.1" customHeight="1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1"/>
      <c r="I7" s="1"/>
      <c r="J7" s="1"/>
    </row>
    <row r="8" spans="1:10" ht="23.1" customHeight="1">
      <c r="A8" s="33" t="str">
        <f>Premissas!A12</f>
        <v>Estação Central</v>
      </c>
      <c r="B8" s="34">
        <f>Calculos!B28</f>
        <v>25080000</v>
      </c>
      <c r="C8" s="34">
        <f>Calculos!C28</f>
        <v>27840000</v>
      </c>
      <c r="D8" s="33" t="str">
        <f>IF(C8&gt;B8,"Parceiros",IF(B8&gt;C8,"Armários","Empate"))</f>
        <v>Parceiros</v>
      </c>
      <c r="E8" s="34">
        <f>MAX(B8:C8)</f>
        <v>27840000</v>
      </c>
      <c r="F8" s="34">
        <f>C8-B8</f>
        <v>2760000</v>
      </c>
      <c r="G8" s="1">
        <f>1+COUNTIFS($E$8:$E$11,"&gt;"&amp;E8)</f>
        <v>1</v>
      </c>
      <c r="H8" s="1"/>
      <c r="I8" s="1"/>
      <c r="J8" s="1"/>
    </row>
    <row r="9" spans="1:10" ht="23.1" customHeight="1">
      <c r="A9" s="33" t="str">
        <f>Premissas!A13</f>
        <v>Centro Histórico</v>
      </c>
      <c r="B9" s="34">
        <f>Calculos!D28</f>
        <v>23150000</v>
      </c>
      <c r="C9" s="34">
        <f>Calculos!E28</f>
        <v>24500000</v>
      </c>
      <c r="D9" s="33" t="str">
        <f>IF(C9&gt;B9,"Parceiros",IF(B9&gt;C9,"Armários","Empate"))</f>
        <v>Parceiros</v>
      </c>
      <c r="E9" s="34">
        <f>MAX(B9:C9)</f>
        <v>24500000</v>
      </c>
      <c r="F9" s="34">
        <f>C9-B9</f>
        <v>1350000</v>
      </c>
      <c r="G9" s="1">
        <f>1+COUNTIFS($E$8:$E$11,"&gt;"&amp;E9)</f>
        <v>2</v>
      </c>
      <c r="H9" s="1"/>
      <c r="I9" s="1"/>
      <c r="J9" s="1"/>
    </row>
    <row r="10" spans="1:10" ht="23.1" customHeight="1">
      <c r="A10" s="33" t="str">
        <f>Premissas!A14</f>
        <v>Arena</v>
      </c>
      <c r="B10" s="34">
        <f>Calculos!F28</f>
        <v>13870000</v>
      </c>
      <c r="C10" s="34">
        <f>Calculos!G28</f>
        <v>14940000</v>
      </c>
      <c r="D10" s="33" t="str">
        <f>IF(C10&gt;B10,"Parceiros",IF(B10&gt;C10,"Armários","Empate"))</f>
        <v>Parceiros</v>
      </c>
      <c r="E10" s="34">
        <f>MAX(B10:C10)</f>
        <v>14940000</v>
      </c>
      <c r="F10" s="34">
        <f>C10-B10</f>
        <v>1070000</v>
      </c>
      <c r="G10" s="1">
        <f>1+COUNTIFS($E$8:$E$11,"&gt;"&amp;E10)</f>
        <v>4</v>
      </c>
      <c r="H10" s="1"/>
      <c r="I10" s="1"/>
      <c r="J10" s="1"/>
    </row>
    <row r="11" spans="1:10" ht="23.1" customHeight="1">
      <c r="A11" s="33" t="str">
        <f>Premissas!A15</f>
        <v>Noite Alta</v>
      </c>
      <c r="B11" s="34">
        <f>Calculos!H28</f>
        <v>18570000</v>
      </c>
      <c r="C11" s="34">
        <f>Calculos!I28</f>
        <v>19200000</v>
      </c>
      <c r="D11" s="33" t="str">
        <f>IF(C11&gt;B11,"Parceiros",IF(B11&gt;C11,"Armários","Empate"))</f>
        <v>Parceiros</v>
      </c>
      <c r="E11" s="34">
        <f>MAX(B11:C11)</f>
        <v>19200000</v>
      </c>
      <c r="F11" s="34">
        <f>C11-B11</f>
        <v>630000</v>
      </c>
      <c r="G11" s="1">
        <f>1+COUNTIFS($E$8:$E$11,"&gt;"&amp;E11)</f>
        <v>3</v>
      </c>
      <c r="H11" s="1"/>
      <c r="I11" s="1"/>
      <c r="J11" s="1"/>
    </row>
    <row r="12" spans="1:10" ht="23.1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3.1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3.1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3.1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23.1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23.1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3.1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3.1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3.1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3.1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3.1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3.1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3.1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3.1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3.1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3.1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3.1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3.1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3.1" customHeight="1">
      <c r="A30" s="9" t="s">
        <v>14</v>
      </c>
      <c r="B30" s="9"/>
      <c r="C30" s="9"/>
      <c r="D30" s="9"/>
      <c r="E30" s="9"/>
      <c r="F30" s="9"/>
      <c r="G30" s="9"/>
      <c r="H30" s="1"/>
      <c r="I30" s="1"/>
      <c r="J30" s="1"/>
    </row>
    <row r="31" spans="1:10" ht="23.1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38.1" customHeight="1">
      <c r="A32" s="4" t="s">
        <v>15</v>
      </c>
      <c r="B32" s="4" t="s">
        <v>16</v>
      </c>
      <c r="C32" s="4" t="s">
        <v>17</v>
      </c>
      <c r="D32" s="4" t="s">
        <v>18</v>
      </c>
      <c r="E32" s="1"/>
      <c r="F32" s="1"/>
      <c r="G32" s="1"/>
      <c r="H32" s="1"/>
      <c r="I32" s="1"/>
      <c r="J32" s="1"/>
    </row>
    <row r="33" spans="1:10" ht="23.1" customHeight="1">
      <c r="A33" s="1" t="s">
        <v>6</v>
      </c>
      <c r="B33" s="34">
        <f>Calculos!C28</f>
        <v>27840000</v>
      </c>
      <c r="C33" s="34">
        <f>Calculos!E28</f>
        <v>24500000</v>
      </c>
      <c r="D33" s="34">
        <f>B33-C33</f>
        <v>3340000</v>
      </c>
      <c r="E33" s="1"/>
      <c r="F33" s="1"/>
      <c r="G33" s="1"/>
      <c r="H33" s="1"/>
      <c r="I33" s="1"/>
      <c r="J33" s="1"/>
    </row>
    <row r="34" spans="1:10" ht="23.1" customHeight="1">
      <c r="A34" s="1" t="s">
        <v>19</v>
      </c>
      <c r="B34" s="36">
        <f>Calculos!C29</f>
        <v>0.77333333333333332</v>
      </c>
      <c r="C34" s="36">
        <f>Calculos!E29</f>
        <v>0.90740740740740744</v>
      </c>
      <c r="D34" s="37">
        <f>(B34-C34)*100</f>
        <v>-13.407407407407412</v>
      </c>
      <c r="E34" s="1"/>
      <c r="F34" s="1"/>
      <c r="G34" s="1"/>
      <c r="H34" s="1"/>
      <c r="I34" s="1"/>
      <c r="J34" s="1"/>
    </row>
    <row r="35" spans="1:10" ht="23.1" customHeight="1">
      <c r="A35" s="1" t="s">
        <v>20</v>
      </c>
      <c r="B35" s="34">
        <f>Calculos!C32</f>
        <v>11600</v>
      </c>
      <c r="C35" s="34">
        <f>Calculos!E32</f>
        <v>24500</v>
      </c>
      <c r="D35" s="34">
        <f>B35-C35</f>
        <v>-12900</v>
      </c>
      <c r="E35" s="1"/>
      <c r="F35" s="1"/>
      <c r="G35" s="1"/>
      <c r="H35" s="1"/>
      <c r="I35" s="1"/>
      <c r="J35" s="1"/>
    </row>
    <row r="36" spans="1:10" ht="23.1" customHeight="1">
      <c r="A36" s="1" t="s">
        <v>21</v>
      </c>
      <c r="B36" s="38">
        <f>Calculos!C31</f>
        <v>6.8</v>
      </c>
      <c r="C36" s="38">
        <f>Calculos!E31</f>
        <v>2.7777777777777777</v>
      </c>
      <c r="D36" s="38">
        <f>B36-C36</f>
        <v>4.0222222222222221</v>
      </c>
      <c r="E36" s="1"/>
      <c r="F36" s="1"/>
      <c r="G36" s="1"/>
      <c r="H36" s="1"/>
      <c r="I36" s="1"/>
      <c r="J36" s="1"/>
    </row>
    <row r="37" spans="1:10" ht="36" customHeight="1">
      <c r="A37" s="28" t="s">
        <v>22</v>
      </c>
      <c r="B37" s="39">
        <f>Calculos!C33</f>
        <v>5440</v>
      </c>
      <c r="C37" s="39">
        <f>Calculos!E33</f>
        <v>1666.6666666666665</v>
      </c>
      <c r="D37" s="39">
        <f>B37-C37</f>
        <v>3773.3333333333335</v>
      </c>
      <c r="E37" s="1"/>
      <c r="F37" s="1"/>
      <c r="G37" s="1"/>
      <c r="H37" s="1"/>
      <c r="I37" s="1"/>
      <c r="J37" s="1"/>
    </row>
    <row r="38" spans="1:10" ht="23.1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23.1" customHeight="1">
      <c r="A39" s="1" t="s">
        <v>23</v>
      </c>
      <c r="B39" s="1"/>
      <c r="C39" s="1"/>
      <c r="D39" s="43">
        <v>9.2799999999999994E-2</v>
      </c>
      <c r="E39" s="32"/>
      <c r="F39" s="1"/>
      <c r="G39" s="1"/>
      <c r="H39" s="1"/>
      <c r="I39" s="1"/>
      <c r="J39" s="1"/>
    </row>
    <row r="40" spans="1:10" ht="23.1" customHeight="1">
      <c r="A40" s="3" t="s">
        <v>24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ht="23.1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23.1" customHeight="1">
      <c r="A42" s="9" t="s">
        <v>25</v>
      </c>
      <c r="B42" s="9"/>
      <c r="C42" s="9"/>
      <c r="D42" s="9"/>
      <c r="E42" s="9"/>
      <c r="F42" s="9"/>
      <c r="G42" s="9"/>
      <c r="H42" s="1"/>
      <c r="I42" s="1"/>
      <c r="J42" s="1"/>
    </row>
    <row r="43" spans="1:10" ht="23.1" customHeight="1">
      <c r="A43" s="1" t="s">
        <v>26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ht="23.1" customHeight="1">
      <c r="A44" s="1" t="s">
        <v>27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ht="23.1" customHeight="1">
      <c r="A45" s="1" t="s">
        <v>28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ht="23.1" customHeight="1">
      <c r="A46" s="1" t="s">
        <v>29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ht="23.1" customHeight="1">
      <c r="A47" s="1" t="s">
        <v>30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ht="23.1" customHeight="1">
      <c r="A48" s="1" t="s">
        <v>31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ht="23.1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1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23.1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23.1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23.1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23.1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23.1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23.1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23.1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23.1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23.1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23.1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/>
  </sheetData>
  <conditionalFormatting sqref="A8:G11">
    <cfRule type="expression" dxfId="1" priority="1">
      <formula>$G8=1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3"/>
  <sheetViews>
    <sheetView showGridLines="0" workbookViewId="0">
      <pane xSplit="1" ySplit="5" topLeftCell="B6" activePane="bottomRight" state="frozen"/>
      <selection pane="bottomRight" activeCell="B28" sqref="B28"/>
      <selection pane="bottomLeft"/>
      <selection pane="topRight"/>
    </sheetView>
  </sheetViews>
  <sheetFormatPr defaultRowHeight="14.25" customHeight="1"/>
  <cols>
    <col min="1" max="1" width="63.5" customWidth="1"/>
    <col min="2" max="9" width="20" customWidth="1"/>
  </cols>
  <sheetData>
    <row r="1" spans="1:10" ht="23.1" customHeight="1">
      <c r="A1" s="2" t="s">
        <v>32</v>
      </c>
      <c r="B1" s="2"/>
      <c r="C1" s="2"/>
      <c r="D1" s="2"/>
      <c r="E1" s="2"/>
      <c r="F1" s="2"/>
      <c r="G1" s="2"/>
      <c r="H1" s="2"/>
      <c r="I1" s="2"/>
      <c r="J1" s="1"/>
    </row>
    <row r="2" spans="1:10" ht="23.1" customHeight="1">
      <c r="A2" s="3" t="s">
        <v>33</v>
      </c>
      <c r="B2" s="1"/>
      <c r="C2" s="1"/>
      <c r="D2" s="1"/>
      <c r="E2" s="1"/>
      <c r="F2" s="1"/>
      <c r="G2" s="1"/>
      <c r="H2" s="1"/>
      <c r="I2" s="1"/>
      <c r="J2" s="1"/>
    </row>
    <row r="3" spans="1:10" ht="23.1" customHeight="1">
      <c r="A3" s="1" t="s">
        <v>34</v>
      </c>
      <c r="B3" s="1"/>
      <c r="C3" s="1"/>
      <c r="D3" s="1"/>
      <c r="E3" s="1"/>
      <c r="F3" s="1"/>
      <c r="G3" s="1"/>
      <c r="H3" s="1"/>
      <c r="I3" s="1"/>
      <c r="J3" s="1"/>
    </row>
    <row r="4" spans="1:10" ht="38.1" customHeight="1">
      <c r="A4" s="4" t="s">
        <v>15</v>
      </c>
      <c r="B4" s="4" t="s">
        <v>3</v>
      </c>
      <c r="C4" s="4" t="s">
        <v>3</v>
      </c>
      <c r="D4" s="4" t="s">
        <v>35</v>
      </c>
      <c r="E4" s="4" t="s">
        <v>35</v>
      </c>
      <c r="F4" s="4" t="s">
        <v>36</v>
      </c>
      <c r="G4" s="4" t="s">
        <v>36</v>
      </c>
      <c r="H4" s="4" t="s">
        <v>37</v>
      </c>
      <c r="I4" s="4" t="s">
        <v>37</v>
      </c>
      <c r="J4" s="1"/>
    </row>
    <row r="5" spans="1:10" ht="38.1" customHeight="1">
      <c r="A5" s="4" t="s">
        <v>38</v>
      </c>
      <c r="B5" s="4" t="s">
        <v>39</v>
      </c>
      <c r="C5" s="4" t="s">
        <v>5</v>
      </c>
      <c r="D5" s="4" t="s">
        <v>39</v>
      </c>
      <c r="E5" s="4" t="s">
        <v>5</v>
      </c>
      <c r="F5" s="4" t="s">
        <v>39</v>
      </c>
      <c r="G5" s="4" t="s">
        <v>5</v>
      </c>
      <c r="H5" s="4" t="s">
        <v>39</v>
      </c>
      <c r="I5" s="4" t="s">
        <v>5</v>
      </c>
      <c r="J5" s="1"/>
    </row>
    <row r="6" spans="1:10" ht="23.1" customHeight="1">
      <c r="A6" s="1" t="s">
        <v>40</v>
      </c>
      <c r="B6" s="11">
        <f>Premissas!B12</f>
        <v>24000</v>
      </c>
      <c r="C6" s="11">
        <f>Premissas!B12</f>
        <v>24000</v>
      </c>
      <c r="D6" s="11">
        <f>Premissas!B13</f>
        <v>18000</v>
      </c>
      <c r="E6" s="11">
        <f>Premissas!B13</f>
        <v>18000</v>
      </c>
      <c r="F6" s="11">
        <f>Premissas!B14</f>
        <v>12000</v>
      </c>
      <c r="G6" s="11">
        <f>Premissas!B14</f>
        <v>12000</v>
      </c>
      <c r="H6" s="11">
        <f>Premissas!B15</f>
        <v>20000</v>
      </c>
      <c r="I6" s="11">
        <f>Premissas!B15</f>
        <v>20000</v>
      </c>
      <c r="J6" s="1"/>
    </row>
    <row r="7" spans="1:10" ht="23.1" customHeight="1">
      <c r="A7" s="1" t="s">
        <v>41</v>
      </c>
      <c r="B7" s="11">
        <f>Premissas!$B$5</f>
        <v>50</v>
      </c>
      <c r="C7" s="11">
        <f>Premissas!$B$5</f>
        <v>50</v>
      </c>
      <c r="D7" s="11">
        <f>Premissas!$B$5</f>
        <v>50</v>
      </c>
      <c r="E7" s="11">
        <f>Premissas!$B$5</f>
        <v>50</v>
      </c>
      <c r="F7" s="11">
        <f>Premissas!$B$5</f>
        <v>50</v>
      </c>
      <c r="G7" s="11">
        <f>Premissas!$B$5</f>
        <v>50</v>
      </c>
      <c r="H7" s="11">
        <f>Premissas!$B$5</f>
        <v>50</v>
      </c>
      <c r="I7" s="11">
        <f>Premissas!$B$5</f>
        <v>50</v>
      </c>
      <c r="J7" s="1"/>
    </row>
    <row r="8" spans="1:10" ht="23.1" customHeight="1">
      <c r="A8" s="1" t="s">
        <v>42</v>
      </c>
      <c r="B8" s="14">
        <f>Premissas!$B$4</f>
        <v>30</v>
      </c>
      <c r="C8" s="14">
        <f>Premissas!$B$4</f>
        <v>30</v>
      </c>
      <c r="D8" s="14">
        <f>Premissas!$B$4</f>
        <v>30</v>
      </c>
      <c r="E8" s="14">
        <f>Premissas!$B$4</f>
        <v>30</v>
      </c>
      <c r="F8" s="14">
        <f>Premissas!$B$4</f>
        <v>30</v>
      </c>
      <c r="G8" s="14">
        <f>Premissas!$B$4</f>
        <v>30</v>
      </c>
      <c r="H8" s="14">
        <f>Premissas!$B$4</f>
        <v>30</v>
      </c>
      <c r="I8" s="14">
        <f>Premissas!$B$4</f>
        <v>30</v>
      </c>
      <c r="J8" s="1"/>
    </row>
    <row r="9" spans="1:10" ht="23.1" customHeight="1">
      <c r="A9" s="1" t="s">
        <v>43</v>
      </c>
      <c r="B9" s="12">
        <f>B6*B7</f>
        <v>1200000</v>
      </c>
      <c r="C9" s="12">
        <f>C6*C7</f>
        <v>1200000</v>
      </c>
      <c r="D9" s="12">
        <f>D6*D7</f>
        <v>900000</v>
      </c>
      <c r="E9" s="12">
        <f>E6*E7</f>
        <v>900000</v>
      </c>
      <c r="F9" s="12">
        <f>F6*F7</f>
        <v>600000</v>
      </c>
      <c r="G9" s="12">
        <f>G6*G7</f>
        <v>600000</v>
      </c>
      <c r="H9" s="12">
        <f>H6*H7</f>
        <v>1000000</v>
      </c>
      <c r="I9" s="12">
        <f>I6*I7</f>
        <v>1000000</v>
      </c>
      <c r="J9" s="1"/>
    </row>
    <row r="10" spans="1:10" ht="23.1" customHeight="1">
      <c r="A10" s="9" t="s">
        <v>44</v>
      </c>
      <c r="B10" s="22">
        <f>B9*B8</f>
        <v>36000000</v>
      </c>
      <c r="C10" s="22">
        <f>C9*C8</f>
        <v>36000000</v>
      </c>
      <c r="D10" s="22">
        <f>D9*D8</f>
        <v>27000000</v>
      </c>
      <c r="E10" s="22">
        <f>E9*E8</f>
        <v>27000000</v>
      </c>
      <c r="F10" s="22">
        <f>F9*F8</f>
        <v>18000000</v>
      </c>
      <c r="G10" s="22">
        <f>G9*G8</f>
        <v>18000000</v>
      </c>
      <c r="H10" s="22">
        <f>H9*H8</f>
        <v>30000000</v>
      </c>
      <c r="I10" s="22">
        <f>I9*I8</f>
        <v>30000000</v>
      </c>
      <c r="J10" s="1"/>
    </row>
    <row r="11" spans="1:10" ht="23.1" customHeight="1">
      <c r="A11" s="1"/>
      <c r="B11" s="13"/>
      <c r="C11" s="13"/>
      <c r="D11" s="13"/>
      <c r="E11" s="13"/>
      <c r="F11" s="13"/>
      <c r="G11" s="13"/>
      <c r="H11" s="13"/>
      <c r="I11" s="13"/>
      <c r="J11" s="1"/>
    </row>
    <row r="12" spans="1:10" ht="23.1" customHeight="1">
      <c r="A12" s="1" t="s">
        <v>45</v>
      </c>
      <c r="B12" s="11">
        <f>Premissas!C12</f>
        <v>2400</v>
      </c>
      <c r="C12" s="11">
        <f>Premissas!C12</f>
        <v>2400</v>
      </c>
      <c r="D12" s="11">
        <f>Premissas!C13</f>
        <v>1000</v>
      </c>
      <c r="E12" s="11">
        <f>Premissas!C13</f>
        <v>1000</v>
      </c>
      <c r="F12" s="11">
        <f>Premissas!C14</f>
        <v>900</v>
      </c>
      <c r="G12" s="11">
        <f>Premissas!C14</f>
        <v>900</v>
      </c>
      <c r="H12" s="11">
        <f>Premissas!C15</f>
        <v>1800</v>
      </c>
      <c r="I12" s="11">
        <f>Premissas!C15</f>
        <v>1800</v>
      </c>
      <c r="J12" s="1"/>
    </row>
    <row r="13" spans="1:10" ht="23.1" customHeight="1">
      <c r="A13" s="19" t="s">
        <v>46</v>
      </c>
      <c r="B13" s="20">
        <f>Premissas!D12</f>
        <v>0.42</v>
      </c>
      <c r="C13" s="20">
        <f>Premissas!D12</f>
        <v>0.42</v>
      </c>
      <c r="D13" s="20">
        <f>Premissas!D13</f>
        <v>0.54</v>
      </c>
      <c r="E13" s="20">
        <f>Premissas!D13</f>
        <v>0.54</v>
      </c>
      <c r="F13" s="20">
        <f>Premissas!D14</f>
        <v>0.31</v>
      </c>
      <c r="G13" s="20">
        <f>Premissas!D14</f>
        <v>0.31</v>
      </c>
      <c r="H13" s="20">
        <f>Premissas!D15</f>
        <v>0.33</v>
      </c>
      <c r="I13" s="20">
        <f>Premissas!D15</f>
        <v>0.33</v>
      </c>
      <c r="J13" s="1"/>
    </row>
    <row r="14" spans="1:10" ht="23.1" customHeight="1">
      <c r="A14" s="1" t="s">
        <v>47</v>
      </c>
      <c r="B14" s="11" t="str">
        <f>Premissas!E12</f>
        <v>Moderada</v>
      </c>
      <c r="C14" s="11" t="str">
        <f>Premissas!E12</f>
        <v>Moderada</v>
      </c>
      <c r="D14" s="11" t="str">
        <f>Premissas!E13</f>
        <v>Baixa</v>
      </c>
      <c r="E14" s="11" t="str">
        <f>Premissas!E13</f>
        <v>Baixa</v>
      </c>
      <c r="F14" s="11" t="str">
        <f>Premissas!E14</f>
        <v>Moderada</v>
      </c>
      <c r="G14" s="11" t="str">
        <f>Premissas!E14</f>
        <v>Moderada</v>
      </c>
      <c r="H14" s="11" t="str">
        <f>Premissas!E15</f>
        <v>Alta</v>
      </c>
      <c r="I14" s="11" t="str">
        <f>Premissas!E15</f>
        <v>Alta</v>
      </c>
      <c r="J14" s="1"/>
    </row>
    <row r="15" spans="1:10" ht="23.1" customHeight="1">
      <c r="A15" s="1" t="s">
        <v>48</v>
      </c>
      <c r="B15" s="11">
        <f>ROUNDUP(B12/Premissas!$B$6,0)</f>
        <v>60</v>
      </c>
      <c r="C15" s="13" t="s">
        <v>49</v>
      </c>
      <c r="D15" s="11">
        <f>ROUNDUP(D12/Premissas!$B$6,0)</f>
        <v>25</v>
      </c>
      <c r="E15" s="13" t="s">
        <v>49</v>
      </c>
      <c r="F15" s="11">
        <f>ROUNDUP(F12/Premissas!$B$6,0)</f>
        <v>23</v>
      </c>
      <c r="G15" s="13" t="s">
        <v>49</v>
      </c>
      <c r="H15" s="11">
        <f>ROUNDUP(H12/Premissas!$B$6,0)</f>
        <v>45</v>
      </c>
      <c r="I15" s="13" t="s">
        <v>49</v>
      </c>
      <c r="J15" s="1"/>
    </row>
    <row r="16" spans="1:10" ht="23.1" customHeight="1">
      <c r="A16" s="1" t="s">
        <v>50</v>
      </c>
      <c r="B16" s="11">
        <f>B15*Premissas!$B$6</f>
        <v>2400</v>
      </c>
      <c r="C16" s="12">
        <f>C12</f>
        <v>2400</v>
      </c>
      <c r="D16" s="11">
        <f>D15*Premissas!$B$6</f>
        <v>1000</v>
      </c>
      <c r="E16" s="12">
        <f>E12</f>
        <v>1000</v>
      </c>
      <c r="F16" s="11">
        <f>F15*Premissas!$B$6</f>
        <v>920</v>
      </c>
      <c r="G16" s="12">
        <f>G12</f>
        <v>900</v>
      </c>
      <c r="H16" s="11">
        <f>H15*Premissas!$B$6</f>
        <v>1800</v>
      </c>
      <c r="I16" s="12">
        <f>I12</f>
        <v>1800</v>
      </c>
      <c r="J16" s="1"/>
    </row>
    <row r="17" spans="1:10" ht="23.1" customHeight="1">
      <c r="A17" s="1" t="s">
        <v>51</v>
      </c>
      <c r="B17" s="12">
        <f>B16-B12</f>
        <v>0</v>
      </c>
      <c r="C17" s="12">
        <f>C16-C12</f>
        <v>0</v>
      </c>
      <c r="D17" s="12">
        <f>D16-D12</f>
        <v>0</v>
      </c>
      <c r="E17" s="12">
        <f>E16-E12</f>
        <v>0</v>
      </c>
      <c r="F17" s="12">
        <f>F16-F12</f>
        <v>20</v>
      </c>
      <c r="G17" s="12">
        <f>G16-G12</f>
        <v>0</v>
      </c>
      <c r="H17" s="12">
        <f>H16-H12</f>
        <v>0</v>
      </c>
      <c r="I17" s="12">
        <f>I16-I12</f>
        <v>0</v>
      </c>
      <c r="J17" s="1"/>
    </row>
    <row r="18" spans="1:10" ht="23.1" customHeight="1">
      <c r="A18" s="1"/>
      <c r="B18" s="13"/>
      <c r="C18" s="13"/>
      <c r="D18" s="13"/>
      <c r="E18" s="13"/>
      <c r="F18" s="13"/>
      <c r="G18" s="13"/>
      <c r="H18" s="13"/>
      <c r="I18" s="13"/>
      <c r="J18" s="1"/>
    </row>
    <row r="19" spans="1:10" ht="23.1" customHeight="1">
      <c r="A19" s="1" t="s">
        <v>52</v>
      </c>
      <c r="B19" s="14">
        <f>Premissas!$B$8</f>
        <v>1400</v>
      </c>
      <c r="C19" s="14">
        <f>Premissas!$B$8</f>
        <v>1400</v>
      </c>
      <c r="D19" s="14">
        <f>Premissas!$B$8</f>
        <v>1400</v>
      </c>
      <c r="E19" s="14">
        <f>Premissas!$B$8</f>
        <v>1400</v>
      </c>
      <c r="F19" s="14">
        <f>Premissas!$B$8</f>
        <v>1400</v>
      </c>
      <c r="G19" s="14">
        <f>Premissas!$B$8</f>
        <v>1400</v>
      </c>
      <c r="H19" s="14">
        <f>Premissas!$B$8</f>
        <v>1400</v>
      </c>
      <c r="I19" s="14">
        <f>Premissas!$B$8</f>
        <v>1400</v>
      </c>
      <c r="J19" s="1"/>
    </row>
    <row r="20" spans="1:10" ht="23.1" customHeight="1">
      <c r="A20" s="1" t="s">
        <v>53</v>
      </c>
      <c r="B20" s="14">
        <f>VLOOKUP(B14,Premissas!$A$18:$C$20,2,FALSE)</f>
        <v>1400</v>
      </c>
      <c r="C20" s="14">
        <f>VLOOKUP(C14,Premissas!$A$18:$C$20,3,FALSE)</f>
        <v>2000</v>
      </c>
      <c r="D20" s="14">
        <f>VLOOKUP(D14,Premissas!$A$18:$C$20,2,FALSE)</f>
        <v>700</v>
      </c>
      <c r="E20" s="14">
        <f>VLOOKUP(E14,Premissas!$A$18:$C$20,3,FALSE)</f>
        <v>1100</v>
      </c>
      <c r="F20" s="14">
        <f>VLOOKUP(F14,Premissas!$A$18:$C$20,2,FALSE)</f>
        <v>1400</v>
      </c>
      <c r="G20" s="14">
        <f>VLOOKUP(G14,Premissas!$A$18:$C$20,3,FALSE)</f>
        <v>2000</v>
      </c>
      <c r="H20" s="14">
        <f>VLOOKUP(H14,Premissas!$A$18:$C$20,2,FALSE)</f>
        <v>3200</v>
      </c>
      <c r="I20" s="14">
        <f>VLOOKUP(I14,Premissas!$A$18:$C$20,3,FALSE)</f>
        <v>4600</v>
      </c>
      <c r="J20" s="1"/>
    </row>
    <row r="21" spans="1:10" ht="23.1" customHeight="1">
      <c r="A21" s="1" t="s">
        <v>54</v>
      </c>
      <c r="B21" s="14">
        <f>Premissas!$B$7</f>
        <v>70000</v>
      </c>
      <c r="C21" s="16" t="s">
        <v>49</v>
      </c>
      <c r="D21" s="14">
        <f>Premissas!$B$7</f>
        <v>70000</v>
      </c>
      <c r="E21" s="16" t="s">
        <v>49</v>
      </c>
      <c r="F21" s="14">
        <f>Premissas!$B$7</f>
        <v>70000</v>
      </c>
      <c r="G21" s="16" t="s">
        <v>49</v>
      </c>
      <c r="H21" s="14">
        <f>Premissas!$B$7</f>
        <v>70000</v>
      </c>
      <c r="I21" s="16" t="s">
        <v>49</v>
      </c>
      <c r="J21" s="1"/>
    </row>
    <row r="22" spans="1:10" ht="23.1" customHeight="1">
      <c r="A22" s="1"/>
      <c r="B22" s="13"/>
      <c r="C22" s="13"/>
      <c r="D22" s="13"/>
      <c r="E22" s="13"/>
      <c r="F22" s="13"/>
      <c r="G22" s="13"/>
      <c r="H22" s="13"/>
      <c r="I22" s="13"/>
      <c r="J22" s="1"/>
    </row>
    <row r="23" spans="1:10" ht="23.1" customHeight="1">
      <c r="A23" s="1" t="s">
        <v>55</v>
      </c>
      <c r="B23" s="15">
        <f>B12*B19</f>
        <v>3360000</v>
      </c>
      <c r="C23" s="15">
        <f>C12*C19</f>
        <v>3360000</v>
      </c>
      <c r="D23" s="15">
        <f>D12*D19</f>
        <v>1400000</v>
      </c>
      <c r="E23" s="15">
        <f>E12*E19</f>
        <v>1400000</v>
      </c>
      <c r="F23" s="15">
        <f>F12*F19</f>
        <v>1260000</v>
      </c>
      <c r="G23" s="15">
        <f>G12*G19</f>
        <v>1260000</v>
      </c>
      <c r="H23" s="15">
        <f>H12*H19</f>
        <v>2520000</v>
      </c>
      <c r="I23" s="15">
        <f>I12*I19</f>
        <v>2520000</v>
      </c>
      <c r="J23" s="1"/>
    </row>
    <row r="24" spans="1:10" ht="23.1" customHeight="1">
      <c r="A24" s="1" t="s">
        <v>56</v>
      </c>
      <c r="B24" s="15">
        <f>B12*B20</f>
        <v>3360000</v>
      </c>
      <c r="C24" s="15">
        <f>C12*C20</f>
        <v>4800000</v>
      </c>
      <c r="D24" s="15">
        <f>D12*D20</f>
        <v>700000</v>
      </c>
      <c r="E24" s="15">
        <f>E12*E20</f>
        <v>1100000</v>
      </c>
      <c r="F24" s="15">
        <f>F12*F20</f>
        <v>1260000</v>
      </c>
      <c r="G24" s="15">
        <f>G12*G20</f>
        <v>1800000</v>
      </c>
      <c r="H24" s="15">
        <f>H12*H20</f>
        <v>5760000</v>
      </c>
      <c r="I24" s="15">
        <f>I12*I20</f>
        <v>8280000</v>
      </c>
      <c r="J24" s="1"/>
    </row>
    <row r="25" spans="1:10" ht="23.1" customHeight="1">
      <c r="A25" s="1" t="s">
        <v>57</v>
      </c>
      <c r="B25" s="15">
        <f>B15*B21</f>
        <v>4200000</v>
      </c>
      <c r="C25" s="16">
        <v>0</v>
      </c>
      <c r="D25" s="15">
        <f>D15*D21</f>
        <v>1750000</v>
      </c>
      <c r="E25" s="16">
        <v>0</v>
      </c>
      <c r="F25" s="15">
        <f>F15*F21</f>
        <v>1610000</v>
      </c>
      <c r="G25" s="16">
        <v>0</v>
      </c>
      <c r="H25" s="15">
        <f>H15*H21</f>
        <v>3150000</v>
      </c>
      <c r="I25" s="16">
        <v>0</v>
      </c>
      <c r="J25" s="1"/>
    </row>
    <row r="26" spans="1:10" ht="23.1" customHeight="1">
      <c r="A26" s="9" t="s">
        <v>58</v>
      </c>
      <c r="B26" s="22">
        <f>SUM(B23:B25)</f>
        <v>10920000</v>
      </c>
      <c r="C26" s="22">
        <f>SUM(C23:C25)</f>
        <v>8160000</v>
      </c>
      <c r="D26" s="22">
        <f>SUM(D23:D25)</f>
        <v>3850000</v>
      </c>
      <c r="E26" s="22">
        <f>SUM(E23:E25)</f>
        <v>2500000</v>
      </c>
      <c r="F26" s="22">
        <f>SUM(F23:F25)</f>
        <v>4130000</v>
      </c>
      <c r="G26" s="22">
        <f>SUM(G23:G25)</f>
        <v>3060000</v>
      </c>
      <c r="H26" s="22">
        <f>SUM(H23:H25)</f>
        <v>11430000</v>
      </c>
      <c r="I26" s="22">
        <f>SUM(I23:I25)</f>
        <v>10800000</v>
      </c>
      <c r="J26" s="1"/>
    </row>
    <row r="27" spans="1:10" ht="23.1" customHeight="1">
      <c r="A27" s="1"/>
      <c r="B27" s="13"/>
      <c r="C27" s="13"/>
      <c r="D27" s="13"/>
      <c r="E27" s="13"/>
      <c r="F27" s="13"/>
      <c r="G27" s="13"/>
      <c r="H27" s="13"/>
      <c r="I27" s="13"/>
      <c r="J27" s="1"/>
    </row>
    <row r="28" spans="1:10" ht="23.1" customHeight="1">
      <c r="A28" s="23" t="s">
        <v>59</v>
      </c>
      <c r="B28" s="24">
        <f>B10-B26</f>
        <v>25080000</v>
      </c>
      <c r="C28" s="24">
        <f>C10-C26</f>
        <v>27840000</v>
      </c>
      <c r="D28" s="24">
        <f>D10-D26</f>
        <v>23150000</v>
      </c>
      <c r="E28" s="24">
        <f>E10-E26</f>
        <v>24500000</v>
      </c>
      <c r="F28" s="24">
        <f>F10-F26</f>
        <v>13870000</v>
      </c>
      <c r="G28" s="24">
        <f>G10-G26</f>
        <v>14940000</v>
      </c>
      <c r="H28" s="24">
        <f>H10-H26</f>
        <v>18570000</v>
      </c>
      <c r="I28" s="24">
        <f>I10-I26</f>
        <v>19200000</v>
      </c>
      <c r="J28" s="1"/>
    </row>
    <row r="29" spans="1:10" ht="23.1" customHeight="1">
      <c r="A29" s="19" t="s">
        <v>19</v>
      </c>
      <c r="B29" s="21">
        <f>B28/B10</f>
        <v>0.69666666666666666</v>
      </c>
      <c r="C29" s="21">
        <f>C28/C10</f>
        <v>0.77333333333333332</v>
      </c>
      <c r="D29" s="21">
        <f>D28/D10</f>
        <v>0.8574074074074074</v>
      </c>
      <c r="E29" s="21">
        <f>E28/E10</f>
        <v>0.90740740740740744</v>
      </c>
      <c r="F29" s="21">
        <f>F28/F10</f>
        <v>0.77055555555555555</v>
      </c>
      <c r="G29" s="21">
        <f>G28/G10</f>
        <v>0.83</v>
      </c>
      <c r="H29" s="21">
        <f>H28/H10</f>
        <v>0.61899999999999999</v>
      </c>
      <c r="I29" s="21">
        <f>I28/I10</f>
        <v>0.64</v>
      </c>
      <c r="J29" s="1"/>
    </row>
    <row r="30" spans="1:10" ht="23.1" customHeight="1">
      <c r="A30" s="1"/>
      <c r="B30" s="13"/>
      <c r="C30" s="13"/>
      <c r="D30" s="13"/>
      <c r="E30" s="13"/>
      <c r="F30" s="13"/>
      <c r="G30" s="13"/>
      <c r="H30" s="13"/>
      <c r="I30" s="13"/>
      <c r="J30" s="1"/>
    </row>
    <row r="31" spans="1:10" ht="23.1" customHeight="1">
      <c r="A31" s="1" t="s">
        <v>60</v>
      </c>
      <c r="B31" s="17">
        <f>B26/B9</f>
        <v>9.1</v>
      </c>
      <c r="C31" s="17">
        <f>C26/C9</f>
        <v>6.8</v>
      </c>
      <c r="D31" s="17">
        <f>D26/D9</f>
        <v>4.2777777777777777</v>
      </c>
      <c r="E31" s="17">
        <f>E26/E9</f>
        <v>2.7777777777777777</v>
      </c>
      <c r="F31" s="17">
        <f>F26/F9</f>
        <v>6.8833333333333337</v>
      </c>
      <c r="G31" s="17">
        <f>G26/G9</f>
        <v>5.0999999999999996</v>
      </c>
      <c r="H31" s="17">
        <f>H26/H9</f>
        <v>11.43</v>
      </c>
      <c r="I31" s="17">
        <f>I26/I9</f>
        <v>10.8</v>
      </c>
      <c r="J31" s="1"/>
    </row>
    <row r="32" spans="1:10" ht="23.1" customHeight="1">
      <c r="A32" s="1" t="s">
        <v>61</v>
      </c>
      <c r="B32" s="15">
        <f>B28/B12</f>
        <v>10450</v>
      </c>
      <c r="C32" s="15">
        <f>C28/C12</f>
        <v>11600</v>
      </c>
      <c r="D32" s="15">
        <f>D28/D12</f>
        <v>23150</v>
      </c>
      <c r="E32" s="15">
        <f>E28/E12</f>
        <v>24500</v>
      </c>
      <c r="F32" s="15">
        <f>F28/F12</f>
        <v>15411.111111111111</v>
      </c>
      <c r="G32" s="15">
        <f>G28/G12</f>
        <v>16600</v>
      </c>
      <c r="H32" s="15">
        <f>H28/H12</f>
        <v>10316.666666666666</v>
      </c>
      <c r="I32" s="15">
        <f>I28/I12</f>
        <v>10666.666666666666</v>
      </c>
      <c r="J32" s="1"/>
    </row>
    <row r="33" spans="1:10" ht="23.1" customHeight="1">
      <c r="A33" s="1" t="s">
        <v>22</v>
      </c>
      <c r="B33" s="18">
        <f>B26/B8/B7</f>
        <v>7280</v>
      </c>
      <c r="C33" s="18">
        <f>C26/C8/C7</f>
        <v>5440</v>
      </c>
      <c r="D33" s="18">
        <f>D26/D8/D7</f>
        <v>2566.6666666666665</v>
      </c>
      <c r="E33" s="18">
        <f>E26/E8/E7</f>
        <v>1666.6666666666665</v>
      </c>
      <c r="F33" s="18">
        <f>F26/F8/F7</f>
        <v>2753.333333333333</v>
      </c>
      <c r="G33" s="18">
        <f>G26/G8/G7</f>
        <v>2040</v>
      </c>
      <c r="H33" s="18">
        <f>H26/H8/H7</f>
        <v>7620</v>
      </c>
      <c r="I33" s="18">
        <f>I26/I8/I7</f>
        <v>7200</v>
      </c>
      <c r="J33" s="1"/>
    </row>
    <row r="34" spans="1:10" ht="23.1" customHeight="1">
      <c r="A34" s="19" t="s">
        <v>62</v>
      </c>
      <c r="B34" s="21">
        <f>B33/B6</f>
        <v>0.30333333333333334</v>
      </c>
      <c r="C34" s="21">
        <f>C33/C6</f>
        <v>0.22666666666666666</v>
      </c>
      <c r="D34" s="21">
        <f>D33/D6</f>
        <v>0.14259259259259258</v>
      </c>
      <c r="E34" s="21">
        <f>E33/E6</f>
        <v>9.2592592592592587E-2</v>
      </c>
      <c r="F34" s="21">
        <f>F33/F6</f>
        <v>0.22944444444444442</v>
      </c>
      <c r="G34" s="21">
        <f>G33/G6</f>
        <v>0.17</v>
      </c>
      <c r="H34" s="21">
        <f>H33/H6</f>
        <v>0.38100000000000001</v>
      </c>
      <c r="I34" s="21">
        <f>I33/I6</f>
        <v>0.36</v>
      </c>
      <c r="J34" s="1"/>
    </row>
    <row r="35" spans="1:10" ht="23.1" customHeight="1">
      <c r="A35" s="19" t="s">
        <v>63</v>
      </c>
      <c r="B35" s="21">
        <f>1-B34</f>
        <v>0.69666666666666666</v>
      </c>
      <c r="C35" s="21">
        <f>1-C34</f>
        <v>0.77333333333333332</v>
      </c>
      <c r="D35" s="21">
        <f>1-D34</f>
        <v>0.8574074074074074</v>
      </c>
      <c r="E35" s="21">
        <f>1-E34</f>
        <v>0.90740740740740744</v>
      </c>
      <c r="F35" s="21">
        <f>1-F34</f>
        <v>0.77055555555555555</v>
      </c>
      <c r="G35" s="21">
        <f>1-G34</f>
        <v>0.83</v>
      </c>
      <c r="H35" s="21">
        <f>1-H34</f>
        <v>0.61899999999999999</v>
      </c>
      <c r="I35" s="21">
        <f>1-I34</f>
        <v>0.64</v>
      </c>
      <c r="J35" s="1"/>
    </row>
    <row r="36" spans="1:10" ht="23.1" customHeight="1">
      <c r="A36" s="1"/>
      <c r="B36" s="13"/>
      <c r="C36" s="13"/>
      <c r="D36" s="13"/>
      <c r="E36" s="13"/>
      <c r="F36" s="13"/>
      <c r="G36" s="13"/>
      <c r="H36" s="13"/>
      <c r="I36" s="13"/>
      <c r="J36" s="1"/>
    </row>
    <row r="37" spans="1:10" ht="23.1" customHeight="1">
      <c r="A37" s="9" t="s">
        <v>64</v>
      </c>
      <c r="B37" s="25"/>
      <c r="C37" s="25"/>
      <c r="D37" s="25"/>
      <c r="E37" s="25"/>
      <c r="F37" s="25"/>
      <c r="G37" s="25"/>
      <c r="H37" s="25"/>
      <c r="I37" s="25"/>
      <c r="J37" s="1"/>
    </row>
    <row r="38" spans="1:10" ht="23.1" customHeight="1">
      <c r="A38" s="1" t="s">
        <v>65</v>
      </c>
      <c r="B38" s="26">
        <f>B10-B26-B28</f>
        <v>0</v>
      </c>
      <c r="C38" s="26">
        <f>C10-C26-C28</f>
        <v>0</v>
      </c>
      <c r="D38" s="26">
        <f>D10-D26-D28</f>
        <v>0</v>
      </c>
      <c r="E38" s="26">
        <f>E10-E26-E28</f>
        <v>0</v>
      </c>
      <c r="F38" s="26">
        <f>F10-F26-F28</f>
        <v>0</v>
      </c>
      <c r="G38" s="26">
        <f>G10-G26-G28</f>
        <v>0</v>
      </c>
      <c r="H38" s="26">
        <f>H10-H26-H28</f>
        <v>0</v>
      </c>
      <c r="I38" s="26">
        <f>I10-I26-I28</f>
        <v>0</v>
      </c>
      <c r="J38" s="1"/>
    </row>
    <row r="39" spans="1:10" ht="23.1" customHeight="1">
      <c r="A39" s="1" t="s">
        <v>66</v>
      </c>
      <c r="B39" s="27">
        <f>B10-Premissas!B12*Premissas!$B$5*Premissas!$B$4</f>
        <v>0</v>
      </c>
      <c r="C39" s="27">
        <f>C10-Premissas!B12*Premissas!$B$5*Premissas!$B$4</f>
        <v>0</v>
      </c>
      <c r="D39" s="27">
        <f>D10-Premissas!B13*Premissas!$B$5*Premissas!$B$4</f>
        <v>0</v>
      </c>
      <c r="E39" s="27">
        <f>E10-Premissas!B13*Premissas!$B$5*Premissas!$B$4</f>
        <v>0</v>
      </c>
      <c r="F39" s="27">
        <f>F10-Premissas!B14*Premissas!$B$5*Premissas!$B$4</f>
        <v>0</v>
      </c>
      <c r="G39" s="27">
        <f>G10-Premissas!B14*Premissas!$B$5*Premissas!$B$4</f>
        <v>0</v>
      </c>
      <c r="H39" s="27">
        <f>H10-Premissas!B15*Premissas!$B$5*Premissas!$B$4</f>
        <v>0</v>
      </c>
      <c r="I39" s="27">
        <f>I10-Premissas!B15*Premissas!$B$5*Premissas!$B$4</f>
        <v>0</v>
      </c>
      <c r="J39" s="1"/>
    </row>
    <row r="40" spans="1:10" ht="23.1" customHeight="1">
      <c r="A40" s="1" t="s">
        <v>67</v>
      </c>
      <c r="B40" s="12" t="str">
        <f>IF(B16&gt;=B12,"OK","REVER")</f>
        <v>OK</v>
      </c>
      <c r="C40" s="12" t="str">
        <f>IF(C16&gt;=C12,"OK","REVER")</f>
        <v>OK</v>
      </c>
      <c r="D40" s="12" t="str">
        <f>IF(D16&gt;=D12,"OK","REVER")</f>
        <v>OK</v>
      </c>
      <c r="E40" s="12" t="str">
        <f>IF(E16&gt;=E12,"OK","REVER")</f>
        <v>OK</v>
      </c>
      <c r="F40" s="12" t="str">
        <f>IF(F16&gt;=F12,"OK","REVER")</f>
        <v>OK</v>
      </c>
      <c r="G40" s="12" t="str">
        <f>IF(G16&gt;=G12,"OK","REVER")</f>
        <v>OK</v>
      </c>
      <c r="H40" s="12" t="str">
        <f>IF(H16&gt;=H12,"OK","REVER")</f>
        <v>OK</v>
      </c>
      <c r="I40" s="12" t="str">
        <f>IF(I16&gt;=I12,"OK","REVER")</f>
        <v>OK</v>
      </c>
      <c r="J40" s="1"/>
    </row>
    <row r="41" spans="1:10" ht="23.1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23.1" customHeight="1">
      <c r="A42" s="3" t="s">
        <v>68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ht="23.1" customHeight="1">
      <c r="A43" s="3" t="s">
        <v>69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ht="23.1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23.1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23.1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23.1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23.1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23.1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1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23.1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23.1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23.1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23.1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23.1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23.1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23.1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23.1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23.1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23.1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23.1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23.1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/>
  </sheetData>
  <conditionalFormatting sqref="B38:I39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4"/>
  <sheetViews>
    <sheetView showGridLines="0" workbookViewId="0">
      <pane ySplit="2" topLeftCell="A3" activePane="bottomLeft" state="frozen"/>
      <selection pane="bottomLeft" activeCell="B22" sqref="B22"/>
    </sheetView>
  </sheetViews>
  <sheetFormatPr defaultRowHeight="14.25" customHeight="1"/>
  <cols>
    <col min="1" max="1" width="37" customWidth="1"/>
    <col min="2" max="5" width="34" customWidth="1"/>
  </cols>
  <sheetData>
    <row r="1" spans="1:10" ht="23.1" customHeight="1">
      <c r="A1" s="2" t="s">
        <v>70</v>
      </c>
      <c r="B1" s="2"/>
      <c r="C1" s="2"/>
      <c r="D1" s="2"/>
      <c r="E1" s="2"/>
      <c r="F1" s="1"/>
      <c r="G1" s="1"/>
      <c r="H1" s="1"/>
      <c r="I1" s="1"/>
      <c r="J1" s="1"/>
    </row>
    <row r="2" spans="1:10" ht="38.1" customHeight="1">
      <c r="A2" s="4" t="s">
        <v>15</v>
      </c>
      <c r="B2" s="4" t="s">
        <v>3</v>
      </c>
      <c r="C2" s="4" t="s">
        <v>35</v>
      </c>
      <c r="D2" s="4" t="s">
        <v>36</v>
      </c>
      <c r="E2" s="4" t="s">
        <v>37</v>
      </c>
      <c r="F2" s="1"/>
      <c r="G2" s="1"/>
      <c r="H2" s="1"/>
      <c r="I2" s="1"/>
      <c r="J2" s="1"/>
    </row>
    <row r="3" spans="1:10" ht="23.1" customHeight="1">
      <c r="A3" s="1" t="s">
        <v>40</v>
      </c>
      <c r="B3" s="40">
        <f>Premissas!B12</f>
        <v>24000</v>
      </c>
      <c r="C3" s="40">
        <f>Premissas!B13</f>
        <v>18000</v>
      </c>
      <c r="D3" s="40">
        <f>Premissas!B14</f>
        <v>12000</v>
      </c>
      <c r="E3" s="40">
        <f>Premissas!B15</f>
        <v>20000</v>
      </c>
      <c r="F3" s="1"/>
      <c r="G3" s="1"/>
      <c r="H3" s="1"/>
      <c r="I3" s="1"/>
      <c r="J3" s="1"/>
    </row>
    <row r="4" spans="1:10" ht="23.1" customHeight="1">
      <c r="A4" s="1" t="s">
        <v>45</v>
      </c>
      <c r="B4" s="40">
        <f>Premissas!C12</f>
        <v>2400</v>
      </c>
      <c r="C4" s="40">
        <f>Premissas!C13</f>
        <v>1000</v>
      </c>
      <c r="D4" s="40">
        <f>Premissas!C14</f>
        <v>900</v>
      </c>
      <c r="E4" s="40">
        <f>Premissas!C15</f>
        <v>1800</v>
      </c>
      <c r="F4" s="1"/>
      <c r="G4" s="1"/>
      <c r="H4" s="1"/>
      <c r="I4" s="1"/>
      <c r="J4" s="1"/>
    </row>
    <row r="5" spans="1:10" ht="23.1" customHeight="1">
      <c r="A5" s="1" t="s">
        <v>71</v>
      </c>
      <c r="B5" s="41">
        <f>Premissas!D12</f>
        <v>0.42</v>
      </c>
      <c r="C5" s="41">
        <f>Premissas!D13</f>
        <v>0.54</v>
      </c>
      <c r="D5" s="41">
        <f>Premissas!D14</f>
        <v>0.31</v>
      </c>
      <c r="E5" s="41">
        <f>Premissas!D15</f>
        <v>0.33</v>
      </c>
      <c r="F5" s="1"/>
      <c r="G5" s="1"/>
      <c r="H5" s="1"/>
      <c r="I5" s="1"/>
      <c r="J5" s="1"/>
    </row>
    <row r="6" spans="1:10" ht="23.1" customHeight="1">
      <c r="A6" s="1" t="s">
        <v>72</v>
      </c>
      <c r="B6" s="42">
        <f>B3/B4</f>
        <v>10</v>
      </c>
      <c r="C6" s="42">
        <f>C3/C4</f>
        <v>18</v>
      </c>
      <c r="D6" s="42">
        <f>D3/D4</f>
        <v>13.333333333333334</v>
      </c>
      <c r="E6" s="42">
        <f>E3/E4</f>
        <v>11.111111111111111</v>
      </c>
      <c r="F6" s="1"/>
      <c r="G6" s="1"/>
      <c r="H6" s="1"/>
      <c r="I6" s="1"/>
      <c r="J6" s="1"/>
    </row>
    <row r="7" spans="1:10" ht="23.1" customHeight="1">
      <c r="A7" s="1" t="s">
        <v>73</v>
      </c>
      <c r="B7" s="42">
        <f>B6/7</f>
        <v>1.4285714285714286</v>
      </c>
      <c r="C7" s="42">
        <f>C6/7</f>
        <v>2.5714285714285716</v>
      </c>
      <c r="D7" s="42">
        <f>D6/7</f>
        <v>1.9047619047619049</v>
      </c>
      <c r="E7" s="42">
        <f>E6/7</f>
        <v>1.5873015873015872</v>
      </c>
      <c r="F7" s="1"/>
      <c r="G7" s="1"/>
      <c r="H7" s="1"/>
      <c r="I7" s="1"/>
      <c r="J7" s="1"/>
    </row>
    <row r="8" spans="1:10" ht="23.1" customHeight="1">
      <c r="A8" s="1" t="s">
        <v>74</v>
      </c>
      <c r="B8" s="42">
        <f>B4/B3*1000</f>
        <v>100</v>
      </c>
      <c r="C8" s="42">
        <f>C4/C3*1000</f>
        <v>55.55555555555555</v>
      </c>
      <c r="D8" s="42">
        <f>D4/D3*1000</f>
        <v>75</v>
      </c>
      <c r="E8" s="42">
        <f>E4/E3*1000</f>
        <v>90</v>
      </c>
      <c r="F8" s="1"/>
      <c r="G8" s="1"/>
      <c r="H8" s="1"/>
      <c r="I8" s="1"/>
      <c r="J8" s="1"/>
    </row>
    <row r="9" spans="1:10" ht="23.1" customHeight="1">
      <c r="A9" s="9" t="s">
        <v>75</v>
      </c>
      <c r="B9" s="9"/>
      <c r="C9" s="9"/>
      <c r="D9" s="9"/>
      <c r="E9" s="9"/>
      <c r="F9" s="1"/>
      <c r="G9" s="1"/>
      <c r="H9" s="1"/>
      <c r="I9" s="1"/>
      <c r="J9" s="1"/>
    </row>
    <row r="10" spans="1:10" ht="65.099999999999994" customHeight="1">
      <c r="A10" s="29" t="s">
        <v>76</v>
      </c>
      <c r="B10" s="29" t="s">
        <v>77</v>
      </c>
      <c r="C10" s="29" t="s">
        <v>78</v>
      </c>
      <c r="D10" s="29" t="s">
        <v>79</v>
      </c>
      <c r="E10" s="29" t="s">
        <v>80</v>
      </c>
      <c r="F10" s="1"/>
      <c r="G10" s="1"/>
      <c r="H10" s="1"/>
      <c r="I10" s="1"/>
      <c r="J10" s="1"/>
    </row>
    <row r="11" spans="1:10" ht="65.099999999999994" customHeight="1">
      <c r="A11" s="29" t="s">
        <v>81</v>
      </c>
      <c r="B11" s="29" t="s">
        <v>82</v>
      </c>
      <c r="C11" s="29" t="s">
        <v>83</v>
      </c>
      <c r="D11" s="29" t="s">
        <v>84</v>
      </c>
      <c r="E11" s="29" t="s">
        <v>85</v>
      </c>
      <c r="F11" s="1"/>
      <c r="G11" s="1"/>
      <c r="H11" s="1"/>
      <c r="I11" s="1"/>
      <c r="J11" s="1"/>
    </row>
    <row r="12" spans="1:10" ht="65.099999999999994" customHeight="1">
      <c r="A12" s="29" t="s">
        <v>86</v>
      </c>
      <c r="B12" s="29" t="s">
        <v>87</v>
      </c>
      <c r="C12" s="29" t="s">
        <v>88</v>
      </c>
      <c r="D12" s="29" t="s">
        <v>89</v>
      </c>
      <c r="E12" s="29" t="s">
        <v>90</v>
      </c>
      <c r="F12" s="1"/>
      <c r="G12" s="1"/>
      <c r="H12" s="1"/>
      <c r="I12" s="1"/>
      <c r="J12" s="1"/>
    </row>
    <row r="13" spans="1:10" ht="23.1" customHeight="1">
      <c r="A13" s="1" t="s">
        <v>91</v>
      </c>
      <c r="B13" s="10" t="str">
        <f>Premissas!E12</f>
        <v>Moderada</v>
      </c>
      <c r="C13" s="10" t="str">
        <f>Premissas!E13</f>
        <v>Baixa</v>
      </c>
      <c r="D13" s="10" t="str">
        <f>Premissas!E14</f>
        <v>Moderada</v>
      </c>
      <c r="E13" s="10" t="str">
        <f>Premissas!E15</f>
        <v>Alta</v>
      </c>
      <c r="F13" s="1"/>
      <c r="G13" s="1"/>
      <c r="H13" s="1"/>
      <c r="I13" s="1"/>
      <c r="J13" s="1"/>
    </row>
    <row r="14" spans="1:10" ht="65.099999999999994" customHeight="1">
      <c r="A14" s="29" t="s">
        <v>92</v>
      </c>
      <c r="B14" s="29" t="s">
        <v>93</v>
      </c>
      <c r="C14" s="29" t="s">
        <v>94</v>
      </c>
      <c r="D14" s="29" t="s">
        <v>95</v>
      </c>
      <c r="E14" s="29" t="s">
        <v>96</v>
      </c>
      <c r="F14" s="1"/>
      <c r="G14" s="1"/>
      <c r="H14" s="1"/>
      <c r="I14" s="1"/>
      <c r="J14" s="1"/>
    </row>
    <row r="15" spans="1:10" ht="65.099999999999994" customHeight="1">
      <c r="A15" s="29" t="s">
        <v>97</v>
      </c>
      <c r="B15" s="29" t="s">
        <v>98</v>
      </c>
      <c r="C15" s="29" t="s">
        <v>99</v>
      </c>
      <c r="D15" s="29" t="s">
        <v>100</v>
      </c>
      <c r="E15" s="29" t="s">
        <v>101</v>
      </c>
      <c r="F15" s="1"/>
      <c r="G15" s="1"/>
      <c r="H15" s="1"/>
      <c r="I15" s="1"/>
      <c r="J15" s="1"/>
    </row>
    <row r="16" spans="1:10" ht="23.1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23.1" customHeight="1">
      <c r="A17" s="9" t="s">
        <v>102</v>
      </c>
      <c r="B17" s="9"/>
      <c r="C17" s="9"/>
      <c r="D17" s="9"/>
      <c r="E17" s="9"/>
      <c r="F17" s="1"/>
      <c r="G17" s="1"/>
      <c r="H17" s="1"/>
      <c r="I17" s="1"/>
      <c r="J17" s="1"/>
    </row>
    <row r="18" spans="1:10" ht="65.099999999999994" customHeight="1">
      <c r="A18" s="29" t="s">
        <v>103</v>
      </c>
      <c r="B18" s="29" t="s">
        <v>104</v>
      </c>
      <c r="C18" s="29" t="s">
        <v>105</v>
      </c>
      <c r="D18" s="29" t="s">
        <v>106</v>
      </c>
      <c r="E18" s="29" t="s">
        <v>107</v>
      </c>
      <c r="F18" s="1"/>
      <c r="G18" s="1"/>
      <c r="H18" s="1"/>
      <c r="I18" s="1"/>
      <c r="J18" s="1"/>
    </row>
    <row r="19" spans="1:10" ht="65.099999999999994" customHeight="1">
      <c r="A19" s="29" t="s">
        <v>108</v>
      </c>
      <c r="B19" s="29" t="s">
        <v>109</v>
      </c>
      <c r="C19" s="29" t="s">
        <v>109</v>
      </c>
      <c r="D19" s="29" t="s">
        <v>109</v>
      </c>
      <c r="E19" s="29" t="s">
        <v>109</v>
      </c>
      <c r="F19" s="1"/>
      <c r="G19" s="1"/>
      <c r="H19" s="1"/>
      <c r="I19" s="1"/>
      <c r="J19" s="1"/>
    </row>
    <row r="20" spans="1:10" ht="23.1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3.1" customHeight="1">
      <c r="A21" s="3" t="s">
        <v>110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ht="23.1" customHeight="1">
      <c r="A22" s="3" t="s">
        <v>111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23.1" customHeight="1">
      <c r="A23" s="3" t="s">
        <v>112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23.1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3.1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3.1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3.1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3.1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3.1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3.1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3.1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23.1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23.1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23.1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23.1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23.1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23.1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23.1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23.1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23.1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23.1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23.1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23.1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23.1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23.1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23.1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23.1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23.1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23.1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1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23.1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23.1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23.1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23.1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23.1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23.1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23.1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23.1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23.1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23.1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/>
    <row r="62" spans="1:10"/>
    <row r="63" spans="1:10"/>
    <row r="64" spans="1:10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FA2B9"/>
  </sheetPr>
  <dimension ref="A1:J56"/>
  <sheetViews>
    <sheetView showGridLines="0" tabSelected="1" workbookViewId="0">
      <selection activeCell="A35" sqref="A35"/>
    </sheetView>
  </sheetViews>
  <sheetFormatPr defaultRowHeight="14.25" customHeight="1"/>
  <cols>
    <col min="1" max="1" width="48" customWidth="1"/>
    <col min="2" max="2" width="21" customWidth="1"/>
    <col min="3" max="6" width="22" customWidth="1"/>
  </cols>
  <sheetData>
    <row r="1" spans="1:10" ht="23.1" customHeight="1">
      <c r="A1" s="2" t="s">
        <v>113</v>
      </c>
      <c r="B1" s="2"/>
      <c r="C1" s="2"/>
      <c r="D1" s="2"/>
      <c r="E1" s="2"/>
      <c r="F1" s="2"/>
      <c r="G1" s="1"/>
      <c r="H1" s="1"/>
      <c r="I1" s="1"/>
      <c r="J1" s="1"/>
    </row>
    <row r="2" spans="1:10" ht="23.1" customHeight="1">
      <c r="A2" s="3"/>
      <c r="B2" s="1"/>
      <c r="C2" s="1"/>
      <c r="D2" s="1"/>
      <c r="E2" s="1"/>
      <c r="F2" s="1"/>
      <c r="G2" s="1"/>
      <c r="H2" s="1"/>
      <c r="I2" s="1"/>
      <c r="J2" s="1"/>
    </row>
    <row r="3" spans="1:10" ht="38.1" customHeight="1">
      <c r="A3" s="4" t="s">
        <v>114</v>
      </c>
      <c r="B3" s="4" t="s">
        <v>115</v>
      </c>
      <c r="C3" s="4" t="s">
        <v>116</v>
      </c>
      <c r="D3" s="1"/>
      <c r="E3" s="1"/>
      <c r="F3" s="1"/>
      <c r="G3" s="1"/>
      <c r="H3" s="1"/>
      <c r="I3" s="1"/>
      <c r="J3" s="1"/>
    </row>
    <row r="4" spans="1:10" ht="23.1" customHeight="1">
      <c r="A4" s="1" t="s">
        <v>117</v>
      </c>
      <c r="B4" s="6">
        <v>30</v>
      </c>
      <c r="C4" s="1" t="s">
        <v>118</v>
      </c>
      <c r="D4" s="1"/>
      <c r="E4" s="1"/>
      <c r="F4" s="1"/>
      <c r="G4" s="1"/>
      <c r="H4" s="1"/>
      <c r="I4" s="1"/>
      <c r="J4" s="1"/>
    </row>
    <row r="5" spans="1:10" ht="23.1" customHeight="1">
      <c r="A5" s="1" t="s">
        <v>119</v>
      </c>
      <c r="B5" s="6">
        <v>50</v>
      </c>
      <c r="C5" s="1" t="s">
        <v>120</v>
      </c>
      <c r="D5" s="1"/>
      <c r="E5" s="1"/>
      <c r="F5" s="1"/>
      <c r="G5" s="1"/>
      <c r="H5" s="1"/>
      <c r="I5" s="1"/>
      <c r="J5" s="1"/>
    </row>
    <row r="6" spans="1:10" ht="23.1" customHeight="1">
      <c r="A6" s="1" t="s">
        <v>121</v>
      </c>
      <c r="B6" s="6">
        <v>40</v>
      </c>
      <c r="C6" s="1" t="s">
        <v>122</v>
      </c>
      <c r="D6" s="1"/>
      <c r="E6" s="1"/>
      <c r="F6" s="1"/>
      <c r="G6" s="1"/>
      <c r="H6" s="1"/>
      <c r="I6" s="1"/>
      <c r="J6" s="1"/>
    </row>
    <row r="7" spans="1:10" ht="23.1" customHeight="1">
      <c r="A7" s="1" t="s">
        <v>123</v>
      </c>
      <c r="B7" s="6">
        <v>70000</v>
      </c>
      <c r="C7" s="1" t="s">
        <v>124</v>
      </c>
      <c r="D7" s="1"/>
      <c r="E7" s="1"/>
      <c r="F7" s="1"/>
      <c r="G7" s="1"/>
      <c r="H7" s="1"/>
      <c r="I7" s="1"/>
      <c r="J7" s="1"/>
    </row>
    <row r="8" spans="1:10" ht="23.1" customHeight="1">
      <c r="A8" s="1" t="s">
        <v>125</v>
      </c>
      <c r="B8" s="6">
        <v>1400</v>
      </c>
      <c r="C8" s="1" t="s">
        <v>126</v>
      </c>
      <c r="D8" s="1"/>
      <c r="E8" s="1"/>
      <c r="F8" s="1"/>
      <c r="G8" s="1"/>
      <c r="H8" s="1"/>
      <c r="I8" s="1"/>
      <c r="J8" s="1"/>
    </row>
    <row r="9" spans="1:10" ht="23.1" customHeight="1">
      <c r="A9" s="1" t="s">
        <v>127</v>
      </c>
      <c r="B9" s="6">
        <v>110000</v>
      </c>
      <c r="C9" s="1" t="s">
        <v>128</v>
      </c>
      <c r="D9" s="1"/>
      <c r="E9" s="1"/>
      <c r="F9" s="1"/>
      <c r="G9" s="1"/>
      <c r="H9" s="1"/>
      <c r="I9" s="1"/>
      <c r="J9" s="1"/>
    </row>
    <row r="10" spans="1:10" ht="23.1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38.1" customHeight="1">
      <c r="A11" s="4" t="s">
        <v>7</v>
      </c>
      <c r="B11" s="4" t="s">
        <v>129</v>
      </c>
      <c r="C11" s="4" t="s">
        <v>45</v>
      </c>
      <c r="D11" s="4" t="s">
        <v>71</v>
      </c>
      <c r="E11" s="4" t="s">
        <v>91</v>
      </c>
      <c r="F11" s="1"/>
      <c r="G11" s="1"/>
      <c r="H11" s="1"/>
      <c r="I11" s="1"/>
      <c r="J11" s="1"/>
    </row>
    <row r="12" spans="1:10" ht="23.1" customHeight="1">
      <c r="A12" s="1" t="s">
        <v>3</v>
      </c>
      <c r="B12" s="6">
        <v>24000</v>
      </c>
      <c r="C12" s="6">
        <v>2400</v>
      </c>
      <c r="D12" s="7">
        <v>0.42</v>
      </c>
      <c r="E12" s="5" t="s">
        <v>130</v>
      </c>
      <c r="F12" s="1"/>
      <c r="G12" s="1"/>
      <c r="H12" s="1"/>
      <c r="I12" s="1"/>
      <c r="J12" s="1"/>
    </row>
    <row r="13" spans="1:10" ht="23.1" customHeight="1">
      <c r="A13" s="1" t="s">
        <v>35</v>
      </c>
      <c r="B13" s="6">
        <v>18000</v>
      </c>
      <c r="C13" s="6">
        <v>1000</v>
      </c>
      <c r="D13" s="7">
        <v>0.54</v>
      </c>
      <c r="E13" s="5" t="s">
        <v>131</v>
      </c>
      <c r="F13" s="1"/>
      <c r="G13" s="1"/>
      <c r="H13" s="1"/>
      <c r="I13" s="1"/>
      <c r="J13" s="1"/>
    </row>
    <row r="14" spans="1:10" ht="23.1" customHeight="1">
      <c r="A14" s="1" t="s">
        <v>36</v>
      </c>
      <c r="B14" s="6">
        <v>12000</v>
      </c>
      <c r="C14" s="6">
        <v>900</v>
      </c>
      <c r="D14" s="7">
        <v>0.31</v>
      </c>
      <c r="E14" s="5" t="s">
        <v>130</v>
      </c>
      <c r="F14" s="1"/>
      <c r="G14" s="1"/>
      <c r="H14" s="1"/>
      <c r="I14" s="1"/>
      <c r="J14" s="1"/>
    </row>
    <row r="15" spans="1:10" ht="23.1" customHeight="1">
      <c r="A15" s="1" t="s">
        <v>37</v>
      </c>
      <c r="B15" s="6">
        <v>20000</v>
      </c>
      <c r="C15" s="6">
        <v>1800</v>
      </c>
      <c r="D15" s="7">
        <v>0.33</v>
      </c>
      <c r="E15" s="5" t="s">
        <v>132</v>
      </c>
      <c r="F15" s="1"/>
      <c r="G15" s="1"/>
      <c r="H15" s="1"/>
      <c r="I15" s="1"/>
      <c r="J15" s="1"/>
    </row>
    <row r="16" spans="1:10" ht="23.1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38.1" customHeight="1">
      <c r="A17" s="4" t="s">
        <v>133</v>
      </c>
      <c r="B17" s="4" t="s">
        <v>39</v>
      </c>
      <c r="C17" s="4" t="s">
        <v>5</v>
      </c>
      <c r="D17" s="1"/>
      <c r="E17" s="1"/>
      <c r="F17" s="1"/>
      <c r="G17" s="1"/>
      <c r="H17" s="1"/>
      <c r="I17" s="1"/>
      <c r="J17" s="1"/>
    </row>
    <row r="18" spans="1:10" ht="23.1" customHeight="1">
      <c r="A18" s="1" t="s">
        <v>131</v>
      </c>
      <c r="B18" s="8">
        <v>700</v>
      </c>
      <c r="C18" s="8">
        <v>1100</v>
      </c>
      <c r="D18" s="1"/>
      <c r="E18" s="1"/>
      <c r="F18" s="1"/>
      <c r="G18" s="1"/>
      <c r="H18" s="1"/>
      <c r="I18" s="1"/>
      <c r="J18" s="1"/>
    </row>
    <row r="19" spans="1:10" ht="23.1" customHeight="1">
      <c r="A19" s="1" t="s">
        <v>130</v>
      </c>
      <c r="B19" s="8">
        <v>1400</v>
      </c>
      <c r="C19" s="8">
        <v>2000</v>
      </c>
      <c r="D19" s="1"/>
      <c r="E19" s="1"/>
      <c r="F19" s="1"/>
      <c r="G19" s="1"/>
      <c r="H19" s="1"/>
      <c r="I19" s="1"/>
      <c r="J19" s="1"/>
    </row>
    <row r="20" spans="1:10" ht="23.1" customHeight="1">
      <c r="A20" s="1" t="s">
        <v>132</v>
      </c>
      <c r="B20" s="8">
        <v>3200</v>
      </c>
      <c r="C20" s="8">
        <v>4600</v>
      </c>
      <c r="D20" s="1"/>
      <c r="E20" s="1"/>
      <c r="F20" s="1"/>
      <c r="G20" s="1"/>
      <c r="H20" s="1"/>
      <c r="I20" s="1"/>
      <c r="J20" s="1"/>
    </row>
    <row r="21" spans="1:10" ht="23.1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3.1" customHeight="1">
      <c r="A22" s="9" t="s">
        <v>134</v>
      </c>
      <c r="B22" s="9"/>
      <c r="C22" s="9"/>
      <c r="D22" s="9"/>
      <c r="E22" s="9"/>
      <c r="F22" s="9"/>
      <c r="G22" s="1"/>
      <c r="H22" s="1"/>
      <c r="I22" s="1"/>
      <c r="J22" s="1"/>
    </row>
    <row r="23" spans="1:10" ht="23.1" customHeight="1">
      <c r="A23" s="1" t="s">
        <v>135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23.1" customHeight="1">
      <c r="A24" s="1" t="s">
        <v>136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23.1" customHeight="1">
      <c r="A25" s="1" t="s">
        <v>137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ht="23.1" customHeight="1">
      <c r="A26" s="1" t="s">
        <v>138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ht="23.1" customHeight="1">
      <c r="A27" s="1" t="s">
        <v>139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23.1" customHeight="1">
      <c r="A28" s="1" t="s">
        <v>140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23.1" customHeight="1">
      <c r="A29" s="1" t="s">
        <v>141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23.1" customHeight="1">
      <c r="A30" s="1" t="s">
        <v>142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ht="23.1" customHeight="1">
      <c r="A31" s="1" t="s">
        <v>143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ht="23.1" customHeight="1">
      <c r="A32" s="1" t="s">
        <v>144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ht="23.1" customHeight="1">
      <c r="A33" s="1" t="s">
        <v>145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ht="23.1" customHeight="1">
      <c r="A34" s="1" t="s">
        <v>146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ht="23.1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23.1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23.1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23.1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23.1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23.1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23.1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23.1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23.1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23.1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23.1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23.1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23.1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23.1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23.1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3.1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23.1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23.1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23.1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23.1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23.1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/>
  </sheetData>
  <dataValidations count="1">
    <dataValidation type="list" sqref="E12:E15" xr:uid="{00000000-0002-0000-0300-000000000000}">
      <formula1>"Baixa,Moderada,Alta"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2026-09-17T23:36:11Z</dcterms:created>
  <dcterms:modified xsi:type="dcterms:W3CDTF">2026-09-18T02:39:00Z</dcterms:modified>
  <cp:category/>
  <cp:contentStatus/>
</cp:coreProperties>
</file>