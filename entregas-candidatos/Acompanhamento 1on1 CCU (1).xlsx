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guntas" sheetId="1" r:id="rId4"/>
    <sheet state="visible" name="Ficha" sheetId="2" r:id="rId5"/>
    <sheet state="visible" name="Registro" sheetId="3" r:id="rId6"/>
  </sheets>
  <definedNames/>
  <calcPr/>
  <extLst>
    <ext uri="GoogleSheetsCustomDataVersion2">
      <go:sheetsCustomData xmlns:go="http://customooxmlschemas.google.com/" r:id="rId7" roundtripDataChecksum="ss1wAojxhanbfINqnL0bEXR0M3HmRWgmSB1cKT7RjpY="/>
    </ext>
  </extLst>
</workbook>
</file>

<file path=xl/sharedStrings.xml><?xml version="1.0" encoding="utf-8"?>
<sst xmlns="http://schemas.openxmlformats.org/spreadsheetml/2006/main" count="191" uniqueCount="163">
  <si>
    <t>FICHA DA CONVERSA</t>
  </si>
  <si>
    <t>BANCO DE PERGUNTAS  ·  1on1 CCU</t>
  </si>
  <si>
    <t>REGISTRO DAS CONVERSAS</t>
  </si>
  <si>
    <t>CCU · duplique esta aba para cada 1on1 · ao final, passe as notas para a aba Registro</t>
  </si>
  <si>
    <t>Perguntas fixas (F) em toda conversa · rotativas (R) para escolher 2 ou 3 por 1on1. Se a resposta vier genérica, puxe: “me dá um exemplo concreto”.</t>
  </si>
  <si>
    <t>Membro</t>
  </si>
  <si>
    <t>CCU · uma linha por conversa · as duas notas viram número, o resto fica em texto curto · copie da Ficha</t>
  </si>
  <si>
    <t>Bloco</t>
  </si>
  <si>
    <t>Pergunta</t>
  </si>
  <si>
    <t>Uso</t>
  </si>
  <si>
    <t>O que observar / como aprofundar</t>
  </si>
  <si>
    <t>Curso</t>
  </si>
  <si>
    <t>0. CADASTRO (preencher na 1ª conversa, revisar depois)</t>
  </si>
  <si>
    <t>Área / diretoria</t>
  </si>
  <si>
    <t>Data</t>
  </si>
  <si>
    <t>Está entregando
os cases?</t>
  </si>
  <si>
    <t>Pronto p/
PS (0-10)</t>
  </si>
  <si>
    <t>Continuar no
clube (0-10)</t>
  </si>
  <si>
    <t>Alvo de PS
(empresa / ciclo)</t>
  </si>
  <si>
    <t>Estágio / Summer</t>
  </si>
  <si>
    <t>Interesse em
cargo</t>
  </si>
  <si>
    <t>Satisfação com
a área</t>
  </si>
  <si>
    <t>Orgulho da área</t>
  </si>
  <si>
    <t>Aviso que daria
a um candidato</t>
  </si>
  <si>
    <t>Mais útil nos
2 meses</t>
  </si>
  <si>
    <t>O que foi
perda de tempo</t>
  </si>
  <si>
    <t>Curso, período e idade.</t>
  </si>
  <si>
    <t>O que mudaria na
condução da área</t>
  </si>
  <si>
    <t>Responsabilidade
que quer assumir</t>
  </si>
  <si>
    <t>Próximo passo
combinado</t>
  </si>
  <si>
    <t>Status do
combinado</t>
  </si>
  <si>
    <t>F</t>
  </si>
  <si>
    <t>Base do perfil; cruze com o momento de carreira.</t>
  </si>
  <si>
    <t>Tempo de clube</t>
  </si>
  <si>
    <t>Farmacia, 8 semestre e 22 anos</t>
  </si>
  <si>
    <t>Quem conduziu</t>
  </si>
  <si>
    <t>CADASTRO RÁPIDO (preencher na 1ª conversa, revisar nas seguintes)</t>
  </si>
  <si>
    <t>Há quanto tempo está no clube.</t>
  </si>
  <si>
    <t>Já prestou PS? Quais e até que fase?</t>
  </si>
  <si>
    <t>Tempo de casa calibra a expectativa de responsabilidade.</t>
  </si>
  <si>
    <t>entrou no ultimo ps</t>
  </si>
  <si>
    <t>Você já prestou algum PS de consultoria? Se sim, quais empresas e até que fase chegou? O que te fez avançar e o que te derrubou? Se ainda não, qual mês ou ciclo você tem como alvo e quais empresas?</t>
  </si>
  <si>
    <t>Diferencie quem já está no funil de quem ainda vai entrar.</t>
  </si>
  <si>
    <t>Se ainda não: alvo (ciclo / empresas)</t>
  </si>
  <si>
    <t>Não pensa em prestar para consultoria quer algo mais voltado para estratégia por isso o interesse no clube</t>
  </si>
  <si>
    <t>Como estão hoje seus planos de estágio e summer? O que já rolou, quais prazos (formatura, elegibilidade) te limitam, e o que ainda falta destravar?</t>
  </si>
  <si>
    <t>Cheque elegibilidade de summer x ano de formatura antes de indicar vaga.</t>
  </si>
  <si>
    <t>Pensa em fazer estágio porém voltado para a farmácia</t>
  </si>
  <si>
    <t>Qual é o seu objetivo com o clube?</t>
  </si>
  <si>
    <t>Estágio (onde já estagia / quando pretende começar)</t>
  </si>
  <si>
    <t>Se o objetivo não for consultoria, o acompanhamento muda.</t>
  </si>
  <si>
    <t>Desenvolvimento de um raciocinio de um consultor e business sense e também a questão do networking e o clube estimula muito isso</t>
  </si>
  <si>
    <t>Horizonte de saída do clube (lembrar o aviso mínimo de um mês).</t>
  </si>
  <si>
    <t>Alimenta o planejamento de sucessão da área.</t>
  </si>
  <si>
    <t xml:space="preserve">A rotina do clube não intefere muito na rotina mas acredita que até o segundo semestre 2027 e </t>
  </si>
  <si>
    <t>Summer (qual / formatura ou elegibilidade limita?)</t>
  </si>
  <si>
    <t>1. COMO ESTÁ SENDO ESTAR AQUI</t>
  </si>
  <si>
    <t>Objetivo com o clube</t>
  </si>
  <si>
    <t>1</t>
  </si>
  <si>
    <t>Se você tivesse que descrever sua área para um candidato do próximo PS, o que você venderia com orgulho e o que você avisaria antes que ele entrasse?</t>
  </si>
  <si>
    <t>O “aviso” é o ouro: repetido por 3 pessoas, o problema é do processo, não da pessoa.</t>
  </si>
  <si>
    <t>Interesse em cargo de diretoria (qual?)</t>
  </si>
  <si>
    <t>a comunicação é a ponte principal entre as empresas o clube e a comunidade, aviso previo vai mecher muito com canva e marketing social então se você curte vai ser bem bacana</t>
  </si>
  <si>
    <t>2</t>
  </si>
  <si>
    <t>Qual foi a coisa mais útil que o clube te entregou nos últimos dois meses, e qual foi a que mais te pareceu perda de tempo?</t>
  </si>
  <si>
    <t>Mede valor percebido; a “perda de tempo” aponta o que cortar.</t>
  </si>
  <si>
    <t>Gosta muito das palestras e das visitas presenciais, contato com as empresas, perda de tempo não sente nada algumas reuniões poderiiam ser alinhadas por mensagem ela sente as vezes é tão curta que torna um pouco maçante</t>
  </si>
  <si>
    <t>Horizonte de saída (aviso mínimo de 1 mês)</t>
  </si>
  <si>
    <t>3</t>
  </si>
  <si>
    <t>Você está satisfeito com a sua área? O que ela faz bem, o que deixa a desejar, e o que precisaria acontecer para você pensar em trocar?</t>
  </si>
  <si>
    <t>R</t>
  </si>
  <si>
    <t>Sinal precoce de churn interno / pedido de transferência.</t>
  </si>
  <si>
    <t xml:space="preserve">Está bem satisfeita com a rea, sente que o proc conseguiu dar uma organizada legal, quando chegoou sentiu que estava meu perdido as coiasa e recursos e agora ficou mais organizado no notion com o proprio suporte que ele </t>
  </si>
  <si>
    <t>4</t>
  </si>
  <si>
    <t>Como você descreveria o clima da sua área hoje? Tem alguém que te puxa para cima e algo que costuma te desanimar?</t>
  </si>
  <si>
    <t>CONVERSA — PERGUNTAS FIXAS</t>
  </si>
  <si>
    <t>Clima e relações; sinaliza engajamento e atritos que a nota não mostra.</t>
  </si>
  <si>
    <t>2. ENTREGA, CASES E PROJETOS</t>
  </si>
  <si>
    <t>1. Descrevendo sua área para um candidato do próximo PS: o que você venderia com orgulho e o que avisaria antes que ele entrasse?</t>
  </si>
  <si>
    <t>5</t>
  </si>
  <si>
    <t>Pensando nos projetos internos e externos rodando hoje, qual deles te deixa com a sensação de “eu faria isso diferente”? O que você mudaria?</t>
  </si>
  <si>
    <t>Revela senso crítico e apetite por dono de entrega.</t>
  </si>
  <si>
    <t xml:space="preserve">Está bem contente com o caminhar do cwc, como não estava na frente da organização se sentia um pouco perdida por não ter uma informação ali por mensagem. Incluir desde o começo as meninas responsáveis </t>
  </si>
  <si>
    <t>6</t>
  </si>
  <si>
    <t>Tem algum projeto, ou tipo de projeto, que você gostaria de assumir? O que te atrai nele e o que hoje te segura de topar?</t>
  </si>
  <si>
    <t>Se travar em “não sei”, ofereça 2 opções concretas e veja a reação.</t>
  </si>
  <si>
    <t xml:space="preserve">Atualmente está bem contente trabalhando no cwc e foi abordado temas além da consultoria para agregar mais conhecimento </t>
  </si>
  <si>
    <t>7</t>
  </si>
  <si>
    <t>Qual foi a última entrega (case, análise, apresentação) que te deu orgulho, e qual te mostrou um buraco que você ainda precisa fechar?</t>
  </si>
  <si>
    <t>Puxe exemplo datado; auto-percepção de gap vale mais que elogio.</t>
  </si>
  <si>
    <t>8</t>
  </si>
  <si>
    <t>Se você pudesse ser dono de um projeto do zero no clube, que problema real você gostaria de resolver e por quê?</t>
  </si>
  <si>
    <t>Mede iniciativa e o tipo de problema que de fato motiva a pessoa.</t>
  </si>
  <si>
    <t>3. PREPARAÇÃO PARA O MERCADO</t>
  </si>
  <si>
    <t>2. A coisa mais útil que o clube te entregou nos últimos dois meses, e a que mais te pareceu perda de tempo?</t>
  </si>
  <si>
    <t>9</t>
  </si>
  <si>
    <t>Numa escala de 0 a 10, quão pronto você se sente hoje para um PS de MBB? O que explica o número não ser 10, e o que precisaria acontecer nos próximos 3 meses para subir 2 pontos?</t>
  </si>
  <si>
    <t>F · NOTA</t>
  </si>
  <si>
    <t>Vira nota na Ficha e no Registro. O valor está no “por quê”.</t>
  </si>
  <si>
    <t>10</t>
  </si>
  <si>
    <t>O que você sabe fazer hoje que não sabia quando entrou? Me dá um exemplo concreto de quando isso apareceu, num case, num treino de GMAT ou numa apresentação.</t>
  </si>
  <si>
    <t>Exemplo concreto = aprendizado real; sem exemplo, é percepção vaga.</t>
  </si>
  <si>
    <t>11</t>
  </si>
  <si>
    <t>Onde você está no GMAT / estruturação de case / fit hoje, e qual dessas frentes está mais atrasada para o seu alvo?</t>
  </si>
  <si>
    <t>Casa a autoavaliação com o alvo de PS declarado no cadastro.</t>
  </si>
  <si>
    <t>4. FUTURO NO CLUBE E RESPONSABILIDADE</t>
  </si>
  <si>
    <t>5. Dos projetos internos e externos de hoje, qual te deixa com a sensação de “eu faria diferente”? O que mudaria?</t>
  </si>
  <si>
    <t>12</t>
  </si>
  <si>
    <t>Quando você imagina seu último semestre no clube, o que precisa ter acontecido para você olhar para trás e sentir que valeu? Que tipo de responsabilidade caberia nisso?</t>
  </si>
  <si>
    <t>Liga motivação a entrega; base para combinar um próximo passo.</t>
  </si>
  <si>
    <t>Seria legal ter mais momentos de capacitação junto com as empresas em contato com o clube, ajuda muito como business sense estratégia que permeiam a consultoria, os pontos de contato com o pessoal do clube ajudaria muito</t>
  </si>
  <si>
    <t>13</t>
  </si>
  <si>
    <t>Numa escala de 0 a 10, qual a chance de você continuar no clube no próximo semestre? O que subiria esse número em dois pontos?</t>
  </si>
  <si>
    <t>Nota de retenção. 6 ou menos = conversa de retenção nesta semana.</t>
  </si>
  <si>
    <t>14</t>
  </si>
  <si>
    <t>Você pensa em assumir um cargo de diretoria? Qual, e o que hoje pesa a favor e contra (tempo, estágio, aulas)?</t>
  </si>
  <si>
    <t>Mapeia pipeline de liderança e conflitos de agenda.</t>
  </si>
  <si>
    <t>Não, como é o ultimo semestre em campinas depois vai para sp</t>
  </si>
  <si>
    <t>5. FEEDBACK PARA A DIRETORIA</t>
  </si>
  <si>
    <t>10. O que você sabe fazer hoje que não sabia quando entrou? Me dá um exemplo concreto de quando isso apareceu.</t>
  </si>
  <si>
    <t>15</t>
  </si>
  <si>
    <t>Se você fosse o diretor responsável por você na semana que vem, qual seria a primeira coisa que mudaria na forma como a sua área é conduzida?</t>
  </si>
  <si>
    <t>Feedback acionável e imediato sobre a condução.</t>
  </si>
  <si>
    <t>Proc conseguiu implementar tudo que eu teria implementado como a criação de modelos deixar tudo organizado no drive,são momentos sazo</t>
  </si>
  <si>
    <t>16</t>
  </si>
  <si>
    <t>O que você sente que a diretoria não está enxergando hoje, sobre você, sobre sua área ou sobre o clube, que faria diferença se a gente soubesse?</t>
  </si>
  <si>
    <t>Abre pontos cegos; ótima para fechar a conversa com escuta.</t>
  </si>
  <si>
    <t xml:space="preserve">Ter uma transparencia do que está acontecendo em cada area, por conta do ps ela ficou um pouco perdida por conta dos videos e </t>
  </si>
  <si>
    <t>Gabriel Aguiar Manufatura 8 periodo 24 anos</t>
  </si>
  <si>
    <t>entrou no ps no meio do ano passado</t>
  </si>
  <si>
    <t>Ja prestou, mbb elogroup visagio lek prag kearney Gmat</t>
  </si>
  <si>
    <t>Ainda em gmat e case que são areas bem deficitarias Kearney Lek e Bain</t>
  </si>
  <si>
    <t>Todas está prestando para summer com inicio no  inicio de 2027</t>
  </si>
  <si>
    <t>12. Imaginando seu último semestre no clube: o que precisa ter acontecido para sentir que valeu? Que responsabilidade caberia nisso?</t>
  </si>
  <si>
    <t>Quer pegar um cargo de diretoria ano que vem possivelemente vice presidente treinar case bastante e deixar um legado para o clube com ideias novas</t>
  </si>
  <si>
    <t xml:space="preserve">Até 2028 </t>
  </si>
  <si>
    <t>Agente meio que faz o clube se mover internamente pois temos que incentivar os membros e mantelos motivados ao longo do ano. Atuakemente estamos em pouco membros e estamos esperando entrar novos para sequencia dos projetos</t>
  </si>
  <si>
    <t>Prep e ver o pessoal se saindo bem e sendo aprovado nos ps. Algo de perda de tempo seria pelo fato das entregas dos cases simulados entre o prep e o ps das consultorias</t>
  </si>
  <si>
    <t xml:space="preserve">Não se ve em outra area atualemten mas sente que agente poderia ter feito mais coisa depois do ps como marcar cases e enviar os simulados que já estão prontos. Ideias novas que vão agregar pro clube como mudar o report </t>
  </si>
  <si>
    <t>o prep com certeza porque a gente utiiza um material desatualizado de 2022 e quem está dando as aulas não fez os slides e apenas viu a aula do ano passado</t>
  </si>
  <si>
    <t xml:space="preserve">O prep principalmente por conta do meu tempo pois esta com mais tempo libre </t>
  </si>
  <si>
    <t>Sente falta de ter mais presença de consultores alumni que já estão no clube e formular um podcast para trazer esses membros</t>
  </si>
  <si>
    <t>2 treinar cases e mais gmat</t>
  </si>
  <si>
    <t>Treinar gmat pois achava que era só fazer umas continhas e hoje consegue estruturar o problema e ter mais estruturada</t>
  </si>
  <si>
    <t>15. Se você fosse o diretor responsável por você na semana que vem, qual a primeira coisa que mudaria na condução da área?</t>
  </si>
  <si>
    <t>A frente que está mais atrasada seria a estruturação de cases</t>
  </si>
  <si>
    <t>Todas está prestando para summer com inicio no  inicio de 2028</t>
  </si>
  <si>
    <t>Até 2029</t>
  </si>
  <si>
    <t>AS DUAS NOTAS DA CONVERSA (0 a 10)</t>
  </si>
  <si>
    <t>Quão pronto se sente para um PS de MBB (pergunta 9)</t>
  </si>
  <si>
    <t xml:space="preserve">Por quê: </t>
  </si>
  <si>
    <t>Chance de continuar no clube no próximo semestre (pergunta 13)</t>
  </si>
  <si>
    <t>PERGUNTAS ROTATIVAS QUE ESCOLHI HOJE (2 ou 3, do banco)</t>
  </si>
  <si>
    <t>Regra de ouro: nota de continuar 6 ou menos vira conversa de retenção nesta semana. Se a resposta vier genérica, pergunte “me dá um exemplo concreto” antes de seguir.</t>
  </si>
  <si>
    <t>Números simples</t>
  </si>
  <si>
    <t>Conversas registradas</t>
  </si>
  <si>
    <t>Média de “pronto para o PS”</t>
  </si>
  <si>
    <t>Média de “chance de continuar”</t>
  </si>
  <si>
    <t>Membros com chance de continuar 6 ou menos</t>
  </si>
  <si>
    <t>Membros que não estão entregando</t>
  </si>
  <si>
    <t>Combinados já feitos</t>
  </si>
  <si>
    <t>Combinados em aberto</t>
  </si>
  <si>
    <t>Leitura rápida: nota de continuar 6 ou menos é conversa de retenção nesta semana, não no próximo trimestre. E se o mesmo “aviso ao candidato” aparecer em três conversas diferentes, o problema é do processo, não da pessoa.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</si>
</sst>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6.0"/>
      <color rgb="FF111111"/>
      <name val="Calibri"/>
    </font>
    <font>
      <i/>
      <sz val="9.0"/>
      <color rgb="FF555555"/>
      <name val="Calibri"/>
    </font>
    <font>
      <b/>
      <sz val="10.0"/>
      <color rgb="FF8E0C22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1.0"/>
      <color rgb="FFC4122F"/>
      <name val="Calibri"/>
    </font>
    <font>
      <sz val="10.0"/>
      <color rgb="FF1A1A1A"/>
      <name val="Calibri"/>
    </font>
    <font>
      <b/>
      <sz val="9.0"/>
      <color rgb="FF8E0C22"/>
      <name val="Calibri"/>
    </font>
    <font>
      <sz val="9.0"/>
      <color rgb="FF1A1A1A"/>
      <name val="Calibri"/>
    </font>
    <font>
      <i/>
      <sz val="9.0"/>
      <color rgb="FF1A1A1A"/>
      <name val="Calibri"/>
    </font>
    <font>
      <color theme="1"/>
      <name val="Calibri"/>
      <scheme val="minor"/>
    </font>
    <font>
      <b/>
      <sz val="10.0"/>
      <color rgb="FF1A1A1A"/>
      <name val="Calibri"/>
    </font>
    <font>
      <b/>
      <sz val="14.0"/>
      <color rgb="FF8E0C22"/>
      <name val="Calibri"/>
    </font>
    <font>
      <b/>
      <i/>
      <sz val="9.0"/>
      <color rgb="FF8E0C22"/>
      <name val="Calibri"/>
    </font>
    <font>
      <b/>
      <sz val="12.0"/>
      <color rgb="FFC4122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0C22"/>
        <bgColor rgb="FF8E0C22"/>
      </patternFill>
    </fill>
    <fill>
      <patternFill patternType="solid">
        <fgColor rgb="FFC4122F"/>
        <bgColor rgb="FFC4122F"/>
      </patternFill>
    </fill>
    <fill>
      <patternFill patternType="solid">
        <fgColor rgb="FFFFF3F5"/>
        <bgColor rgb="FFFFF3F5"/>
      </patternFill>
    </fill>
    <fill>
      <patternFill patternType="solid">
        <fgColor rgb="FFFFF9DB"/>
        <bgColor rgb="FFFFF9DB"/>
      </patternFill>
    </fill>
    <fill>
      <patternFill patternType="solid">
        <fgColor rgb="FFD9D9D9"/>
        <bgColor rgb="FFD9D9D9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top/>
      <bottom style="medium">
        <color rgb="FFC4122F"/>
      </bottom>
    </border>
    <border>
      <top/>
      <bottom style="medium">
        <color rgb="FFC4122F"/>
      </bottom>
    </border>
    <border>
      <right/>
      <top/>
      <bottom style="medium">
        <color rgb="FFC4122F"/>
      </bottom>
    </border>
    <border>
      <left style="thin">
        <color rgb="FFE6C9CE"/>
      </left>
      <right style="thin">
        <color rgb="FFE6C9CE"/>
      </right>
      <top style="thin">
        <color rgb="FFE6C9CE"/>
      </top>
      <bottom style="thin">
        <color rgb="FFE6C9CE"/>
      </bottom>
    </border>
    <border>
      <left/>
      <top/>
      <bottom style="thin">
        <color rgb="FFC9A9AF"/>
      </bottom>
    </border>
    <border>
      <right/>
      <top/>
      <bottom style="thin">
        <color rgb="FFC9A9AF"/>
      </bottom>
    </border>
    <border>
      <left style="thin">
        <color rgb="FFE6C9CE"/>
      </left>
      <top style="thin">
        <color rgb="FFE6C9CE"/>
      </top>
      <bottom style="thin">
        <color rgb="FFE6C9CE"/>
      </bottom>
    </border>
    <border>
      <top style="thin">
        <color rgb="FFE6C9CE"/>
      </top>
      <bottom style="thin">
        <color rgb="FFE6C9CE"/>
      </bottom>
    </border>
    <border>
      <right style="thin">
        <color rgb="FFE6C9CE"/>
      </right>
      <top style="thin">
        <color rgb="FFE6C9CE"/>
      </top>
      <bottom style="thin">
        <color rgb="FFE6C9CE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5" numFmtId="0" xfId="0" applyAlignment="1" applyFont="1">
      <alignment horizontal="left" shrinkToFit="0" vertical="center" wrapText="1"/>
    </xf>
    <xf borderId="7" fillId="3" fontId="6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left" shrinkToFit="0" vertical="top" wrapText="1"/>
    </xf>
    <xf borderId="9" fillId="0" fontId="2" numFmtId="0" xfId="0" applyBorder="1" applyFont="1"/>
    <xf borderId="7" fillId="3" fontId="7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7" fillId="2" fontId="8" numFmtId="0" xfId="0" applyAlignment="1" applyBorder="1" applyFill="1" applyFont="1">
      <alignment horizontal="center" shrinkToFit="0" vertical="center" wrapText="1"/>
    </xf>
    <xf borderId="7" fillId="2" fontId="9" numFmtId="0" xfId="0" applyAlignment="1" applyBorder="1" applyFill="1" applyFont="1">
      <alignment horizontal="left" shrinkToFit="0" vertical="top" wrapText="1"/>
    </xf>
    <xf borderId="7" fillId="2" fontId="10" numFmtId="0" xfId="0" applyAlignment="1" applyBorder="1" applyFill="1" applyFont="1">
      <alignment horizontal="center" shrinkToFit="0" vertical="center" wrapText="1"/>
    </xf>
    <xf borderId="7" fillId="2" fontId="11" numFmtId="0" xfId="0" applyAlignment="1" applyBorder="1" applyFill="1" applyFont="1">
      <alignment horizontal="left" shrinkToFit="0" vertical="top" wrapText="1"/>
    </xf>
    <xf borderId="7" fillId="2" fontId="12" numFmtId="0" xfId="0" applyAlignment="1" applyBorder="1" applyFill="1" applyFont="1">
      <alignment horizontal="left" shrinkToFit="0" vertical="top" wrapText="1"/>
    </xf>
    <xf borderId="0" fillId="0" fontId="13" numFmtId="0" xfId="0" applyAlignment="1" applyFont="1">
      <alignment readingOrder="0"/>
    </xf>
    <xf borderId="7" fillId="5" fontId="8" numFmtId="0" xfId="0" applyAlignment="1" applyBorder="1" applyFill="1" applyFont="1">
      <alignment horizontal="center" shrinkToFit="0" vertical="center" wrapText="1"/>
    </xf>
    <xf borderId="7" fillId="5" fontId="9" numFmtId="0" xfId="0" applyAlignment="1" applyBorder="1" applyFill="1" applyFont="1">
      <alignment horizontal="left" shrinkToFit="0" vertical="top" wrapText="1"/>
    </xf>
    <xf borderId="7" fillId="5" fontId="14" numFmtId="0" xfId="0" applyAlignment="1" applyBorder="1" applyFill="1" applyFont="1">
      <alignment horizontal="left" shrinkToFit="0" vertical="top" wrapText="1"/>
    </xf>
    <xf borderId="7" fillId="5" fontId="10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horizontal="left" shrinkToFit="0" vertical="top" wrapText="1"/>
    </xf>
    <xf borderId="7" fillId="5" fontId="11" numFmtId="0" xfId="0" applyAlignment="1" applyBorder="1" applyFill="1" applyFont="1">
      <alignment horizontal="left" shrinkToFit="0" vertical="top" wrapText="1"/>
    </xf>
    <xf borderId="7" fillId="5" fontId="12" numFmtId="0" xfId="0" applyAlignment="1" applyBorder="1" applyFill="1" applyFont="1">
      <alignment horizontal="left" shrinkToFit="0" vertical="top" wrapText="1"/>
    </xf>
    <xf borderId="11" fillId="0" fontId="2" numFmtId="0" xfId="0" applyBorder="1" applyFont="1"/>
    <xf borderId="12" fillId="0" fontId="2" numFmtId="0" xfId="0" applyBorder="1" applyFont="1"/>
    <xf borderId="10" fillId="5" fontId="5" numFmtId="0" xfId="0" applyAlignment="1" applyBorder="1" applyFill="1" applyFont="1">
      <alignment horizontal="left" shrinkToFit="0" vertical="top" wrapText="1"/>
    </xf>
    <xf borderId="7" fillId="5" fontId="14" numFmtId="0" xfId="0" applyAlignment="1" applyBorder="1" applyFill="1" applyFont="1">
      <alignment horizontal="left" shrinkToFit="0" vertical="center" wrapText="1"/>
    </xf>
    <xf borderId="7" fillId="6" fontId="15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left" shrinkToFit="0" vertical="top" wrapText="1"/>
    </xf>
    <xf borderId="1" fillId="6" fontId="16" numFmtId="0" xfId="0" applyAlignment="1" applyBorder="1" applyFill="1" applyFont="1">
      <alignment horizontal="left" shrinkToFit="0" vertical="top" wrapText="1"/>
    </xf>
    <xf borderId="1" fillId="4" fontId="1" numFmtId="0" xfId="0" applyBorder="1" applyFill="1" applyFont="1"/>
    <xf borderId="10" fillId="7" fontId="14" numFmtId="0" xfId="0" applyAlignment="1" applyBorder="1" applyFill="1" applyFont="1">
      <alignment horizontal="left" shrinkToFit="0" vertical="center" wrapText="1"/>
    </xf>
    <xf borderId="7" fillId="7" fontId="1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b/>
        <sz val="9.0"/>
        <color rgb="FF8E0C22"/>
      </font>
      <fill>
        <patternFill patternType="solid">
          <fgColor rgb="FFFBDCE2"/>
          <bgColor rgb="FFFBDC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2562225" cy="3238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2562225" cy="3238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2562225" cy="3238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78.0"/>
    <col customWidth="1" min="3" max="3" width="14.0"/>
    <col customWidth="1" min="4" max="4" width="52.0"/>
    <col customWidth="1" min="5" max="26" width="8.71"/>
  </cols>
  <sheetData>
    <row r="1" ht="45.75" customHeight="1">
      <c r="A1" s="1"/>
      <c r="B1" s="2"/>
      <c r="C1" s="2"/>
      <c r="D1" s="3"/>
    </row>
    <row r="2" ht="24.0" customHeight="1">
      <c r="A2" s="4" t="s">
        <v>1</v>
      </c>
      <c r="B2" s="2"/>
      <c r="C2" s="2"/>
      <c r="D2" s="3"/>
    </row>
    <row r="3" ht="19.5" customHeight="1">
      <c r="A3" s="5" t="s">
        <v>4</v>
      </c>
      <c r="B3" s="6"/>
      <c r="C3" s="6"/>
      <c r="D3" s="7"/>
    </row>
    <row r="4" ht="19.5" customHeight="1">
      <c r="A4" s="9" t="s">
        <v>7</v>
      </c>
      <c r="B4" s="9" t="s">
        <v>8</v>
      </c>
      <c r="C4" s="9" t="s">
        <v>9</v>
      </c>
      <c r="D4" s="9" t="s">
        <v>10</v>
      </c>
    </row>
    <row r="5" ht="19.5" customHeight="1">
      <c r="A5" s="13" t="s">
        <v>12</v>
      </c>
      <c r="B5" s="2"/>
      <c r="C5" s="2"/>
      <c r="D5" s="3"/>
    </row>
    <row r="6" ht="45.75" customHeight="1">
      <c r="A6" s="14"/>
      <c r="B6" s="15" t="s">
        <v>26</v>
      </c>
      <c r="C6" s="16" t="s">
        <v>31</v>
      </c>
      <c r="D6" s="18" t="s">
        <v>32</v>
      </c>
      <c r="E6" s="19" t="s">
        <v>34</v>
      </c>
    </row>
    <row r="7" ht="45.75" customHeight="1">
      <c r="A7" s="20"/>
      <c r="B7" s="21" t="s">
        <v>37</v>
      </c>
      <c r="C7" s="23" t="s">
        <v>31</v>
      </c>
      <c r="D7" s="26" t="s">
        <v>39</v>
      </c>
      <c r="E7" s="19" t="s">
        <v>40</v>
      </c>
    </row>
    <row r="8" ht="45.75" customHeight="1">
      <c r="A8" s="14"/>
      <c r="B8" s="15" t="s">
        <v>41</v>
      </c>
      <c r="C8" s="16" t="s">
        <v>31</v>
      </c>
      <c r="D8" s="18" t="s">
        <v>42</v>
      </c>
      <c r="E8" s="19" t="s">
        <v>44</v>
      </c>
    </row>
    <row r="9" ht="45.75" customHeight="1">
      <c r="A9" s="20"/>
      <c r="B9" s="21" t="s">
        <v>45</v>
      </c>
      <c r="C9" s="23" t="s">
        <v>31</v>
      </c>
      <c r="D9" s="26" t="s">
        <v>46</v>
      </c>
      <c r="E9" s="19" t="s">
        <v>47</v>
      </c>
    </row>
    <row r="10" ht="45.75" customHeight="1">
      <c r="A10" s="14"/>
      <c r="B10" s="15" t="s">
        <v>48</v>
      </c>
      <c r="C10" s="16" t="s">
        <v>31</v>
      </c>
      <c r="D10" s="18" t="s">
        <v>50</v>
      </c>
      <c r="E10" s="19" t="s">
        <v>51</v>
      </c>
    </row>
    <row r="11" ht="45.75" customHeight="1">
      <c r="A11" s="20"/>
      <c r="B11" s="21" t="s">
        <v>52</v>
      </c>
      <c r="C11" s="23" t="s">
        <v>31</v>
      </c>
      <c r="D11" s="26" t="s">
        <v>53</v>
      </c>
      <c r="E11" s="19" t="s">
        <v>54</v>
      </c>
    </row>
    <row r="12" ht="19.5" customHeight="1">
      <c r="A12" s="13" t="s">
        <v>56</v>
      </c>
      <c r="B12" s="2"/>
      <c r="C12" s="2"/>
      <c r="D12" s="3"/>
    </row>
    <row r="13" ht="45.75" customHeight="1">
      <c r="A13" s="14" t="s">
        <v>58</v>
      </c>
      <c r="B13" s="15" t="s">
        <v>59</v>
      </c>
      <c r="C13" s="16" t="s">
        <v>31</v>
      </c>
      <c r="D13" s="18" t="s">
        <v>60</v>
      </c>
      <c r="E13" s="19" t="s">
        <v>62</v>
      </c>
    </row>
    <row r="14" ht="45.75" customHeight="1">
      <c r="A14" s="20" t="s">
        <v>63</v>
      </c>
      <c r="B14" s="21" t="s">
        <v>64</v>
      </c>
      <c r="C14" s="23" t="s">
        <v>31</v>
      </c>
      <c r="D14" s="26" t="s">
        <v>65</v>
      </c>
      <c r="E14" s="19" t="s">
        <v>66</v>
      </c>
    </row>
    <row r="15" ht="45.75" customHeight="1">
      <c r="A15" s="14" t="s">
        <v>68</v>
      </c>
      <c r="B15" s="15" t="s">
        <v>69</v>
      </c>
      <c r="C15" s="16" t="s">
        <v>70</v>
      </c>
      <c r="D15" s="18" t="s">
        <v>71</v>
      </c>
      <c r="E15" s="19" t="s">
        <v>72</v>
      </c>
    </row>
    <row r="16" ht="45.75" customHeight="1">
      <c r="A16" s="20" t="s">
        <v>73</v>
      </c>
      <c r="B16" s="21" t="s">
        <v>74</v>
      </c>
      <c r="C16" s="23" t="s">
        <v>70</v>
      </c>
      <c r="D16" s="26" t="s">
        <v>76</v>
      </c>
    </row>
    <row r="17" ht="19.5" customHeight="1">
      <c r="A17" s="13" t="s">
        <v>77</v>
      </c>
      <c r="B17" s="2"/>
      <c r="C17" s="2"/>
      <c r="D17" s="3"/>
    </row>
    <row r="18" ht="45.75" customHeight="1">
      <c r="A18" s="14" t="s">
        <v>79</v>
      </c>
      <c r="B18" s="15" t="s">
        <v>80</v>
      </c>
      <c r="C18" s="16" t="s">
        <v>31</v>
      </c>
      <c r="D18" s="18" t="s">
        <v>81</v>
      </c>
      <c r="E18" s="19" t="s">
        <v>82</v>
      </c>
    </row>
    <row r="19" ht="45.75" customHeight="1">
      <c r="A19" s="20" t="s">
        <v>83</v>
      </c>
      <c r="B19" s="21" t="s">
        <v>84</v>
      </c>
      <c r="C19" s="23" t="s">
        <v>70</v>
      </c>
      <c r="D19" s="26" t="s">
        <v>85</v>
      </c>
      <c r="E19" s="19" t="s">
        <v>86</v>
      </c>
    </row>
    <row r="20" ht="45.75" customHeight="1">
      <c r="A20" s="14" t="s">
        <v>87</v>
      </c>
      <c r="B20" s="15" t="s">
        <v>88</v>
      </c>
      <c r="C20" s="16" t="s">
        <v>70</v>
      </c>
      <c r="D20" s="18" t="s">
        <v>89</v>
      </c>
    </row>
    <row r="21" ht="45.75" customHeight="1">
      <c r="A21" s="20" t="s">
        <v>90</v>
      </c>
      <c r="B21" s="21" t="s">
        <v>91</v>
      </c>
      <c r="C21" s="23" t="s">
        <v>70</v>
      </c>
      <c r="D21" s="26" t="s">
        <v>92</v>
      </c>
    </row>
    <row r="22" ht="19.5" customHeight="1">
      <c r="A22" s="13" t="s">
        <v>93</v>
      </c>
      <c r="B22" s="2"/>
      <c r="C22" s="2"/>
      <c r="D22" s="3"/>
    </row>
    <row r="23" ht="45.75" customHeight="1">
      <c r="A23" s="14" t="s">
        <v>95</v>
      </c>
      <c r="B23" s="15" t="s">
        <v>96</v>
      </c>
      <c r="C23" s="16" t="s">
        <v>97</v>
      </c>
      <c r="D23" s="18" t="s">
        <v>98</v>
      </c>
    </row>
    <row r="24" ht="45.75" customHeight="1">
      <c r="A24" s="20" t="s">
        <v>99</v>
      </c>
      <c r="B24" s="21" t="s">
        <v>100</v>
      </c>
      <c r="C24" s="23" t="s">
        <v>31</v>
      </c>
      <c r="D24" s="26" t="s">
        <v>101</v>
      </c>
    </row>
    <row r="25" ht="45.75" customHeight="1">
      <c r="A25" s="14" t="s">
        <v>102</v>
      </c>
      <c r="B25" s="15" t="s">
        <v>103</v>
      </c>
      <c r="C25" s="16" t="s">
        <v>70</v>
      </c>
      <c r="D25" s="18" t="s">
        <v>104</v>
      </c>
    </row>
    <row r="26" ht="19.5" customHeight="1">
      <c r="A26" s="13" t="s">
        <v>105</v>
      </c>
      <c r="B26" s="2"/>
      <c r="C26" s="2"/>
      <c r="D26" s="3"/>
    </row>
    <row r="27" ht="45.75" customHeight="1">
      <c r="A27" s="20" t="s">
        <v>107</v>
      </c>
      <c r="B27" s="21" t="s">
        <v>108</v>
      </c>
      <c r="C27" s="23" t="s">
        <v>31</v>
      </c>
      <c r="D27" s="26" t="s">
        <v>109</v>
      </c>
      <c r="E27" s="19" t="s">
        <v>110</v>
      </c>
    </row>
    <row r="28" ht="45.75" customHeight="1">
      <c r="A28" s="14" t="s">
        <v>111</v>
      </c>
      <c r="B28" s="15" t="s">
        <v>112</v>
      </c>
      <c r="C28" s="16" t="s">
        <v>97</v>
      </c>
      <c r="D28" s="18" t="s">
        <v>113</v>
      </c>
    </row>
    <row r="29" ht="45.75" customHeight="1">
      <c r="A29" s="20" t="s">
        <v>114</v>
      </c>
      <c r="B29" s="21" t="s">
        <v>115</v>
      </c>
      <c r="C29" s="23" t="s">
        <v>70</v>
      </c>
      <c r="D29" s="26" t="s">
        <v>116</v>
      </c>
      <c r="E29" s="19" t="s">
        <v>117</v>
      </c>
    </row>
    <row r="30" ht="19.5" customHeight="1">
      <c r="A30" s="13" t="s">
        <v>118</v>
      </c>
      <c r="B30" s="2"/>
      <c r="C30" s="2"/>
      <c r="D30" s="3"/>
    </row>
    <row r="31" ht="45.75" customHeight="1">
      <c r="A31" s="14" t="s">
        <v>120</v>
      </c>
      <c r="B31" s="15" t="s">
        <v>121</v>
      </c>
      <c r="C31" s="16" t="s">
        <v>31</v>
      </c>
      <c r="D31" s="18" t="s">
        <v>122</v>
      </c>
      <c r="E31" s="19" t="s">
        <v>123</v>
      </c>
    </row>
    <row r="32" ht="45.75" customHeight="1">
      <c r="A32" s="20" t="s">
        <v>124</v>
      </c>
      <c r="B32" s="21" t="s">
        <v>125</v>
      </c>
      <c r="C32" s="23" t="s">
        <v>70</v>
      </c>
      <c r="D32" s="26" t="s">
        <v>126</v>
      </c>
      <c r="E32" s="19" t="s">
        <v>127</v>
      </c>
    </row>
    <row r="33" ht="15.75" customHeight="1"/>
    <row r="34" ht="15.75" customHeight="1"/>
    <row r="35" ht="15.75" customHeight="1">
      <c r="E35" s="19" t="s">
        <v>128</v>
      </c>
    </row>
    <row r="36" ht="15.75" customHeight="1">
      <c r="E36" s="19" t="s">
        <v>129</v>
      </c>
    </row>
    <row r="37" ht="15.75" customHeight="1">
      <c r="E37" s="19" t="s">
        <v>130</v>
      </c>
    </row>
    <row r="38" ht="15.75" customHeight="1">
      <c r="E38" s="19" t="s">
        <v>131</v>
      </c>
    </row>
    <row r="39" ht="15.75" customHeight="1">
      <c r="E39" s="19" t="s">
        <v>132</v>
      </c>
    </row>
    <row r="40" ht="15.75" customHeight="1">
      <c r="E40" s="19" t="s">
        <v>134</v>
      </c>
    </row>
    <row r="41" ht="15.75" customHeight="1">
      <c r="E41" s="19" t="s">
        <v>135</v>
      </c>
    </row>
    <row r="42" ht="15.75" customHeight="1">
      <c r="E42" s="19" t="s">
        <v>136</v>
      </c>
    </row>
    <row r="43" ht="15.75" customHeight="1">
      <c r="E43" s="19" t="s">
        <v>137</v>
      </c>
    </row>
    <row r="44" ht="15.75" customHeight="1">
      <c r="E44" s="19" t="s">
        <v>138</v>
      </c>
    </row>
    <row r="45" ht="15.75" customHeight="1"/>
    <row r="46" ht="15.75" customHeight="1"/>
    <row r="47" ht="15.75" customHeight="1">
      <c r="E47" s="19" t="s">
        <v>139</v>
      </c>
    </row>
    <row r="48" ht="15.75" customHeight="1">
      <c r="E48" s="19" t="s">
        <v>140</v>
      </c>
    </row>
    <row r="49" ht="15.75" customHeight="1"/>
    <row r="50" ht="15.75" customHeight="1">
      <c r="E50" s="19" t="s">
        <v>141</v>
      </c>
    </row>
    <row r="51" ht="15.75" customHeight="1"/>
    <row r="52" ht="15.75" customHeight="1">
      <c r="E52" s="19" t="s">
        <v>142</v>
      </c>
    </row>
    <row r="53" ht="15.75" customHeight="1">
      <c r="E53" s="19" t="s">
        <v>143</v>
      </c>
    </row>
    <row r="54" ht="15.75" customHeight="1">
      <c r="E54" s="19" t="s">
        <v>145</v>
      </c>
    </row>
    <row r="55" ht="15.75" customHeight="1">
      <c r="E55" s="19" t="s">
        <v>128</v>
      </c>
    </row>
    <row r="56" ht="15.75" customHeight="1">
      <c r="E56" s="19" t="s">
        <v>129</v>
      </c>
    </row>
    <row r="57" ht="15.75" customHeight="1">
      <c r="E57" s="19" t="s">
        <v>130</v>
      </c>
    </row>
    <row r="58" ht="15.75" customHeight="1">
      <c r="E58" s="19" t="s">
        <v>131</v>
      </c>
    </row>
    <row r="59" ht="15.75" customHeight="1">
      <c r="E59" s="19" t="s">
        <v>146</v>
      </c>
    </row>
    <row r="60" ht="15.75" customHeight="1">
      <c r="E60" s="19" t="s">
        <v>134</v>
      </c>
    </row>
    <row r="61" ht="15.75" customHeight="1">
      <c r="E61" s="19" t="s">
        <v>147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5:D5"/>
    <mergeCell ref="A12:D12"/>
    <mergeCell ref="A17:D17"/>
    <mergeCell ref="A22:D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5" width="16.0"/>
    <col customWidth="1" min="6" max="6" width="20.0"/>
    <col customWidth="1" min="7" max="26" width="8.71"/>
  </cols>
  <sheetData>
    <row r="1" ht="45.75" customHeight="1">
      <c r="A1" s="1"/>
      <c r="B1" s="2"/>
      <c r="C1" s="2"/>
      <c r="D1" s="2"/>
      <c r="E1" s="2"/>
      <c r="F1" s="3"/>
    </row>
    <row r="2" ht="24.0" customHeight="1">
      <c r="A2" s="4" t="s">
        <v>0</v>
      </c>
      <c r="B2" s="2"/>
      <c r="C2" s="2"/>
      <c r="D2" s="2"/>
      <c r="E2" s="2"/>
      <c r="F2" s="3"/>
    </row>
    <row r="3" ht="19.5" customHeight="1">
      <c r="A3" s="5" t="s">
        <v>3</v>
      </c>
      <c r="B3" s="6"/>
      <c r="C3" s="6"/>
      <c r="D3" s="6"/>
      <c r="E3" s="6"/>
      <c r="F3" s="7"/>
    </row>
    <row r="4">
      <c r="A4" s="8" t="s">
        <v>5</v>
      </c>
      <c r="B4" s="10"/>
      <c r="C4" s="11"/>
      <c r="D4" s="8" t="s">
        <v>11</v>
      </c>
      <c r="E4" s="10"/>
      <c r="F4" s="11"/>
    </row>
    <row r="5">
      <c r="A5" s="8" t="s">
        <v>13</v>
      </c>
      <c r="B5" s="10"/>
      <c r="C5" s="11"/>
      <c r="D5" s="8" t="s">
        <v>14</v>
      </c>
      <c r="E5" s="10"/>
      <c r="F5" s="11"/>
    </row>
    <row r="6">
      <c r="A6" s="8" t="s">
        <v>33</v>
      </c>
      <c r="B6" s="10"/>
      <c r="C6" s="11"/>
      <c r="D6" s="8" t="s">
        <v>35</v>
      </c>
      <c r="E6" s="10"/>
      <c r="F6" s="11"/>
    </row>
    <row r="8" ht="19.5" customHeight="1">
      <c r="A8" s="13" t="s">
        <v>36</v>
      </c>
      <c r="B8" s="2"/>
      <c r="C8" s="2"/>
      <c r="D8" s="2"/>
      <c r="E8" s="2"/>
      <c r="F8" s="3"/>
    </row>
    <row r="9" ht="30.0" customHeight="1">
      <c r="A9" s="22" t="s">
        <v>38</v>
      </c>
      <c r="B9" s="24"/>
      <c r="C9" s="27"/>
      <c r="D9" s="27"/>
      <c r="E9" s="27"/>
      <c r="F9" s="28"/>
    </row>
    <row r="10" ht="30.0" customHeight="1">
      <c r="A10" s="22" t="s">
        <v>43</v>
      </c>
      <c r="B10" s="24"/>
      <c r="C10" s="27"/>
      <c r="D10" s="27"/>
      <c r="E10" s="27"/>
      <c r="F10" s="28"/>
    </row>
    <row r="11" ht="30.0" customHeight="1">
      <c r="A11" s="22" t="s">
        <v>49</v>
      </c>
      <c r="B11" s="24"/>
      <c r="C11" s="27"/>
      <c r="D11" s="27"/>
      <c r="E11" s="27"/>
      <c r="F11" s="28"/>
    </row>
    <row r="12" ht="30.0" customHeight="1">
      <c r="A12" s="22" t="s">
        <v>55</v>
      </c>
      <c r="B12" s="24"/>
      <c r="C12" s="27"/>
      <c r="D12" s="27"/>
      <c r="E12" s="27"/>
      <c r="F12" s="28"/>
    </row>
    <row r="13" ht="30.0" customHeight="1">
      <c r="A13" s="22" t="s">
        <v>57</v>
      </c>
      <c r="B13" s="24"/>
      <c r="C13" s="27"/>
      <c r="D13" s="27"/>
      <c r="E13" s="27"/>
      <c r="F13" s="28"/>
    </row>
    <row r="14" ht="30.0" customHeight="1">
      <c r="A14" s="22" t="s">
        <v>61</v>
      </c>
      <c r="B14" s="24"/>
      <c r="C14" s="27"/>
      <c r="D14" s="27"/>
      <c r="E14" s="27"/>
      <c r="F14" s="28"/>
    </row>
    <row r="15" ht="30.0" customHeight="1">
      <c r="A15" s="22" t="s">
        <v>67</v>
      </c>
      <c r="B15" s="24"/>
      <c r="C15" s="27"/>
      <c r="D15" s="27"/>
      <c r="E15" s="27"/>
      <c r="F15" s="28"/>
    </row>
    <row r="17" ht="19.5" customHeight="1">
      <c r="A17" s="13" t="s">
        <v>75</v>
      </c>
      <c r="B17" s="2"/>
      <c r="C17" s="2"/>
      <c r="D17" s="2"/>
      <c r="E17" s="2"/>
      <c r="F17" s="3"/>
    </row>
    <row r="18" ht="33.75" customHeight="1">
      <c r="A18" s="29" t="s">
        <v>78</v>
      </c>
      <c r="B18" s="27"/>
      <c r="C18" s="27"/>
      <c r="D18" s="27"/>
      <c r="E18" s="27"/>
      <c r="F18" s="28"/>
    </row>
    <row r="19" ht="18.0" customHeight="1">
      <c r="A19" s="24"/>
      <c r="B19" s="27"/>
      <c r="C19" s="27"/>
      <c r="D19" s="27"/>
      <c r="E19" s="27"/>
      <c r="F19" s="28"/>
    </row>
    <row r="20" ht="18.0" customHeight="1">
      <c r="A20" s="24"/>
      <c r="B20" s="27"/>
      <c r="C20" s="27"/>
      <c r="D20" s="27"/>
      <c r="E20" s="27"/>
      <c r="F20" s="28"/>
    </row>
    <row r="21" ht="33.75" customHeight="1">
      <c r="A21" s="29" t="s">
        <v>94</v>
      </c>
      <c r="B21" s="27"/>
      <c r="C21" s="27"/>
      <c r="D21" s="27"/>
      <c r="E21" s="27"/>
      <c r="F21" s="28"/>
    </row>
    <row r="22" ht="18.0" customHeight="1">
      <c r="A22" s="24"/>
      <c r="B22" s="27"/>
      <c r="C22" s="27"/>
      <c r="D22" s="27"/>
      <c r="E22" s="27"/>
      <c r="F22" s="28"/>
    </row>
    <row r="23" ht="18.0" customHeight="1">
      <c r="A23" s="24"/>
      <c r="B23" s="27"/>
      <c r="C23" s="27"/>
      <c r="D23" s="27"/>
      <c r="E23" s="27"/>
      <c r="F23" s="28"/>
    </row>
    <row r="24" ht="33.75" customHeight="1">
      <c r="A24" s="29" t="s">
        <v>106</v>
      </c>
      <c r="B24" s="27"/>
      <c r="C24" s="27"/>
      <c r="D24" s="27"/>
      <c r="E24" s="27"/>
      <c r="F24" s="28"/>
    </row>
    <row r="25" ht="18.0" customHeight="1">
      <c r="A25" s="24"/>
      <c r="B25" s="27"/>
      <c r="C25" s="27"/>
      <c r="D25" s="27"/>
      <c r="E25" s="27"/>
      <c r="F25" s="28"/>
    </row>
    <row r="26" ht="18.0" customHeight="1">
      <c r="A26" s="24"/>
      <c r="B26" s="27"/>
      <c r="C26" s="27"/>
      <c r="D26" s="27"/>
      <c r="E26" s="27"/>
      <c r="F26" s="28"/>
    </row>
    <row r="27" ht="33.75" customHeight="1">
      <c r="A27" s="29" t="s">
        <v>119</v>
      </c>
      <c r="B27" s="27"/>
      <c r="C27" s="27"/>
      <c r="D27" s="27"/>
      <c r="E27" s="27"/>
      <c r="F27" s="28"/>
    </row>
    <row r="28" ht="18.0" customHeight="1">
      <c r="A28" s="24"/>
      <c r="B28" s="27"/>
      <c r="C28" s="27"/>
      <c r="D28" s="27"/>
      <c r="E28" s="27"/>
      <c r="F28" s="28"/>
    </row>
    <row r="29" ht="18.0" customHeight="1">
      <c r="A29" s="24"/>
      <c r="B29" s="27"/>
      <c r="C29" s="27"/>
      <c r="D29" s="27"/>
      <c r="E29" s="27"/>
      <c r="F29" s="28"/>
    </row>
    <row r="30" ht="33.75" customHeight="1">
      <c r="A30" s="29" t="s">
        <v>133</v>
      </c>
      <c r="B30" s="27"/>
      <c r="C30" s="27"/>
      <c r="D30" s="27"/>
      <c r="E30" s="27"/>
      <c r="F30" s="28"/>
    </row>
    <row r="31" ht="18.0" customHeight="1">
      <c r="A31" s="24"/>
      <c r="B31" s="27"/>
      <c r="C31" s="27"/>
      <c r="D31" s="27"/>
      <c r="E31" s="27"/>
      <c r="F31" s="28"/>
    </row>
    <row r="32" ht="18.0" customHeight="1">
      <c r="A32" s="24"/>
      <c r="B32" s="27"/>
      <c r="C32" s="27"/>
      <c r="D32" s="27"/>
      <c r="E32" s="27"/>
      <c r="F32" s="28"/>
    </row>
    <row r="33" ht="33.75" customHeight="1">
      <c r="A33" s="29" t="s">
        <v>144</v>
      </c>
      <c r="B33" s="27"/>
      <c r="C33" s="27"/>
      <c r="D33" s="27"/>
      <c r="E33" s="27"/>
      <c r="F33" s="28"/>
    </row>
    <row r="34" ht="18.0" customHeight="1">
      <c r="A34" s="24"/>
      <c r="B34" s="27"/>
      <c r="C34" s="27"/>
      <c r="D34" s="27"/>
      <c r="E34" s="27"/>
      <c r="F34" s="28"/>
    </row>
    <row r="35" ht="18.0" customHeight="1">
      <c r="A35" s="24"/>
      <c r="B35" s="27"/>
      <c r="C35" s="27"/>
      <c r="D35" s="27"/>
      <c r="E35" s="27"/>
      <c r="F35" s="28"/>
    </row>
    <row r="36" ht="15.75" customHeight="1"/>
    <row r="37" ht="19.5" customHeight="1">
      <c r="A37" s="13" t="s">
        <v>148</v>
      </c>
      <c r="B37" s="2"/>
      <c r="C37" s="2"/>
      <c r="D37" s="2"/>
      <c r="E37" s="2"/>
      <c r="F37" s="3"/>
    </row>
    <row r="38" ht="30.0" customHeight="1">
      <c r="A38" s="30" t="s">
        <v>149</v>
      </c>
      <c r="B38" s="31"/>
      <c r="C38" s="32" t="s">
        <v>150</v>
      </c>
      <c r="D38" s="27"/>
      <c r="E38" s="27"/>
      <c r="F38" s="28"/>
    </row>
    <row r="39" ht="30.0" customHeight="1">
      <c r="A39" s="30" t="s">
        <v>151</v>
      </c>
      <c r="B39" s="31"/>
      <c r="C39" s="32" t="s">
        <v>150</v>
      </c>
      <c r="D39" s="27"/>
      <c r="E39" s="27"/>
      <c r="F39" s="28"/>
    </row>
    <row r="40" ht="15.75" customHeight="1"/>
    <row r="41" ht="19.5" customHeight="1">
      <c r="A41" s="13" t="s">
        <v>152</v>
      </c>
      <c r="B41" s="2"/>
      <c r="C41" s="2"/>
      <c r="D41" s="2"/>
      <c r="E41" s="2"/>
      <c r="F41" s="3"/>
    </row>
    <row r="42" ht="33.75" customHeight="1">
      <c r="A42" s="29"/>
      <c r="B42" s="27"/>
      <c r="C42" s="27"/>
      <c r="D42" s="27"/>
      <c r="E42" s="27"/>
      <c r="F42" s="28"/>
    </row>
    <row r="43" ht="18.0" customHeight="1">
      <c r="A43" s="24"/>
      <c r="B43" s="27"/>
      <c r="C43" s="27"/>
      <c r="D43" s="27"/>
      <c r="E43" s="27"/>
      <c r="F43" s="28"/>
    </row>
    <row r="44" ht="33.75" customHeight="1">
      <c r="A44" s="29"/>
      <c r="B44" s="27"/>
      <c r="C44" s="27"/>
      <c r="D44" s="27"/>
      <c r="E44" s="27"/>
      <c r="F44" s="28"/>
    </row>
    <row r="45" ht="18.0" customHeight="1">
      <c r="A45" s="24"/>
      <c r="B45" s="27"/>
      <c r="C45" s="27"/>
      <c r="D45" s="27"/>
      <c r="E45" s="27"/>
      <c r="F45" s="28"/>
    </row>
    <row r="46" ht="33.75" customHeight="1">
      <c r="A46" s="29"/>
      <c r="B46" s="27"/>
      <c r="C46" s="27"/>
      <c r="D46" s="27"/>
      <c r="E46" s="27"/>
      <c r="F46" s="28"/>
    </row>
    <row r="47" ht="18.0" customHeight="1">
      <c r="A47" s="24"/>
      <c r="B47" s="27"/>
      <c r="C47" s="27"/>
      <c r="D47" s="27"/>
      <c r="E47" s="27"/>
      <c r="F47" s="28"/>
    </row>
    <row r="48" ht="15.75" customHeight="1"/>
    <row r="49" ht="31.5" customHeight="1">
      <c r="A49" s="33" t="s">
        <v>153</v>
      </c>
      <c r="B49" s="2"/>
      <c r="C49" s="2"/>
      <c r="D49" s="2"/>
      <c r="E49" s="2"/>
      <c r="F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E5:F5"/>
    <mergeCell ref="E6:F6"/>
    <mergeCell ref="A1:F1"/>
    <mergeCell ref="A2:F2"/>
    <mergeCell ref="A3:F3"/>
    <mergeCell ref="B4:C4"/>
    <mergeCell ref="E4:F4"/>
    <mergeCell ref="B5:C5"/>
    <mergeCell ref="B6:C6"/>
    <mergeCell ref="A8:F8"/>
    <mergeCell ref="B9:F9"/>
    <mergeCell ref="B10:F10"/>
    <mergeCell ref="B11:F11"/>
    <mergeCell ref="B12:F12"/>
    <mergeCell ref="B13:F13"/>
    <mergeCell ref="B14:F14"/>
    <mergeCell ref="B15:F15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7:F37"/>
    <mergeCell ref="A46:F46"/>
    <mergeCell ref="A47:F47"/>
    <mergeCell ref="A49:F49"/>
    <mergeCell ref="C38:F38"/>
    <mergeCell ref="C39:F39"/>
    <mergeCell ref="A41:F41"/>
    <mergeCell ref="A42:F42"/>
    <mergeCell ref="A43:F43"/>
    <mergeCell ref="A44:F44"/>
    <mergeCell ref="A45:F45"/>
  </mergeCells>
  <dataValidations>
    <dataValidation type="decimal" allowBlank="1" sqref="B38:B39">
      <formula1>0.0</formula1>
      <formula2>10.0</formula2>
    </dataValidation>
  </dataValidations>
  <printOptions horizontalCentered="1"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6.0"/>
    <col customWidth="1" min="4" max="4" width="14.0"/>
    <col customWidth="1" min="5" max="5" width="10.0"/>
    <col customWidth="1" min="6" max="6" width="11.0"/>
    <col customWidth="1" min="7" max="7" width="22.0"/>
    <col customWidth="1" min="8" max="8" width="24.0"/>
    <col customWidth="1" min="9" max="9" width="18.0"/>
    <col customWidth="1" min="10" max="10" width="22.0"/>
    <col customWidth="1" min="11" max="11" width="30.0"/>
    <col customWidth="1" min="12" max="12" width="32.0"/>
    <col customWidth="1" min="13" max="13" width="28.0"/>
    <col customWidth="1" min="14" max="14" width="26.0"/>
    <col customWidth="1" min="15" max="15" width="32.0"/>
    <col customWidth="1" min="16" max="17" width="28.0"/>
    <col customWidth="1" min="18" max="18" width="14.0"/>
    <col customWidth="1" min="19" max="26" width="8.71"/>
  </cols>
  <sheetData>
    <row r="1" ht="4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4.0" customHeight="1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9.5" customHeight="1">
      <c r="A3" s="5" t="s">
        <v>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ht="39.75" customHeight="1">
      <c r="A4" s="12" t="s">
        <v>5</v>
      </c>
      <c r="B4" s="12" t="s">
        <v>14</v>
      </c>
      <c r="C4" s="12" t="s">
        <v>11</v>
      </c>
      <c r="D4" s="12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2" t="s">
        <v>20</v>
      </c>
      <c r="J4" s="12" t="s">
        <v>21</v>
      </c>
      <c r="K4" s="12" t="s">
        <v>22</v>
      </c>
      <c r="L4" s="12" t="s">
        <v>23</v>
      </c>
      <c r="M4" s="12" t="s">
        <v>24</v>
      </c>
      <c r="N4" s="12" t="s">
        <v>25</v>
      </c>
      <c r="O4" s="12" t="s">
        <v>27</v>
      </c>
      <c r="P4" s="12" t="s">
        <v>28</v>
      </c>
      <c r="Q4" s="12" t="s">
        <v>29</v>
      </c>
      <c r="R4" s="12" t="s">
        <v>30</v>
      </c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ht="15.75" customHeight="1"/>
    <row r="76" ht="15.75" customHeight="1">
      <c r="A76" s="13" t="s">
        <v>154</v>
      </c>
      <c r="B76" s="3"/>
      <c r="C76" s="3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</row>
    <row r="77" ht="15.75" customHeight="1">
      <c r="A77" s="35" t="s">
        <v>155</v>
      </c>
      <c r="B77" s="28"/>
      <c r="C77" s="36">
        <f>SUMPRODUCT(($A$5:$A$74&lt;&gt;"")*1)</f>
        <v>0</v>
      </c>
    </row>
    <row r="78" ht="15.75" customHeight="1">
      <c r="A78" s="35" t="s">
        <v>156</v>
      </c>
      <c r="B78" s="28"/>
      <c r="C78" s="36" t="str">
        <f>IFERROR(ROUND(AVERAGE($E$5:$E$74),1),"")</f>
        <v/>
      </c>
    </row>
    <row r="79" ht="15.75" customHeight="1">
      <c r="A79" s="35" t="s">
        <v>157</v>
      </c>
      <c r="B79" s="28"/>
      <c r="C79" s="36" t="str">
        <f>IFERROR(ROUND(AVERAGE($F$5:$F$74),1),"")</f>
        <v/>
      </c>
    </row>
    <row r="80" ht="15.75" customHeight="1">
      <c r="A80" s="35" t="s">
        <v>158</v>
      </c>
      <c r="B80" s="28"/>
      <c r="C80" s="36">
        <f>COUNTIF($F$5:$F$74,"&lt;=6")</f>
        <v>0</v>
      </c>
    </row>
    <row r="81" ht="15.75" customHeight="1">
      <c r="A81" s="35" t="s">
        <v>159</v>
      </c>
      <c r="B81" s="28"/>
      <c r="C81" s="36">
        <f>COUNTIF($D$5:$D$74,"Nao")</f>
        <v>0</v>
      </c>
    </row>
    <row r="82" ht="15.75" customHeight="1">
      <c r="A82" s="35" t="s">
        <v>160</v>
      </c>
      <c r="B82" s="28"/>
      <c r="C82" s="36">
        <f>COUNTIF($R$5:$R$74,"Feito")</f>
        <v>0</v>
      </c>
    </row>
    <row r="83" ht="15.75" customHeight="1">
      <c r="A83" s="35" t="s">
        <v>161</v>
      </c>
      <c r="B83" s="28"/>
      <c r="C83" s="36">
        <f>COUNTIF($R$5:$R$74,"Em aberto")</f>
        <v>0</v>
      </c>
    </row>
    <row r="84" ht="15.75" customHeight="1"/>
    <row r="85" ht="33.75" customHeight="1">
      <c r="A85" s="33" t="s">
        <v>162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79:B79"/>
    <mergeCell ref="A80:B80"/>
    <mergeCell ref="A81:B81"/>
    <mergeCell ref="A82:B82"/>
    <mergeCell ref="A83:B83"/>
    <mergeCell ref="A85:R85"/>
    <mergeCell ref="A1:R1"/>
    <mergeCell ref="A2:R2"/>
    <mergeCell ref="A3:R3"/>
    <mergeCell ref="A76:B76"/>
    <mergeCell ref="C76:R76"/>
    <mergeCell ref="A77:B77"/>
    <mergeCell ref="A78:B78"/>
  </mergeCells>
  <conditionalFormatting sqref="D5:D74">
    <cfRule type="cellIs" dxfId="0" priority="1" operator="equal">
      <formula>"Nao"</formula>
    </cfRule>
  </conditionalFormatting>
  <conditionalFormatting sqref="E5:F74">
    <cfRule type="cellIs" dxfId="0" priority="2" operator="lessThanOrEqual">
      <formula>6</formula>
    </cfRule>
  </conditionalFormatting>
  <dataValidations>
    <dataValidation type="list" allowBlank="1" sqref="R5:R74">
      <formula1>"Feito,Em aberto"</formula1>
    </dataValidation>
    <dataValidation type="list" allowBlank="1" sqref="D5:D74">
      <formula1>"Sim,Parcial,Nao"</formula1>
    </dataValidation>
    <dataValidation type="decimal" allowBlank="1" sqref="E5:F74">
      <formula1>0.0</formula1>
      <formula2>10.0</formula2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2026-09-16T12:18:53Z</dcterms:created>
  <dc:creator>openpyxl</dc:creator>
</cp:coreProperties>
</file>