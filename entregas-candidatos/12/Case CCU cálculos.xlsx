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cunho" sheetId="1" r:id="rId5"/>
    <sheet state="visible" name="modelo 1" sheetId="2" r:id="rId6"/>
    <sheet state="visible" name="modelo 2" sheetId="3" r:id="rId7"/>
    <sheet state="visible" name="comparação" sheetId="4" r:id="rId8"/>
    <sheet state="visible" name="diagramas" sheetId="5" r:id="rId9"/>
  </sheets>
  <definedNames/>
  <calcPr/>
</workbook>
</file>

<file path=xl/sharedStrings.xml><?xml version="1.0" encoding="utf-8"?>
<sst xmlns="http://schemas.openxmlformats.org/spreadsheetml/2006/main" count="142" uniqueCount="80">
  <si>
    <t>opex</t>
  </si>
  <si>
    <t>comparação dos bairros</t>
  </si>
  <si>
    <t>demanda e capacidade</t>
  </si>
  <si>
    <t>ec</t>
  </si>
  <si>
    <t>rentabilidade</t>
  </si>
  <si>
    <t>ch</t>
  </si>
  <si>
    <t>a</t>
  </si>
  <si>
    <t>na</t>
  </si>
  <si>
    <t>criterio de atratividade</t>
  </si>
  <si>
    <t>volume de transações</t>
  </si>
  <si>
    <t>receita anula</t>
  </si>
  <si>
    <t>perfil do publico</t>
  </si>
  <si>
    <t>posições necessárias</t>
  </si>
  <si>
    <t>custo por categoria</t>
  </si>
  <si>
    <t>fontes de demanda</t>
  </si>
  <si>
    <t>utilização</t>
  </si>
  <si>
    <t>resultado operacional anual</t>
  </si>
  <si>
    <t>complexidade operacional</t>
  </si>
  <si>
    <t>infliencia de picos e ocasiões</t>
  </si>
  <si>
    <t>M1: inteligente</t>
  </si>
  <si>
    <t>M2: parceiros</t>
  </si>
  <si>
    <t>fontes e demanda - densidade de circulação</t>
  </si>
  <si>
    <t>ganhos</t>
  </si>
  <si>
    <t>demanda, capacidade, utilização</t>
  </si>
  <si>
    <t>obs: considera picos</t>
  </si>
  <si>
    <t>O usuário reserva e abre o compartimento pelo celular.
Cada banco tem 40 posições, com autosserviço e suporte
remoto.</t>
  </si>
  <si>
    <t>Comércios verificados recebem e devolvem os itens em
espaços reservados. A BagHub não instala bancos de
armários.</t>
  </si>
  <si>
    <t>EC</t>
  </si>
  <si>
    <t>terminais</t>
  </si>
  <si>
    <t>lucro anual</t>
  </si>
  <si>
    <t>bairro</t>
  </si>
  <si>
    <t>transações semanais</t>
  </si>
  <si>
    <t xml:space="preserve">receita </t>
  </si>
  <si>
    <t>posições necessarias</t>
  </si>
  <si>
    <t>utilização &gt; perfil hrs ocupadas/disponíveis semana</t>
  </si>
  <si>
    <t>24h</t>
  </si>
  <si>
    <t>horário variável</t>
  </si>
  <si>
    <t>CH</t>
  </si>
  <si>
    <t>hoteis</t>
  </si>
  <si>
    <t>ec (conexões)</t>
  </si>
  <si>
    <t>custo anual/banco</t>
  </si>
  <si>
    <t>atendimento local</t>
  </si>
  <si>
    <t>A</t>
  </si>
  <si>
    <t>comparação</t>
  </si>
  <si>
    <t>eventos</t>
  </si>
  <si>
    <t>ch (turismo)</t>
  </si>
  <si>
    <t>melhor bairro</t>
  </si>
  <si>
    <t>estação central</t>
  </si>
  <si>
    <t>NA</t>
  </si>
  <si>
    <t>bares e show noite</t>
  </si>
  <si>
    <t>a (eventos)</t>
  </si>
  <si>
    <t>na (vida noturna)</t>
  </si>
  <si>
    <t>custos anuais projetados</t>
  </si>
  <si>
    <t>base de calculo</t>
  </si>
  <si>
    <t>M1 inteligente</t>
  </si>
  <si>
    <t>m2 parceiros</t>
  </si>
  <si>
    <t>50 semanas/ano</t>
  </si>
  <si>
    <t xml:space="preserve">equipamento seguro e e manutenção por posição </t>
  </si>
  <si>
    <t>30 reais</t>
  </si>
  <si>
    <t>banco 40</t>
  </si>
  <si>
    <t>operação complexdade 1</t>
  </si>
  <si>
    <t>operação complexdade 2</t>
  </si>
  <si>
    <t>operação complexdade 3</t>
  </si>
  <si>
    <t>Densidade de circulação</t>
  </si>
  <si>
    <t>Potencial de fronteira</t>
  </si>
  <si>
    <t>Complexidade operacional</t>
  </si>
  <si>
    <t>Sensibilidade à sazonalidade</t>
  </si>
  <si>
    <t>Estação central</t>
  </si>
  <si>
    <t>Centro histórico</t>
  </si>
  <si>
    <t>Arena</t>
  </si>
  <si>
    <t>Noite alta</t>
  </si>
  <si>
    <t>Custos operacionais - Modelo Armários Inteligentes</t>
  </si>
  <si>
    <t>Custos operacionais - Modelo Pontos Parceiros</t>
  </si>
  <si>
    <t>Estação Central</t>
  </si>
  <si>
    <t>Centro Histórico</t>
  </si>
  <si>
    <t>Noite Alta</t>
  </si>
  <si>
    <t>Ganhos operacionais - Modelo Armários Inteligentes</t>
  </si>
  <si>
    <t>Ganhos operacionais - Modelo Pontos Parceiros</t>
  </si>
  <si>
    <t>Lucro anual - Modelo Armários Inteligentes</t>
  </si>
  <si>
    <t>Lucro anual - Modelo Pontos Parceiros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</si>
</sst>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Lato"/>
    </font>
    <font>
      <color rgb="FF57BB8A"/>
      <name val="Lato"/>
    </font>
    <font>
      <color rgb="FFF3BEB9"/>
      <name val="Lato"/>
    </font>
    <font>
      <color rgb="FFFFE7E4"/>
      <name val="Lato"/>
    </font>
    <font>
      <color rgb="FFABDDC5"/>
      <name val="Lato"/>
    </font>
    <font>
      <color rgb="FFDFFFF0"/>
      <name val="Lato"/>
    </font>
    <font>
      <color rgb="FFE67C73"/>
      <name val="Lato"/>
    </font>
    <font>
      <b/>
      <color rgb="FFFFFFFF"/>
      <name val="Arial"/>
      <scheme val="minor"/>
    </font>
    <font/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DFFFF0"/>
        <bgColor rgb="FFDFFFF0"/>
      </patternFill>
    </fill>
    <fill>
      <patternFill patternType="solid">
        <fgColor rgb="FFC92127"/>
        <bgColor rgb="FFC92127"/>
      </patternFill>
    </fill>
    <fill>
      <patternFill patternType="solid">
        <fgColor rgb="FFF3F3F4"/>
        <bgColor rgb="FFF3F3F4"/>
      </patternFill>
    </fill>
  </fills>
  <borders count="27">
    <border/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000000"/>
      </right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000000"/>
      </right>
      <top style="thin">
        <color rgb="FF999999"/>
      </top>
    </border>
    <border>
      <left style="medium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medium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8" fillId="2" fontId="5" numFmtId="0" xfId="0" applyAlignment="1" applyBorder="1" applyFill="1" applyFont="1">
      <alignment horizontal="center" readingOrder="0" vertical="center"/>
    </xf>
    <xf borderId="7" fillId="3" fontId="6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7" fillId="4" fontId="7" numFmtId="0" xfId="0" applyAlignment="1" applyBorder="1" applyFill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3" fontId="6" numFmtId="0" xfId="0" applyAlignment="1" applyBorder="1" applyFill="1" applyFont="1">
      <alignment horizontal="center" readingOrder="0" vertical="center"/>
    </xf>
    <xf borderId="10" fillId="0" fontId="8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13" fillId="5" fontId="9" numFmtId="0" xfId="0" applyAlignment="1" applyBorder="1" applyFill="1" applyFont="1">
      <alignment horizontal="center" readingOrder="0" vertical="center"/>
    </xf>
    <xf borderId="14" fillId="0" fontId="10" numFmtId="0" xfId="0" applyBorder="1" applyFont="1"/>
    <xf borderId="15" fillId="0" fontId="10" numFmtId="0" xfId="0" applyBorder="1" applyFont="1"/>
    <xf borderId="16" fillId="0" fontId="11" numFmtId="0" xfId="0" applyAlignment="1" applyBorder="1" applyFont="1">
      <alignment horizontal="center" readingOrder="0" vertical="center"/>
    </xf>
    <xf borderId="17" fillId="0" fontId="10" numFmtId="0" xfId="0" applyBorder="1" applyFont="1"/>
    <xf borderId="18" fillId="6" fontId="1" numFmtId="0" xfId="0" applyAlignment="1" applyBorder="1" applyFill="1" applyFont="1">
      <alignment horizontal="center" readingOrder="0" vertical="center"/>
    </xf>
    <xf borderId="19" fillId="6" fontId="1" numFmtId="0" xfId="0" applyAlignment="1" applyBorder="1" applyFill="1" applyFont="1">
      <alignment horizontal="center" readingOrder="0" vertical="center"/>
    </xf>
    <xf borderId="20" fillId="6" fontId="1" numFmtId="0" xfId="0" applyAlignment="1" applyBorder="1" applyFill="1" applyFont="1">
      <alignment horizontal="center" readingOrder="0" vertical="center"/>
    </xf>
    <xf borderId="21" fillId="0" fontId="1" numFmtId="164" xfId="0" applyAlignment="1" applyBorder="1" applyFont="1" applyNumberFormat="1">
      <alignment horizontal="center" vertical="center"/>
    </xf>
    <xf borderId="22" fillId="0" fontId="1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5" fontId="9" numFmtId="0" xfId="0" applyAlignment="1" applyBorder="1" applyFill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9" fillId="0" fontId="1" numFmtId="164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10" max="10" width="16.63"/>
    <col customWidth="1" min="12" max="12" width="18.75"/>
  </cols>
  <sheetData>
    <row r="3">
      <c r="B3" s="1" t="s">
        <v>1</v>
      </c>
      <c r="D3" s="1" t="s">
        <v>2</v>
      </c>
      <c r="F3" s="1" t="s">
        <v>4</v>
      </c>
    </row>
    <row r="4">
      <c r="B4" s="1" t="s">
        <v>8</v>
      </c>
      <c r="D4" s="1" t="s">
        <v>9</v>
      </c>
      <c r="F4" s="1" t="s">
        <v>10</v>
      </c>
    </row>
    <row r="5">
      <c r="B5" s="1" t="s">
        <v>11</v>
      </c>
      <c r="D5" s="1" t="s">
        <v>12</v>
      </c>
      <c r="F5" s="1" t="s">
        <v>13</v>
      </c>
    </row>
    <row r="6">
      <c r="B6" s="1" t="s">
        <v>14</v>
      </c>
      <c r="D6" s="1" t="s">
        <v>15</v>
      </c>
      <c r="F6" s="1" t="s">
        <v>16</v>
      </c>
    </row>
    <row r="7">
      <c r="B7" s="1" t="s">
        <v>17</v>
      </c>
      <c r="D7" s="1" t="s">
        <v>18</v>
      </c>
    </row>
    <row r="11">
      <c r="Q11" s="1" t="s">
        <v>19</v>
      </c>
      <c r="U11" s="1" t="s">
        <v>20</v>
      </c>
    </row>
    <row r="12">
      <c r="B12" s="1" t="s">
        <v>21</v>
      </c>
      <c r="F12" s="1" t="s">
        <v>17</v>
      </c>
      <c r="I12" s="1" t="s">
        <v>23</v>
      </c>
      <c r="N12" s="1" t="s">
        <v>24</v>
      </c>
      <c r="Q12" s="1" t="s">
        <v>25</v>
      </c>
      <c r="U12" s="1" t="s">
        <v>26</v>
      </c>
    </row>
    <row r="13">
      <c r="B13" s="1" t="s">
        <v>27</v>
      </c>
      <c r="C13" s="1">
        <v>4.0</v>
      </c>
      <c r="D13" s="1" t="s">
        <v>28</v>
      </c>
      <c r="F13" s="1" t="s">
        <v>27</v>
      </c>
      <c r="G13" s="1">
        <v>2.0</v>
      </c>
      <c r="I13" s="1" t="s">
        <v>30</v>
      </c>
      <c r="J13" s="1" t="s">
        <v>31</v>
      </c>
      <c r="K13" s="1" t="s">
        <v>32</v>
      </c>
      <c r="L13" s="1" t="s">
        <v>33</v>
      </c>
      <c r="M13" s="1" t="s">
        <v>34</v>
      </c>
      <c r="Q13" s="1" t="s">
        <v>35</v>
      </c>
      <c r="U13" s="1" t="s">
        <v>36</v>
      </c>
    </row>
    <row r="14">
      <c r="B14" s="1" t="s">
        <v>37</v>
      </c>
      <c r="C14" s="1">
        <v>4.0</v>
      </c>
      <c r="D14" s="1" t="s">
        <v>38</v>
      </c>
      <c r="F14" s="1" t="s">
        <v>37</v>
      </c>
      <c r="G14" s="1">
        <v>1.0</v>
      </c>
      <c r="I14" s="1" t="s">
        <v>39</v>
      </c>
      <c r="J14" s="1">
        <v>24000.0</v>
      </c>
      <c r="K14" s="2">
        <f t="shared" ref="K14:K17" si="1">J14*30</f>
        <v>720000</v>
      </c>
      <c r="L14" s="1">
        <v>2400.0</v>
      </c>
      <c r="M14" s="4">
        <v>0.42</v>
      </c>
      <c r="Q14" s="1" t="s">
        <v>40</v>
      </c>
      <c r="U14" s="1" t="s">
        <v>41</v>
      </c>
    </row>
    <row r="15">
      <c r="B15" s="1" t="s">
        <v>42</v>
      </c>
      <c r="C15" s="1">
        <v>2.0</v>
      </c>
      <c r="D15" s="1" t="s">
        <v>44</v>
      </c>
      <c r="F15" s="1" t="s">
        <v>42</v>
      </c>
      <c r="G15" s="1">
        <v>2.0</v>
      </c>
      <c r="I15" s="1" t="s">
        <v>45</v>
      </c>
      <c r="J15" s="1">
        <v>18000.0</v>
      </c>
      <c r="K15" s="2">
        <f t="shared" si="1"/>
        <v>540000</v>
      </c>
      <c r="L15" s="1">
        <v>1000.0</v>
      </c>
      <c r="M15" s="4">
        <v>0.54</v>
      </c>
    </row>
    <row r="16">
      <c r="B16" s="1" t="s">
        <v>48</v>
      </c>
      <c r="C16" s="1">
        <v>4.0</v>
      </c>
      <c r="D16" s="1" t="s">
        <v>49</v>
      </c>
      <c r="F16" s="1" t="s">
        <v>48</v>
      </c>
      <c r="G16" s="1">
        <v>3.0</v>
      </c>
      <c r="I16" s="1" t="s">
        <v>50</v>
      </c>
      <c r="J16" s="1">
        <v>12000.0</v>
      </c>
      <c r="K16" s="2">
        <f t="shared" si="1"/>
        <v>360000</v>
      </c>
      <c r="L16" s="1">
        <v>900.0</v>
      </c>
      <c r="M16" s="4">
        <v>0.31</v>
      </c>
    </row>
    <row r="17">
      <c r="I17" s="1" t="s">
        <v>51</v>
      </c>
      <c r="J17" s="1">
        <v>20000.0</v>
      </c>
      <c r="K17" s="2">
        <f t="shared" si="1"/>
        <v>600000</v>
      </c>
      <c r="L17" s="1">
        <v>1800.0</v>
      </c>
      <c r="M17" s="4">
        <v>0.33</v>
      </c>
    </row>
    <row r="20">
      <c r="B20" s="1" t="s">
        <v>52</v>
      </c>
      <c r="F20" s="1" t="s">
        <v>53</v>
      </c>
    </row>
    <row r="21">
      <c r="C21" s="1" t="s">
        <v>54</v>
      </c>
      <c r="D21" s="1" t="s">
        <v>55</v>
      </c>
      <c r="F21" s="1" t="s">
        <v>56</v>
      </c>
    </row>
    <row r="22">
      <c r="B22" s="1" t="s">
        <v>57</v>
      </c>
      <c r="C22" s="1">
        <v>1400.0</v>
      </c>
      <c r="D22" s="1">
        <v>1400.0</v>
      </c>
      <c r="F22" s="1" t="s">
        <v>58</v>
      </c>
    </row>
    <row r="23">
      <c r="B23" s="1" t="s">
        <v>59</v>
      </c>
      <c r="C23" s="1">
        <v>70000.0</v>
      </c>
    </row>
    <row r="24">
      <c r="B24" s="1" t="s">
        <v>60</v>
      </c>
      <c r="C24" s="1">
        <v>700.0</v>
      </c>
      <c r="D24" s="1">
        <v>1100.0</v>
      </c>
    </row>
    <row r="25">
      <c r="B25" s="1" t="s">
        <v>61</v>
      </c>
      <c r="C25" s="1">
        <v>1400.0</v>
      </c>
      <c r="D25" s="1">
        <v>2000.0</v>
      </c>
    </row>
    <row r="26">
      <c r="B26" s="1" t="s">
        <v>62</v>
      </c>
      <c r="C26" s="1">
        <v>3200.0</v>
      </c>
      <c r="D26" s="1">
        <v>4600.0</v>
      </c>
    </row>
  </sheetData>
  <mergeCells count="3">
    <mergeCell ref="B12:C12"/>
    <mergeCell ref="F12:G12"/>
    <mergeCell ref="I12:J12"/>
  </mergeCells>
  <conditionalFormatting sqref="C13:C16">
    <cfRule type="colorScale" priority="1">
      <colorScale>
        <cfvo type="min"/>
        <cfvo type="max"/>
        <color rgb="FFFFFFFF"/>
        <color rgb="FF57BB8A"/>
      </colorScale>
    </cfRule>
  </conditionalFormatting>
  <conditionalFormatting sqref="G13:G16">
    <cfRule type="colorScale" priority="2">
      <colorScale>
        <cfvo type="min"/>
        <cfvo type="max"/>
        <color rgb="FF57BB8A"/>
        <color rgb="FFFFFFFF"/>
      </colorScale>
    </cfRule>
  </conditionalFormatting>
  <conditionalFormatting sqref="J14:J17">
    <cfRule type="colorScale" priority="3">
      <colorScale>
        <cfvo type="min"/>
        <cfvo type="max"/>
        <color rgb="FF57BB8A"/>
        <color rgb="FFFFFFFF"/>
      </colorScale>
    </cfRule>
  </conditionalFormatting>
  <conditionalFormatting sqref="K14:K17">
    <cfRule type="colorScale" priority="4">
      <colorScale>
        <cfvo type="min"/>
        <cfvo type="max"/>
        <color rgb="FFFFFFFF"/>
        <color rgb="FF57BB8A"/>
      </colorScale>
    </cfRule>
  </conditionalFormatting>
  <conditionalFormatting sqref="L14:L17">
    <cfRule type="colorScale" priority="5">
      <colorScale>
        <cfvo type="min"/>
        <cfvo type="max"/>
        <color rgb="FFFFFFFF"/>
        <color rgb="FF57BB8A"/>
      </colorScale>
    </cfRule>
  </conditionalFormatting>
  <conditionalFormatting sqref="M14:M17">
    <cfRule type="colorScale" priority="6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C6" s="1" t="s">
        <v>0</v>
      </c>
    </row>
    <row r="7">
      <c r="C7" s="1" t="s">
        <v>3</v>
      </c>
      <c r="D7" s="1" t="s">
        <v>5</v>
      </c>
      <c r="E7" s="1" t="s">
        <v>6</v>
      </c>
      <c r="F7" s="1" t="s">
        <v>7</v>
      </c>
    </row>
    <row r="8">
      <c r="C8" s="2">
        <f>(Rascunho!C22+Rascunho!C25)*2400+70000*60</f>
        <v>10920000</v>
      </c>
      <c r="D8" s="2">
        <f>(Rascunho!C22+Rascunho!C24)*1000+70000*25</f>
        <v>3850000</v>
      </c>
      <c r="E8" s="2">
        <f>(Rascunho!C22+Rascunho!C25)*900+70000*23</f>
        <v>4130000</v>
      </c>
      <c r="F8" s="2">
        <f>(Rascunho!C22+Rascunho!C26)*1800+70000*45</f>
        <v>11430000</v>
      </c>
    </row>
    <row r="10">
      <c r="C10" s="1" t="s">
        <v>22</v>
      </c>
    </row>
    <row r="11">
      <c r="C11" s="1" t="s">
        <v>3</v>
      </c>
      <c r="D11" s="1" t="s">
        <v>5</v>
      </c>
      <c r="E11" s="1" t="s">
        <v>6</v>
      </c>
      <c r="F11" s="1" t="s">
        <v>7</v>
      </c>
    </row>
    <row r="12">
      <c r="C12" s="2">
        <f>24000*50*30</f>
        <v>36000000</v>
      </c>
      <c r="D12" s="2">
        <f>18000*50*30</f>
        <v>27000000</v>
      </c>
      <c r="E12" s="2">
        <f>12000* 50*30</f>
        <v>18000000</v>
      </c>
      <c r="F12" s="2">
        <f>20000*50*30</f>
        <v>30000000</v>
      </c>
    </row>
    <row r="14">
      <c r="C14" s="1" t="s">
        <v>29</v>
      </c>
    </row>
    <row r="15">
      <c r="C15" s="2">
        <f t="shared" ref="C15:F15" si="1">C12-C8</f>
        <v>25080000</v>
      </c>
      <c r="D15" s="2">
        <f t="shared" si="1"/>
        <v>23150000</v>
      </c>
      <c r="E15" s="2">
        <f t="shared" si="1"/>
        <v>13870000</v>
      </c>
      <c r="F15" s="2">
        <f t="shared" si="1"/>
        <v>18570000</v>
      </c>
    </row>
  </sheetData>
  <mergeCells count="5">
    <mergeCell ref="C3:F3"/>
    <mergeCell ref="C6:F6"/>
    <mergeCell ref="C10:F10"/>
    <mergeCell ref="C14:F14"/>
    <mergeCell ref="C17:F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4">
      <c r="B4" s="1" t="s">
        <v>3</v>
      </c>
      <c r="C4" s="1" t="s">
        <v>5</v>
      </c>
      <c r="D4" s="1" t="s">
        <v>6</v>
      </c>
      <c r="E4" s="1" t="s">
        <v>7</v>
      </c>
    </row>
    <row r="5">
      <c r="B5" s="2">
        <f>(Rascunho!D22+Rascunho!D25)*2400</f>
        <v>8160000</v>
      </c>
      <c r="C5" s="2">
        <f>(Rascunho!D22+Rascunho!D24)*1000</f>
        <v>2500000</v>
      </c>
      <c r="D5" s="2">
        <f>(Rascunho!D22+Rascunho!D25)*900</f>
        <v>3060000</v>
      </c>
      <c r="E5" s="2">
        <f>(Rascunho!D22+Rascunho!D26)*1800</f>
        <v>10800000</v>
      </c>
    </row>
    <row r="7">
      <c r="B7" s="1" t="s">
        <v>22</v>
      </c>
    </row>
    <row r="8">
      <c r="B8" s="2">
        <f>'modelo 1'!C12</f>
        <v>36000000</v>
      </c>
      <c r="C8" s="2">
        <f>'modelo 1'!D12</f>
        <v>27000000</v>
      </c>
      <c r="D8" s="2">
        <f>'modelo 1'!E12</f>
        <v>18000000</v>
      </c>
      <c r="E8" s="2">
        <f>'modelo 1'!F12</f>
        <v>30000000</v>
      </c>
    </row>
    <row r="10">
      <c r="B10" s="1" t="s">
        <v>29</v>
      </c>
    </row>
    <row r="11">
      <c r="B11" s="2">
        <f t="shared" ref="B11:E11" si="1">B8-B5</f>
        <v>27840000</v>
      </c>
      <c r="C11" s="2">
        <f t="shared" si="1"/>
        <v>24500000</v>
      </c>
      <c r="D11" s="2">
        <f t="shared" si="1"/>
        <v>14940000</v>
      </c>
      <c r="E11" s="2">
        <f t="shared" si="1"/>
        <v>19200000</v>
      </c>
    </row>
  </sheetData>
  <mergeCells count="3">
    <mergeCell ref="B3:E3"/>
    <mergeCell ref="B7:E7"/>
    <mergeCell ref="B10:E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G5" s="1" t="s">
        <v>0</v>
      </c>
    </row>
    <row r="6">
      <c r="B6" s="1" t="s">
        <v>3</v>
      </c>
      <c r="C6" s="1" t="s">
        <v>5</v>
      </c>
      <c r="D6" s="1" t="s">
        <v>6</v>
      </c>
      <c r="E6" s="1" t="s">
        <v>7</v>
      </c>
      <c r="G6" s="1" t="s">
        <v>3</v>
      </c>
      <c r="H6" s="1" t="s">
        <v>5</v>
      </c>
      <c r="I6" s="1" t="s">
        <v>6</v>
      </c>
      <c r="J6" s="1" t="s">
        <v>7</v>
      </c>
    </row>
    <row r="7">
      <c r="B7" s="2">
        <v>1.092E7</v>
      </c>
      <c r="C7" s="2">
        <v>3850000.0</v>
      </c>
      <c r="D7" s="2">
        <v>4130000.0</v>
      </c>
      <c r="E7" s="2">
        <v>1.143E7</v>
      </c>
      <c r="G7" s="2">
        <v>8160000.0</v>
      </c>
      <c r="H7" s="2">
        <v>2500000.0</v>
      </c>
      <c r="I7" s="2">
        <v>3060000.0</v>
      </c>
      <c r="J7" s="2">
        <v>1.08E7</v>
      </c>
    </row>
    <row r="9">
      <c r="B9" s="1" t="s">
        <v>22</v>
      </c>
    </row>
    <row r="10">
      <c r="B10" s="1" t="s">
        <v>3</v>
      </c>
      <c r="C10" s="1" t="s">
        <v>5</v>
      </c>
      <c r="D10" s="1" t="s">
        <v>6</v>
      </c>
      <c r="E10" s="1" t="s">
        <v>7</v>
      </c>
      <c r="G10" s="1" t="s">
        <v>22</v>
      </c>
    </row>
    <row r="11">
      <c r="B11" s="2">
        <v>3.6E7</v>
      </c>
      <c r="C11" s="2">
        <v>2.7E7</v>
      </c>
      <c r="D11" s="2">
        <v>1.8E7</v>
      </c>
      <c r="E11" s="2">
        <v>3.0E7</v>
      </c>
      <c r="G11" s="2">
        <v>3.6E7</v>
      </c>
      <c r="H11" s="2">
        <v>2.7E7</v>
      </c>
      <c r="I11" s="2">
        <v>1.8E7</v>
      </c>
      <c r="J11" s="2">
        <v>3.0E7</v>
      </c>
    </row>
    <row r="13">
      <c r="B13" s="1" t="s">
        <v>29</v>
      </c>
      <c r="G13" s="1" t="s">
        <v>29</v>
      </c>
    </row>
    <row r="14">
      <c r="B14" s="2">
        <v>2.508E7</v>
      </c>
      <c r="C14" s="2">
        <v>2.315E7</v>
      </c>
      <c r="D14" s="2">
        <v>1.387E7</v>
      </c>
      <c r="E14" s="2">
        <v>1.857E7</v>
      </c>
      <c r="G14" s="2">
        <v>2.784E7</v>
      </c>
      <c r="H14" s="2">
        <v>2.45E7</v>
      </c>
      <c r="I14" s="2">
        <v>1.494E7</v>
      </c>
      <c r="J14" s="2">
        <v>1.92E7</v>
      </c>
    </row>
    <row r="18">
      <c r="G18" s="3">
        <f t="shared" ref="G18:J18" si="1">(G14/B14)-1</f>
        <v>0.1100478469</v>
      </c>
      <c r="H18" s="3">
        <f t="shared" si="1"/>
        <v>0.05831533477</v>
      </c>
      <c r="I18" s="3">
        <f t="shared" si="1"/>
        <v>0.07714491709</v>
      </c>
      <c r="J18" s="3">
        <f t="shared" si="1"/>
        <v>0.03392568659</v>
      </c>
    </row>
    <row r="22">
      <c r="B22" s="1" t="s">
        <v>43</v>
      </c>
    </row>
    <row r="23">
      <c r="B23" s="1" t="s">
        <v>46</v>
      </c>
      <c r="C23" s="1" t="s">
        <v>47</v>
      </c>
    </row>
    <row r="27">
      <c r="B27" s="3"/>
      <c r="C27" s="3"/>
      <c r="D27" s="3"/>
      <c r="E27" s="3"/>
    </row>
  </sheetData>
  <mergeCells count="2">
    <mergeCell ref="B22:E22"/>
    <mergeCell ref="B25:E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16.13"/>
    <col customWidth="1" min="8" max="11" width="16.13"/>
  </cols>
  <sheetData>
    <row r="6" ht="36.75" customHeight="1"/>
    <row r="9">
      <c r="M9" s="5"/>
      <c r="N9" s="6" t="s">
        <v>63</v>
      </c>
      <c r="O9" s="7" t="s">
        <v>64</v>
      </c>
      <c r="P9" s="6" t="s">
        <v>65</v>
      </c>
      <c r="Q9" s="8" t="s">
        <v>66</v>
      </c>
    </row>
    <row r="10">
      <c r="M10" s="9" t="s">
        <v>67</v>
      </c>
      <c r="N10" s="10">
        <v>4.0</v>
      </c>
      <c r="O10" s="11">
        <v>3.0</v>
      </c>
      <c r="P10" s="12">
        <v>2.0</v>
      </c>
      <c r="Q10" s="13">
        <v>1.0</v>
      </c>
    </row>
    <row r="11">
      <c r="M11" s="9" t="s">
        <v>68</v>
      </c>
      <c r="N11" s="10">
        <v>4.0</v>
      </c>
      <c r="O11" s="14">
        <v>2.0</v>
      </c>
      <c r="P11" s="15">
        <v>1.0</v>
      </c>
      <c r="Q11" s="16">
        <v>2.0</v>
      </c>
    </row>
    <row r="12">
      <c r="M12" s="9" t="s">
        <v>69</v>
      </c>
      <c r="N12" s="17">
        <v>2.0</v>
      </c>
      <c r="O12" s="18">
        <v>1.0</v>
      </c>
      <c r="P12" s="12">
        <v>2.0</v>
      </c>
      <c r="Q12" s="19">
        <v>3.0</v>
      </c>
    </row>
    <row r="13">
      <c r="M13" s="20" t="s">
        <v>70</v>
      </c>
      <c r="N13" s="21">
        <v>4.0</v>
      </c>
      <c r="O13" s="22">
        <v>2.0</v>
      </c>
      <c r="P13" s="23">
        <v>3.0</v>
      </c>
      <c r="Q13" s="24">
        <v>2.0</v>
      </c>
    </row>
    <row r="18">
      <c r="C18" s="25" t="s">
        <v>71</v>
      </c>
      <c r="D18" s="26"/>
      <c r="E18" s="26"/>
      <c r="F18" s="27"/>
      <c r="H18" s="25" t="s">
        <v>72</v>
      </c>
      <c r="I18" s="26"/>
      <c r="J18" s="26"/>
      <c r="K18" s="27"/>
      <c r="N18" s="1" t="s">
        <v>0</v>
      </c>
    </row>
    <row r="19" ht="6.75" customHeight="1">
      <c r="C19" s="28"/>
      <c r="F19" s="29"/>
      <c r="H19" s="28"/>
      <c r="K19" s="29"/>
      <c r="N19" s="1"/>
    </row>
    <row r="20">
      <c r="C20" s="30" t="s">
        <v>73</v>
      </c>
      <c r="D20" s="31" t="s">
        <v>74</v>
      </c>
      <c r="E20" s="31" t="s">
        <v>69</v>
      </c>
      <c r="F20" s="32" t="s">
        <v>75</v>
      </c>
      <c r="H20" s="30" t="s">
        <v>73</v>
      </c>
      <c r="I20" s="31" t="s">
        <v>74</v>
      </c>
      <c r="J20" s="31" t="s">
        <v>69</v>
      </c>
      <c r="K20" s="32" t="s">
        <v>75</v>
      </c>
      <c r="N20" s="1" t="s">
        <v>3</v>
      </c>
      <c r="O20" s="1" t="s">
        <v>5</v>
      </c>
      <c r="P20" s="1" t="s">
        <v>6</v>
      </c>
      <c r="Q20" s="1" t="s">
        <v>7</v>
      </c>
    </row>
    <row r="21">
      <c r="C21" s="33">
        <v>1.092E7</v>
      </c>
      <c r="D21" s="34">
        <v>3850000.0</v>
      </c>
      <c r="E21" s="34">
        <v>4130000.0</v>
      </c>
      <c r="F21" s="35">
        <v>1.143E7</v>
      </c>
      <c r="H21" s="33">
        <v>8160000.0</v>
      </c>
      <c r="I21" s="34">
        <v>2500000.0</v>
      </c>
      <c r="J21" s="34">
        <v>3060000.0</v>
      </c>
      <c r="K21" s="35">
        <v>1.08E7</v>
      </c>
      <c r="N21" s="2">
        <v>8160000.0</v>
      </c>
      <c r="O21" s="2">
        <v>2500000.0</v>
      </c>
      <c r="P21" s="2">
        <v>3060000.0</v>
      </c>
      <c r="Q21" s="2">
        <v>1.08E7</v>
      </c>
    </row>
    <row r="22" ht="5.25" customHeight="1">
      <c r="C22" s="36"/>
      <c r="F22" s="29"/>
      <c r="H22" s="36"/>
      <c r="K22" s="29"/>
    </row>
    <row r="23">
      <c r="C23" s="37" t="s">
        <v>76</v>
      </c>
      <c r="F23" s="29"/>
      <c r="H23" s="37" t="s">
        <v>77</v>
      </c>
      <c r="K23" s="29"/>
    </row>
    <row r="24" ht="6.0" customHeight="1">
      <c r="C24" s="38"/>
      <c r="D24" s="39"/>
      <c r="E24" s="39"/>
      <c r="F24" s="40"/>
      <c r="H24" s="38"/>
      <c r="I24" s="39"/>
      <c r="J24" s="39"/>
      <c r="K24" s="40"/>
      <c r="N24" s="1"/>
    </row>
    <row r="25">
      <c r="C25" s="30" t="s">
        <v>73</v>
      </c>
      <c r="D25" s="31" t="s">
        <v>74</v>
      </c>
      <c r="E25" s="31" t="s">
        <v>69</v>
      </c>
      <c r="F25" s="32" t="s">
        <v>75</v>
      </c>
      <c r="H25" s="30" t="s">
        <v>73</v>
      </c>
      <c r="I25" s="31" t="s">
        <v>74</v>
      </c>
      <c r="J25" s="31" t="s">
        <v>69</v>
      </c>
      <c r="K25" s="32" t="s">
        <v>75</v>
      </c>
      <c r="N25" s="1" t="s">
        <v>22</v>
      </c>
    </row>
    <row r="26">
      <c r="C26" s="33">
        <v>3.6E7</v>
      </c>
      <c r="D26" s="34">
        <v>2.7E7</v>
      </c>
      <c r="E26" s="34">
        <v>1.8E7</v>
      </c>
      <c r="F26" s="35">
        <v>3.0E7</v>
      </c>
      <c r="H26" s="33">
        <v>3.6E7</v>
      </c>
      <c r="I26" s="34">
        <v>2.7E7</v>
      </c>
      <c r="J26" s="34">
        <v>1.8E7</v>
      </c>
      <c r="K26" s="35">
        <v>3.0E7</v>
      </c>
      <c r="N26" s="2">
        <v>3.6E7</v>
      </c>
      <c r="O26" s="2">
        <v>2.7E7</v>
      </c>
      <c r="P26" s="2">
        <v>1.8E7</v>
      </c>
      <c r="Q26" s="2">
        <v>3.0E7</v>
      </c>
    </row>
    <row r="27" ht="4.5" customHeight="1">
      <c r="C27" s="36"/>
      <c r="F27" s="29"/>
      <c r="H27" s="36"/>
      <c r="K27" s="29"/>
    </row>
    <row r="28">
      <c r="C28" s="37" t="s">
        <v>78</v>
      </c>
      <c r="F28" s="29"/>
      <c r="H28" s="37" t="s">
        <v>79</v>
      </c>
      <c r="K28" s="29"/>
      <c r="N28" s="1" t="s">
        <v>29</v>
      </c>
    </row>
    <row r="29" ht="5.25" customHeight="1">
      <c r="C29" s="41"/>
      <c r="F29" s="29"/>
      <c r="H29" s="41"/>
      <c r="K29" s="29"/>
    </row>
    <row r="30">
      <c r="C30" s="30" t="s">
        <v>73</v>
      </c>
      <c r="D30" s="31" t="s">
        <v>74</v>
      </c>
      <c r="E30" s="31" t="s">
        <v>69</v>
      </c>
      <c r="F30" s="32" t="s">
        <v>75</v>
      </c>
      <c r="H30" s="30" t="s">
        <v>73</v>
      </c>
      <c r="I30" s="31" t="s">
        <v>74</v>
      </c>
      <c r="J30" s="31" t="s">
        <v>69</v>
      </c>
      <c r="K30" s="32" t="s">
        <v>75</v>
      </c>
      <c r="N30" s="2">
        <v>2.784E7</v>
      </c>
      <c r="O30" s="2">
        <v>2.45E7</v>
      </c>
      <c r="P30" s="2">
        <v>1.494E7</v>
      </c>
      <c r="Q30" s="2">
        <v>1.92E7</v>
      </c>
    </row>
    <row r="31">
      <c r="C31" s="42">
        <v>2.508E7</v>
      </c>
      <c r="D31" s="43">
        <v>2.315E7</v>
      </c>
      <c r="E31" s="43">
        <v>1.387E7</v>
      </c>
      <c r="F31" s="44">
        <v>1.857E7</v>
      </c>
      <c r="H31" s="42">
        <v>2.784E7</v>
      </c>
      <c r="I31" s="43">
        <v>2.45E7</v>
      </c>
      <c r="J31" s="43">
        <v>1.494E7</v>
      </c>
      <c r="K31" s="44">
        <v>1.92E7</v>
      </c>
    </row>
  </sheetData>
  <mergeCells count="14">
    <mergeCell ref="C23:F23"/>
    <mergeCell ref="C27:F27"/>
    <mergeCell ref="H27:K27"/>
    <mergeCell ref="C28:F28"/>
    <mergeCell ref="H28:K28"/>
    <mergeCell ref="C29:F29"/>
    <mergeCell ref="H29:K29"/>
    <mergeCell ref="C18:F18"/>
    <mergeCell ref="H18:K18"/>
    <mergeCell ref="C19:F19"/>
    <mergeCell ref="H19:K19"/>
    <mergeCell ref="C22:F22"/>
    <mergeCell ref="H22:K22"/>
    <mergeCell ref="H23:K23"/>
  </mergeCells>
  <conditionalFormatting sqref="N10:N13">
    <cfRule type="colorScale" priority="1">
      <colorScale>
        <cfvo type="min"/>
        <cfvo type="max"/>
        <color rgb="FFDFFFF0"/>
        <color rgb="FF57BB8A"/>
      </colorScale>
    </cfRule>
  </conditionalFormatting>
  <conditionalFormatting sqref="P10:P13">
    <cfRule type="colorScale" priority="2">
      <colorScale>
        <cfvo type="min"/>
        <cfvo type="max"/>
        <color rgb="FFFFE7E4"/>
        <color rgb="FFE67C73"/>
      </colorScale>
    </cfRule>
  </conditionalFormatting>
  <conditionalFormatting sqref="Q10:Q13">
    <cfRule type="colorScale" priority="3">
      <colorScale>
        <cfvo type="min"/>
        <cfvo type="max"/>
        <color rgb="FFFFE7E4"/>
        <color rgb="FFE67C73"/>
      </colorScale>
    </cfRule>
  </conditionalFormatting>
  <conditionalFormatting sqref="O10:O13">
    <cfRule type="colorScale" priority="4">
      <colorScale>
        <cfvo type="min"/>
        <cfvo type="max"/>
        <color rgb="FFDFFFF0"/>
        <color rgb="FF57BB8A"/>
      </colorScale>
    </cfRule>
  </conditionalFormatting>
  <conditionalFormatting sqref="C31:F31 H31:K31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