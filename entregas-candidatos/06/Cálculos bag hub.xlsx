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04380C-ACC2-441F-B2E8-BB6014CCAAC9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Dados" sheetId="2" r:id="rId1"/>
    <sheet name="Bairros" sheetId="3" r:id="rId2"/>
    <sheet name="Calculos" sheetId="4" r:id="rId3"/>
    <sheet name="Sensibilidade" sheetId="5" r:id="rId4"/>
    <sheet name="Resumo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C6" i="5"/>
  <c r="C5" i="5"/>
  <c r="C4" i="5"/>
  <c r="I8" i="4"/>
  <c r="G8" i="4"/>
  <c r="Q8" i="4" s="1"/>
  <c r="F8" i="4"/>
  <c r="E8" i="4"/>
  <c r="C8" i="4"/>
  <c r="D8" i="4" s="1"/>
  <c r="B8" i="4"/>
  <c r="A8" i="4"/>
  <c r="A7" i="5" s="1"/>
  <c r="G7" i="4"/>
  <c r="J7" i="4" s="1"/>
  <c r="D6" i="5" s="1"/>
  <c r="F7" i="4"/>
  <c r="E7" i="4"/>
  <c r="C7" i="4"/>
  <c r="D7" i="4" s="1"/>
  <c r="B7" i="4"/>
  <c r="A7" i="4"/>
  <c r="A6" i="5" s="1"/>
  <c r="I6" i="4"/>
  <c r="G6" i="4"/>
  <c r="Q6" i="4" s="1"/>
  <c r="F6" i="4"/>
  <c r="E6" i="4"/>
  <c r="C6" i="4"/>
  <c r="D6" i="4" s="1"/>
  <c r="B6" i="4"/>
  <c r="A6" i="4"/>
  <c r="A5" i="5" s="1"/>
  <c r="G5" i="4"/>
  <c r="J5" i="4" s="1"/>
  <c r="D4" i="5" s="1"/>
  <c r="F5" i="4"/>
  <c r="E5" i="4"/>
  <c r="C5" i="4"/>
  <c r="D5" i="4" s="1"/>
  <c r="B5" i="4"/>
  <c r="A5" i="4"/>
  <c r="A4" i="5" s="1"/>
  <c r="A11" i="1"/>
  <c r="A9" i="1"/>
  <c r="E7" i="5" l="1"/>
  <c r="B10" i="1"/>
  <c r="R6" i="4"/>
  <c r="B12" i="1"/>
  <c r="R8" i="4"/>
  <c r="B9" i="1"/>
  <c r="B11" i="1"/>
  <c r="E5" i="5"/>
  <c r="K5" i="4"/>
  <c r="K7" i="4"/>
  <c r="H6" i="4"/>
  <c r="H8" i="4"/>
  <c r="A12" i="1"/>
  <c r="P5" i="4"/>
  <c r="S5" i="4" s="1"/>
  <c r="C9" i="1" s="1"/>
  <c r="J6" i="4"/>
  <c r="AB6" i="4" s="1"/>
  <c r="P7" i="4"/>
  <c r="J8" i="4"/>
  <c r="Q5" i="4"/>
  <c r="Q7" i="4"/>
  <c r="R5" i="4"/>
  <c r="R7" i="4"/>
  <c r="H5" i="4"/>
  <c r="H7" i="4"/>
  <c r="I5" i="4"/>
  <c r="I7" i="4"/>
  <c r="A10" i="1"/>
  <c r="P6" i="4"/>
  <c r="S6" i="4" s="1"/>
  <c r="C10" i="1" s="1"/>
  <c r="P8" i="4"/>
  <c r="AC6" i="4" l="1"/>
  <c r="G5" i="5"/>
  <c r="H10" i="1"/>
  <c r="T5" i="4"/>
  <c r="B5" i="5"/>
  <c r="L6" i="4"/>
  <c r="Y6" i="4" s="1"/>
  <c r="X7" i="4"/>
  <c r="X6" i="4"/>
  <c r="L7" i="4"/>
  <c r="Y7" i="4" s="1"/>
  <c r="Z7" i="4" s="1"/>
  <c r="B6" i="5"/>
  <c r="T6" i="4"/>
  <c r="L5" i="4"/>
  <c r="Y5" i="4" s="1"/>
  <c r="B4" i="5"/>
  <c r="X5" i="4"/>
  <c r="AB7" i="4"/>
  <c r="E6" i="5"/>
  <c r="F6" i="5" s="1"/>
  <c r="E4" i="5"/>
  <c r="F4" i="5" s="1"/>
  <c r="AB5" i="4"/>
  <c r="D7" i="5"/>
  <c r="F7" i="5" s="1"/>
  <c r="K8" i="4"/>
  <c r="M8" i="4" s="1"/>
  <c r="B7" i="5"/>
  <c r="L8" i="4"/>
  <c r="Y8" i="4" s="1"/>
  <c r="S8" i="4"/>
  <c r="S7" i="4"/>
  <c r="AB8" i="4"/>
  <c r="M5" i="4"/>
  <c r="K6" i="4"/>
  <c r="M6" i="4" s="1"/>
  <c r="D5" i="5"/>
  <c r="F5" i="5" s="1"/>
  <c r="W8" i="4" l="1"/>
  <c r="N8" i="4"/>
  <c r="O8" i="4" s="1"/>
  <c r="AC7" i="4"/>
  <c r="G6" i="5"/>
  <c r="H11" i="1"/>
  <c r="AC8" i="4"/>
  <c r="H12" i="1"/>
  <c r="G7" i="5"/>
  <c r="M7" i="4"/>
  <c r="G5" i="1"/>
  <c r="H9" i="1"/>
  <c r="G4" i="5"/>
  <c r="AC5" i="4"/>
  <c r="Z6" i="4"/>
  <c r="W5" i="4"/>
  <c r="N5" i="4"/>
  <c r="O5" i="4" s="1"/>
  <c r="Z5" i="4"/>
  <c r="W6" i="4"/>
  <c r="N6" i="4"/>
  <c r="O6" i="4" s="1"/>
  <c r="A5" i="1"/>
  <c r="V5" i="4"/>
  <c r="F9" i="1" s="1"/>
  <c r="U5" i="4"/>
  <c r="D9" i="1"/>
  <c r="C12" i="1"/>
  <c r="T8" i="4"/>
  <c r="X8" i="4"/>
  <c r="C11" i="1"/>
  <c r="T7" i="4"/>
  <c r="Z8" i="4"/>
  <c r="V6" i="4"/>
  <c r="F10" i="1" s="1"/>
  <c r="U6" i="4"/>
  <c r="D10" i="1"/>
  <c r="H5" i="5"/>
  <c r="I10" i="1"/>
  <c r="AA6" i="4" l="1"/>
  <c r="J5" i="5" s="1"/>
  <c r="I5" i="5"/>
  <c r="G10" i="1"/>
  <c r="I12" i="1"/>
  <c r="H7" i="5"/>
  <c r="E5" i="1"/>
  <c r="G9" i="1"/>
  <c r="I4" i="5"/>
  <c r="AA5" i="4"/>
  <c r="J4" i="5" s="1"/>
  <c r="H6" i="5"/>
  <c r="I11" i="1"/>
  <c r="V7" i="4"/>
  <c r="F11" i="1" s="1"/>
  <c r="D11" i="1"/>
  <c r="U7" i="4"/>
  <c r="E10" i="1"/>
  <c r="W7" i="4"/>
  <c r="N7" i="4"/>
  <c r="O7" i="4" s="1"/>
  <c r="D12" i="1"/>
  <c r="V8" i="4"/>
  <c r="F12" i="1" s="1"/>
  <c r="U8" i="4"/>
  <c r="I9" i="1"/>
  <c r="H4" i="5"/>
  <c r="C5" i="1"/>
  <c r="E9" i="1"/>
  <c r="G12" i="1"/>
  <c r="AA8" i="4"/>
  <c r="J7" i="5" s="1"/>
  <c r="I7" i="5"/>
  <c r="E11" i="1" l="1"/>
  <c r="E12" i="1"/>
  <c r="I6" i="5"/>
  <c r="AA7" i="4"/>
  <c r="J6" i="5" s="1"/>
  <c r="G11" i="1"/>
</calcChain>
</file>

<file path=xl/sharedStrings.xml><?xml version="1.0" encoding="utf-8"?>
<sst xmlns="http://schemas.openxmlformats.org/spreadsheetml/2006/main" count="103" uniqueCount="87">
  <si>
    <t>BagHub — modelo financeiro auditável</t>
  </si>
  <si>
    <t>Todos os números financeiros da apresentação são rastreáveis às premissas, aos dados dos bairros e às fórmulas deste arquivo.</t>
  </si>
  <si>
    <t>Resultado — Estação</t>
  </si>
  <si>
    <t>Margem — Estação</t>
  </si>
  <si>
    <t>Economia parceiros — Estação</t>
  </si>
  <si>
    <t>Break-even banco — Estação</t>
  </si>
  <si>
    <t>Bairro</t>
  </si>
  <si>
    <t>Receita anual (R$)</t>
  </si>
  <si>
    <t>Custo parceiros (R$)</t>
  </si>
  <si>
    <t>Resultado parceiros (R$)</t>
  </si>
  <si>
    <t>Margem</t>
  </si>
  <si>
    <t>Resultado/posição (R$)</t>
  </si>
  <si>
    <t>Economia vs armários (R$)</t>
  </si>
  <si>
    <t>Break-even banco (R$)</t>
  </si>
  <si>
    <t>Redução necessária</t>
  </si>
  <si>
    <t>Premissa</t>
  </si>
  <si>
    <t>Valor</t>
  </si>
  <si>
    <t>Unidade</t>
  </si>
  <si>
    <t>Semanas de operação/ano</t>
  </si>
  <si>
    <t>semanas</t>
  </si>
  <si>
    <t>Tarifa por transação</t>
  </si>
  <si>
    <t>R$/transação</t>
  </si>
  <si>
    <t>Posições por banco</t>
  </si>
  <si>
    <t>posições/banco</t>
  </si>
  <si>
    <t>Custo anual por banco</t>
  </si>
  <si>
    <t>R$/banco/ano</t>
  </si>
  <si>
    <t>Equipamento + seguro + manutenção</t>
  </si>
  <si>
    <t>R$/posição/ano</t>
  </si>
  <si>
    <t>Complexidade</t>
  </si>
  <si>
    <t>Operação armários</t>
  </si>
  <si>
    <t>Operação parceiros</t>
  </si>
  <si>
    <t>Baixa</t>
  </si>
  <si>
    <t>Moderada</t>
  </si>
  <si>
    <t>Alta</t>
  </si>
  <si>
    <t>Dados-base por bairro</t>
  </si>
  <si>
    <t>Transações/semana</t>
  </si>
  <si>
    <t>Posições necessárias</t>
  </si>
  <si>
    <t>Utilização</t>
  </si>
  <si>
    <t>Âncora de demanda</t>
  </si>
  <si>
    <t>Comportamento</t>
  </si>
  <si>
    <t>Estação Central</t>
  </si>
  <si>
    <t>Terminal ferroviário/rodoviário</t>
  </si>
  <si>
    <t>Recorrente e ancorada</t>
  </si>
  <si>
    <t>Centro Histórico</t>
  </si>
  <si>
    <t>Hotéis + atrações</t>
  </si>
  <si>
    <t>Distribuída ao longo do dia</t>
  </si>
  <si>
    <t>Arena</t>
  </si>
  <si>
    <t>Estádio + convenções</t>
  </si>
  <si>
    <t>Concentrada em eventos</t>
  </si>
  <si>
    <t>Noite Alta</t>
  </si>
  <si>
    <t>Bares + casas de show</t>
  </si>
  <si>
    <t>Concentrada à noite</t>
  </si>
  <si>
    <t>Cálculo completo — receita, custos, resultado, margem e métricas derivadas</t>
  </si>
  <si>
    <t>Tx/sem</t>
  </si>
  <si>
    <t>Tx/ano</t>
  </si>
  <si>
    <t>Receita anual</t>
  </si>
  <si>
    <t>Posições</t>
  </si>
  <si>
    <t>Bancos</t>
  </si>
  <si>
    <t>Equip./seg./manut. arm.</t>
  </si>
  <si>
    <t>Op. unitária arm.</t>
  </si>
  <si>
    <t>Operação arm.</t>
  </si>
  <si>
    <t>Bancos arm.</t>
  </si>
  <si>
    <t>Custo total arm.</t>
  </si>
  <si>
    <t>Resultado arm.</t>
  </si>
  <si>
    <t>Margem arm.</t>
  </si>
  <si>
    <t>Equip./seg./manut. parc.</t>
  </si>
  <si>
    <t>Op. unitária parc.</t>
  </si>
  <si>
    <t>Operação parc.</t>
  </si>
  <si>
    <t>Custo total parc.</t>
  </si>
  <si>
    <t>Resultado parc.</t>
  </si>
  <si>
    <t>Margem parc.</t>
  </si>
  <si>
    <t>Resultado/posição parc.</t>
  </si>
  <si>
    <t>Economia parceiros</t>
  </si>
  <si>
    <t>Op. adicional parceiros</t>
  </si>
  <si>
    <t>Custo bancos evitado</t>
  </si>
  <si>
    <t>Reconciliação economia</t>
  </si>
  <si>
    <t>Headroom/posição</t>
  </si>
  <si>
    <t>Break-even banco</t>
  </si>
  <si>
    <t>Sensibilidade do modelo — break-even e headroom</t>
  </si>
  <si>
    <t>Custo banco atual</t>
  </si>
  <si>
    <t>Op. arm./posição</t>
  </si>
  <si>
    <t>Op. parc./posição</t>
  </si>
  <si>
    <t>Δ op./posição</t>
  </si>
  <si>
    <t>Fórmula: Break-even do banco = (custo operação parceiros/posição − custo operação armários/posição) × posições ÷ nº de bancos</t>
  </si>
  <si>
    <t>Fórmula: Redução necessária = 1 − (break-even ÷ custo atual do banco). Headroom/posição = economia dos parceiros ÷ posições.</t>
  </si>
  <si>
    <t>Dados</t>
  </si>
  <si>
    <t>resultado operacional anual = receita anual − custos anuais diretos.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</si>
</sst>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R\$\ #,##0.00;[Red]\(\R\$\ #,##0.00\);\-"/>
    <numFmt numFmtId="165" formatCode="0.0%"/>
    <numFmt numFmtId="166" formatCode="\R\$\ #,##0;[Red]\(\R\$\ #,##0\);\-"/>
    <numFmt numFmtId="167" formatCode="#,##0;[Red]\(#,##0\);\-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6B7280"/>
      <name val="Carlito"/>
    </font>
    <font>
      <b/>
      <sz val="11"/>
      <color rgb="FF6B7280"/>
      <name val="Carlito"/>
    </font>
    <font>
      <b/>
      <sz val="14"/>
      <color rgb="FF008000"/>
      <name val="Carlito"/>
    </font>
    <font>
      <b/>
      <sz val="11"/>
      <color rgb="FFFFFFFF"/>
      <name val="Carlito"/>
    </font>
    <font>
      <sz val="11"/>
      <color rgb="FF008000"/>
      <name val="Carlito"/>
    </font>
    <font>
      <b/>
      <sz val="14"/>
      <color rgb="FFFFFFFF"/>
      <name val="Carlito"/>
    </font>
    <font>
      <sz val="11"/>
      <color rgb="FF0000FF"/>
      <name val="Carlito"/>
    </font>
    <font>
      <b/>
      <sz val="11"/>
      <name val="Carlito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C1F23"/>
      </patternFill>
    </fill>
    <fill>
      <patternFill patternType="solid">
        <fgColor rgb="FFC0252B"/>
      </patternFill>
    </fill>
    <fill>
      <patternFill patternType="solid">
        <fgColor rgb="FFFFF2CC"/>
      </patternFill>
    </fill>
    <fill>
      <patternFill patternType="solid">
        <fgColor rgb="FFF6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167" fontId="8" fillId="0" borderId="0" xfId="0" applyNumberFormat="1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167" fontId="10" fillId="0" borderId="0" xfId="0" applyNumberFormat="1" applyFont="1" applyAlignment="1">
      <alignment vertical="center" wrapText="1"/>
    </xf>
    <xf numFmtId="166" fontId="10" fillId="0" borderId="0" xfId="0" applyNumberFormat="1" applyFont="1" applyAlignment="1">
      <alignment vertical="center" wrapText="1"/>
    </xf>
    <xf numFmtId="9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65" fontId="10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0"/>
  <sheetViews>
    <sheetView workbookViewId="0">
      <selection activeCell="B21" sqref="B21"/>
    </sheetView>
  </sheetViews>
  <sheetFormatPr defaultRowHeight="14.25"/>
  <cols>
    <col min="1" max="1" width="34" customWidth="1"/>
    <col min="2" max="2" width="18" customWidth="1"/>
    <col min="3" max="3" width="20" customWidth="1"/>
    <col min="4" max="4" width="48" customWidth="1"/>
  </cols>
  <sheetData>
    <row r="1" spans="1:30" ht="27.95" customHeight="1">
      <c r="A1" s="24" t="s">
        <v>85</v>
      </c>
      <c r="B1" s="24"/>
      <c r="C1" s="24"/>
      <c r="D1" s="2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">
      <c r="A3" s="11" t="s">
        <v>15</v>
      </c>
      <c r="B3" s="11" t="s">
        <v>16</v>
      </c>
      <c r="C3" s="11" t="s">
        <v>17</v>
      </c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18</v>
      </c>
      <c r="B4" s="12">
        <v>50</v>
      </c>
      <c r="C4" s="2" t="s">
        <v>19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2" t="s">
        <v>20</v>
      </c>
      <c r="B5" s="12">
        <v>30</v>
      </c>
      <c r="C5" s="2" t="s">
        <v>21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2" t="s">
        <v>22</v>
      </c>
      <c r="B6" s="12">
        <v>40</v>
      </c>
      <c r="C6" s="2" t="s">
        <v>23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2" t="s">
        <v>24</v>
      </c>
      <c r="B7" s="12">
        <v>70000</v>
      </c>
      <c r="C7" s="2" t="s">
        <v>25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2" t="s">
        <v>26</v>
      </c>
      <c r="B8" s="12">
        <v>1400</v>
      </c>
      <c r="C8" s="2" t="s">
        <v>27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">
      <c r="A10" s="11" t="s">
        <v>28</v>
      </c>
      <c r="B10" s="11" t="s">
        <v>29</v>
      </c>
      <c r="C10" s="11" t="s">
        <v>30</v>
      </c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2" t="s">
        <v>31</v>
      </c>
      <c r="B11" s="13">
        <v>700</v>
      </c>
      <c r="C11" s="13">
        <v>1100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2" t="s">
        <v>32</v>
      </c>
      <c r="B12" s="13">
        <v>1400</v>
      </c>
      <c r="C12" s="13">
        <v>2000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2" t="s">
        <v>33</v>
      </c>
      <c r="B13" s="13">
        <v>3200</v>
      </c>
      <c r="C13" s="13">
        <v>4600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">
      <c r="A15" s="25" t="s">
        <v>86</v>
      </c>
      <c r="B15" s="25"/>
      <c r="C15" s="25"/>
      <c r="D15" s="2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</sheetData>
  <mergeCells count="2">
    <mergeCell ref="A1:D1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0"/>
  <sheetViews>
    <sheetView workbookViewId="0">
      <selection activeCell="F5" sqref="F5"/>
    </sheetView>
  </sheetViews>
  <sheetFormatPr defaultRowHeight="14.25"/>
  <cols>
    <col min="1" max="1" width="22" customWidth="1"/>
    <col min="2" max="5" width="16" customWidth="1"/>
    <col min="6" max="7" width="34" customWidth="1"/>
  </cols>
  <sheetData>
    <row r="1" spans="1:30" ht="27.95" customHeight="1">
      <c r="A1" s="24" t="s">
        <v>34</v>
      </c>
      <c r="B1" s="24"/>
      <c r="C1" s="24"/>
      <c r="D1" s="24"/>
      <c r="E1" s="24"/>
      <c r="F1" s="24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30">
      <c r="A3" s="11" t="s">
        <v>6</v>
      </c>
      <c r="B3" s="11" t="s">
        <v>35</v>
      </c>
      <c r="C3" s="11" t="s">
        <v>36</v>
      </c>
      <c r="D3" s="11" t="s">
        <v>37</v>
      </c>
      <c r="E3" s="11" t="s">
        <v>28</v>
      </c>
      <c r="F3" s="11" t="s">
        <v>38</v>
      </c>
      <c r="G3" s="11" t="s">
        <v>39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40</v>
      </c>
      <c r="B4" s="12">
        <v>24000</v>
      </c>
      <c r="C4" s="12">
        <v>2400</v>
      </c>
      <c r="D4" s="14">
        <v>0.42</v>
      </c>
      <c r="E4" s="15" t="s">
        <v>32</v>
      </c>
      <c r="F4" s="2" t="s">
        <v>41</v>
      </c>
      <c r="G4" s="2" t="s">
        <v>42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2" t="s">
        <v>43</v>
      </c>
      <c r="B5" s="12">
        <v>18000</v>
      </c>
      <c r="C5" s="12">
        <v>1000</v>
      </c>
      <c r="D5" s="14">
        <v>0.54</v>
      </c>
      <c r="E5" s="15" t="s">
        <v>31</v>
      </c>
      <c r="F5" s="2" t="s">
        <v>44</v>
      </c>
      <c r="G5" s="2" t="s">
        <v>45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2" t="s">
        <v>46</v>
      </c>
      <c r="B6" s="12">
        <v>12000</v>
      </c>
      <c r="C6" s="12">
        <v>900</v>
      </c>
      <c r="D6" s="14">
        <v>0.31</v>
      </c>
      <c r="E6" s="15" t="s">
        <v>32</v>
      </c>
      <c r="F6" s="2" t="s">
        <v>47</v>
      </c>
      <c r="G6" s="2" t="s">
        <v>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2" t="s">
        <v>49</v>
      </c>
      <c r="B7" s="12">
        <v>20000</v>
      </c>
      <c r="C7" s="12">
        <v>1800</v>
      </c>
      <c r="D7" s="14">
        <v>0.33</v>
      </c>
      <c r="E7" s="15" t="s">
        <v>33</v>
      </c>
      <c r="F7" s="2" t="s">
        <v>50</v>
      </c>
      <c r="G7" s="2" t="s">
        <v>51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0"/>
  <sheetViews>
    <sheetView topLeftCell="Q1" workbookViewId="0">
      <selection activeCell="AA3" sqref="AA3"/>
    </sheetView>
  </sheetViews>
  <sheetFormatPr defaultRowHeight="14.25"/>
  <cols>
    <col min="1" max="1" width="22" customWidth="1"/>
    <col min="2" max="3" width="12" customWidth="1"/>
    <col min="4" max="4" width="16" customWidth="1"/>
    <col min="5" max="6" width="12" customWidth="1"/>
    <col min="7" max="7" width="14" customWidth="1"/>
    <col min="8" max="8" width="10" customWidth="1"/>
    <col min="9" max="9" width="18" customWidth="1"/>
    <col min="10" max="10" width="15" customWidth="1"/>
    <col min="11" max="14" width="16" customWidth="1"/>
    <col min="15" max="15" width="12" customWidth="1"/>
    <col min="16" max="16" width="18" customWidth="1"/>
    <col min="17" max="17" width="15" customWidth="1"/>
    <col min="18" max="20" width="16" customWidth="1"/>
    <col min="21" max="21" width="12" customWidth="1"/>
    <col min="22" max="28" width="18" customWidth="1"/>
    <col min="29" max="29" width="15" customWidth="1"/>
    <col min="30" max="30" width="11" customWidth="1"/>
  </cols>
  <sheetData>
    <row r="1" spans="1:30" ht="27.95" customHeight="1">
      <c r="A1" s="24" t="s">
        <v>52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30">
      <c r="A3" s="11" t="s">
        <v>6</v>
      </c>
      <c r="B3" s="11" t="s">
        <v>53</v>
      </c>
      <c r="C3" s="11" t="s">
        <v>54</v>
      </c>
      <c r="D3" s="11" t="s">
        <v>55</v>
      </c>
      <c r="E3" s="11" t="s">
        <v>56</v>
      </c>
      <c r="F3" s="11" t="s">
        <v>37</v>
      </c>
      <c r="G3" s="11" t="s">
        <v>28</v>
      </c>
      <c r="H3" s="11" t="s">
        <v>57</v>
      </c>
      <c r="I3" s="11" t="s">
        <v>58</v>
      </c>
      <c r="J3" s="11" t="s">
        <v>59</v>
      </c>
      <c r="K3" s="11" t="s">
        <v>60</v>
      </c>
      <c r="L3" s="11" t="s">
        <v>61</v>
      </c>
      <c r="M3" s="11" t="s">
        <v>62</v>
      </c>
      <c r="N3" s="11" t="s">
        <v>63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69</v>
      </c>
      <c r="U3" s="11" t="s">
        <v>70</v>
      </c>
      <c r="V3" s="11" t="s">
        <v>71</v>
      </c>
      <c r="W3" s="11" t="s">
        <v>72</v>
      </c>
      <c r="X3" s="11" t="s">
        <v>73</v>
      </c>
      <c r="Y3" s="11" t="s">
        <v>74</v>
      </c>
      <c r="Z3" s="11" t="s">
        <v>75</v>
      </c>
      <c r="AA3" s="11" t="s">
        <v>76</v>
      </c>
      <c r="AB3" s="11" t="s">
        <v>77</v>
      </c>
      <c r="AC3" s="11" t="s">
        <v>14</v>
      </c>
      <c r="AD3" s="11"/>
    </row>
    <row r="4" spans="1:3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8" t="str">
        <f>Bairros!A4</f>
        <v>Estação Central</v>
      </c>
      <c r="B5" s="16">
        <f>Bairros!B4</f>
        <v>24000</v>
      </c>
      <c r="C5" s="17">
        <f>B5*Dados!$B$4</f>
        <v>1200000</v>
      </c>
      <c r="D5" s="18">
        <f>C5*Dados!$B$5</f>
        <v>36000000</v>
      </c>
      <c r="E5" s="17">
        <f>Bairros!C4</f>
        <v>2400</v>
      </c>
      <c r="F5" s="19">
        <f>Bairros!D4</f>
        <v>0.42</v>
      </c>
      <c r="G5" s="20" t="str">
        <f>Bairros!E4</f>
        <v>Moderada</v>
      </c>
      <c r="H5" s="17">
        <f>ROUNDUP(E5/Dados!$B$6,0)</f>
        <v>60</v>
      </c>
      <c r="I5" s="18">
        <f>E5*Dados!$B$8</f>
        <v>3360000</v>
      </c>
      <c r="J5" s="18">
        <f>IF(G5="Baixa",Dados!$B$11,IF(G5="Moderada",Dados!$B$12,Dados!$B$13))</f>
        <v>1400</v>
      </c>
      <c r="K5" s="18">
        <f>E5*J5</f>
        <v>3360000</v>
      </c>
      <c r="L5" s="18">
        <f>H5*Dados!$B$7</f>
        <v>4200000</v>
      </c>
      <c r="M5" s="18">
        <f>SUM(I5,K5,L5)</f>
        <v>10920000</v>
      </c>
      <c r="N5" s="18">
        <f>D5-M5</f>
        <v>25080000</v>
      </c>
      <c r="O5" s="21">
        <f>N5/D5</f>
        <v>0.69666666666666666</v>
      </c>
      <c r="P5" s="18">
        <f>E5*Dados!$B$8</f>
        <v>3360000</v>
      </c>
      <c r="Q5" s="18">
        <f>IF(G5="Baixa",Dados!$C$11,IF(G5="Moderada",Dados!$C$12,Dados!$C$13))</f>
        <v>2000</v>
      </c>
      <c r="R5" s="18">
        <f>E5*Q5</f>
        <v>4800000</v>
      </c>
      <c r="S5" s="18">
        <f>SUM(P5,R5)</f>
        <v>8160000</v>
      </c>
      <c r="T5" s="18">
        <f>D5-S5</f>
        <v>27840000</v>
      </c>
      <c r="U5" s="21">
        <f>T5/D5</f>
        <v>0.77333333333333332</v>
      </c>
      <c r="V5" s="18">
        <f>T5/E5</f>
        <v>11600</v>
      </c>
      <c r="W5" s="18">
        <f>M5-S5</f>
        <v>2760000</v>
      </c>
      <c r="X5" s="18">
        <f>R5-K5</f>
        <v>1440000</v>
      </c>
      <c r="Y5" s="18">
        <f>L5</f>
        <v>4200000</v>
      </c>
      <c r="Z5" s="18">
        <f>Y5-X5</f>
        <v>2760000</v>
      </c>
      <c r="AA5" s="18">
        <f>W5/E5</f>
        <v>1150</v>
      </c>
      <c r="AB5" s="18">
        <f>((Q5-J5)*E5)/H5</f>
        <v>24000</v>
      </c>
      <c r="AC5" s="21">
        <f>1-(AB5/Dados!$B$7)</f>
        <v>0.65714285714285714</v>
      </c>
      <c r="AD5" s="20"/>
    </row>
    <row r="6" spans="1:30">
      <c r="A6" s="8" t="str">
        <f>Bairros!A5</f>
        <v>Centro Histórico</v>
      </c>
      <c r="B6" s="16">
        <f>Bairros!B5</f>
        <v>18000</v>
      </c>
      <c r="C6" s="17">
        <f>B6*Dados!$B$4</f>
        <v>900000</v>
      </c>
      <c r="D6" s="18">
        <f>C6*Dados!$B$5</f>
        <v>27000000</v>
      </c>
      <c r="E6" s="17">
        <f>Bairros!C5</f>
        <v>1000</v>
      </c>
      <c r="F6" s="19">
        <f>Bairros!D5</f>
        <v>0.54</v>
      </c>
      <c r="G6" s="20" t="str">
        <f>Bairros!E5</f>
        <v>Baixa</v>
      </c>
      <c r="H6" s="17">
        <f>ROUNDUP(E6/Dados!$B$6,0)</f>
        <v>25</v>
      </c>
      <c r="I6" s="18">
        <f>E6*Dados!$B$8</f>
        <v>1400000</v>
      </c>
      <c r="J6" s="18">
        <f>IF(G6="Baixa",Dados!$B$11,IF(G6="Moderada",Dados!$B$12,Dados!$B$13))</f>
        <v>700</v>
      </c>
      <c r="K6" s="18">
        <f>E6*J6</f>
        <v>700000</v>
      </c>
      <c r="L6" s="18">
        <f>H6*Dados!$B$7</f>
        <v>1750000</v>
      </c>
      <c r="M6" s="18">
        <f>SUM(I6,K6,L6)</f>
        <v>3850000</v>
      </c>
      <c r="N6" s="18">
        <f>D6-M6</f>
        <v>23150000</v>
      </c>
      <c r="O6" s="21">
        <f>N6/D6</f>
        <v>0.8574074074074074</v>
      </c>
      <c r="P6" s="18">
        <f>E6*Dados!$B$8</f>
        <v>1400000</v>
      </c>
      <c r="Q6" s="18">
        <f>IF(G6="Baixa",Dados!$C$11,IF(G6="Moderada",Dados!$C$12,Dados!$C$13))</f>
        <v>1100</v>
      </c>
      <c r="R6" s="18">
        <f>E6*Q6</f>
        <v>1100000</v>
      </c>
      <c r="S6" s="18">
        <f>SUM(P6,R6)</f>
        <v>2500000</v>
      </c>
      <c r="T6" s="18">
        <f>D6-S6</f>
        <v>24500000</v>
      </c>
      <c r="U6" s="21">
        <f>T6/D6</f>
        <v>0.90740740740740744</v>
      </c>
      <c r="V6" s="18">
        <f>T6/E6</f>
        <v>24500</v>
      </c>
      <c r="W6" s="18">
        <f>M6-S6</f>
        <v>1350000</v>
      </c>
      <c r="X6" s="18">
        <f>R6-K6</f>
        <v>400000</v>
      </c>
      <c r="Y6" s="18">
        <f>L6</f>
        <v>1750000</v>
      </c>
      <c r="Z6" s="18">
        <f>Y6-X6</f>
        <v>1350000</v>
      </c>
      <c r="AA6" s="18">
        <f>W6/E6</f>
        <v>1350</v>
      </c>
      <c r="AB6" s="18">
        <f>((Q6-J6)*E6)/H6</f>
        <v>16000</v>
      </c>
      <c r="AC6" s="21">
        <f>1-(AB6/Dados!$B$7)</f>
        <v>0.77142857142857146</v>
      </c>
      <c r="AD6" s="20"/>
    </row>
    <row r="7" spans="1:30">
      <c r="A7" s="8" t="str">
        <f>Bairros!A6</f>
        <v>Arena</v>
      </c>
      <c r="B7" s="16">
        <f>Bairros!B6</f>
        <v>12000</v>
      </c>
      <c r="C7" s="17">
        <f>B7*Dados!$B$4</f>
        <v>600000</v>
      </c>
      <c r="D7" s="18">
        <f>C7*Dados!$B$5</f>
        <v>18000000</v>
      </c>
      <c r="E7" s="17">
        <f>Bairros!C6</f>
        <v>900</v>
      </c>
      <c r="F7" s="19">
        <f>Bairros!D6</f>
        <v>0.31</v>
      </c>
      <c r="G7" s="20" t="str">
        <f>Bairros!E6</f>
        <v>Moderada</v>
      </c>
      <c r="H7" s="17">
        <f>ROUNDUP(E7/Dados!$B$6,0)</f>
        <v>23</v>
      </c>
      <c r="I7" s="18">
        <f>E7*Dados!$B$8</f>
        <v>1260000</v>
      </c>
      <c r="J7" s="18">
        <f>IF(G7="Baixa",Dados!$B$11,IF(G7="Moderada",Dados!$B$12,Dados!$B$13))</f>
        <v>1400</v>
      </c>
      <c r="K7" s="18">
        <f>E7*J7</f>
        <v>1260000</v>
      </c>
      <c r="L7" s="18">
        <f>H7*Dados!$B$7</f>
        <v>1610000</v>
      </c>
      <c r="M7" s="18">
        <f>SUM(I7,K7,L7)</f>
        <v>4130000</v>
      </c>
      <c r="N7" s="18">
        <f>D7-M7</f>
        <v>13870000</v>
      </c>
      <c r="O7" s="21">
        <f>N7/D7</f>
        <v>0.77055555555555555</v>
      </c>
      <c r="P7" s="18">
        <f>E7*Dados!$B$8</f>
        <v>1260000</v>
      </c>
      <c r="Q7" s="18">
        <f>IF(G7="Baixa",Dados!$C$11,IF(G7="Moderada",Dados!$C$12,Dados!$C$13))</f>
        <v>2000</v>
      </c>
      <c r="R7" s="18">
        <f>E7*Q7</f>
        <v>1800000</v>
      </c>
      <c r="S7" s="18">
        <f>SUM(P7,R7)</f>
        <v>3060000</v>
      </c>
      <c r="T7" s="18">
        <f>D7-S7</f>
        <v>14940000</v>
      </c>
      <c r="U7" s="21">
        <f>T7/D7</f>
        <v>0.83</v>
      </c>
      <c r="V7" s="18">
        <f>T7/E7</f>
        <v>16600</v>
      </c>
      <c r="W7" s="18">
        <f>M7-S7</f>
        <v>1070000</v>
      </c>
      <c r="X7" s="18">
        <f>R7-K7</f>
        <v>540000</v>
      </c>
      <c r="Y7" s="18">
        <f>L7</f>
        <v>1610000</v>
      </c>
      <c r="Z7" s="18">
        <f>Y7-X7</f>
        <v>1070000</v>
      </c>
      <c r="AA7" s="18">
        <f>W7/E7</f>
        <v>1188.8888888888889</v>
      </c>
      <c r="AB7" s="18">
        <f>((Q7-J7)*E7)/H7</f>
        <v>23478.260869565216</v>
      </c>
      <c r="AC7" s="21">
        <f>1-(AB7/Dados!$B$7)</f>
        <v>0.6645962732919255</v>
      </c>
      <c r="AD7" s="20"/>
    </row>
    <row r="8" spans="1:30">
      <c r="A8" s="8" t="str">
        <f>Bairros!A7</f>
        <v>Noite Alta</v>
      </c>
      <c r="B8" s="16">
        <f>Bairros!B7</f>
        <v>20000</v>
      </c>
      <c r="C8" s="17">
        <f>B8*Dados!$B$4</f>
        <v>1000000</v>
      </c>
      <c r="D8" s="18">
        <f>C8*Dados!$B$5</f>
        <v>30000000</v>
      </c>
      <c r="E8" s="17">
        <f>Bairros!C7</f>
        <v>1800</v>
      </c>
      <c r="F8" s="19">
        <f>Bairros!D7</f>
        <v>0.33</v>
      </c>
      <c r="G8" s="20" t="str">
        <f>Bairros!E7</f>
        <v>Alta</v>
      </c>
      <c r="H8" s="17">
        <f>ROUNDUP(E8/Dados!$B$6,0)</f>
        <v>45</v>
      </c>
      <c r="I8" s="18">
        <f>E8*Dados!$B$8</f>
        <v>2520000</v>
      </c>
      <c r="J8" s="18">
        <f>IF(G8="Baixa",Dados!$B$11,IF(G8="Moderada",Dados!$B$12,Dados!$B$13))</f>
        <v>3200</v>
      </c>
      <c r="K8" s="18">
        <f>E8*J8</f>
        <v>5760000</v>
      </c>
      <c r="L8" s="18">
        <f>H8*Dados!$B$7</f>
        <v>3150000</v>
      </c>
      <c r="M8" s="18">
        <f>SUM(I8,K8,L8)</f>
        <v>11430000</v>
      </c>
      <c r="N8" s="18">
        <f>D8-M8</f>
        <v>18570000</v>
      </c>
      <c r="O8" s="21">
        <f>N8/D8</f>
        <v>0.61899999999999999</v>
      </c>
      <c r="P8" s="18">
        <f>E8*Dados!$B$8</f>
        <v>2520000</v>
      </c>
      <c r="Q8" s="18">
        <f>IF(G8="Baixa",Dados!$C$11,IF(G8="Moderada",Dados!$C$12,Dados!$C$13))</f>
        <v>4600</v>
      </c>
      <c r="R8" s="18">
        <f>E8*Q8</f>
        <v>8280000</v>
      </c>
      <c r="S8" s="18">
        <f>SUM(P8,R8)</f>
        <v>10800000</v>
      </c>
      <c r="T8" s="18">
        <f>D8-S8</f>
        <v>19200000</v>
      </c>
      <c r="U8" s="21">
        <f>T8/D8</f>
        <v>0.64</v>
      </c>
      <c r="V8" s="18">
        <f>T8/E8</f>
        <v>10666.666666666666</v>
      </c>
      <c r="W8" s="18">
        <f>M8-S8</f>
        <v>630000</v>
      </c>
      <c r="X8" s="18">
        <f>R8-K8</f>
        <v>2520000</v>
      </c>
      <c r="Y8" s="18">
        <f>L8</f>
        <v>3150000</v>
      </c>
      <c r="Z8" s="18">
        <f>Y8-X8</f>
        <v>630000</v>
      </c>
      <c r="AA8" s="18">
        <f>W8/E8</f>
        <v>350</v>
      </c>
      <c r="AB8" s="18">
        <f>((Q8-J8)*E8)/H8</f>
        <v>56000</v>
      </c>
      <c r="AC8" s="21">
        <f>1-(AB8/Dados!$B$7)</f>
        <v>0.19999999999999996</v>
      </c>
      <c r="AD8" s="20"/>
    </row>
    <row r="9" spans="1:3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</sheetData>
  <mergeCells count="1">
    <mergeCell ref="A1:A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"/>
  <sheetViews>
    <sheetView workbookViewId="0">
      <selection activeCell="G3" sqref="G3"/>
    </sheetView>
  </sheetViews>
  <sheetFormatPr defaultRowHeight="14.25"/>
  <cols>
    <col min="1" max="1" width="22" customWidth="1"/>
    <col min="2" max="2" width="10" customWidth="1"/>
    <col min="3" max="7" width="18" customWidth="1"/>
    <col min="8" max="8" width="16" customWidth="1"/>
    <col min="9" max="10" width="18" customWidth="1"/>
  </cols>
  <sheetData>
    <row r="1" spans="1:30" ht="27.95" customHeight="1">
      <c r="A1" s="24" t="s">
        <v>78</v>
      </c>
      <c r="B1" s="24"/>
      <c r="C1" s="24"/>
      <c r="D1" s="24"/>
      <c r="E1" s="24"/>
      <c r="F1" s="24"/>
      <c r="G1" s="24"/>
      <c r="H1" s="24"/>
      <c r="I1" s="24"/>
      <c r="J1" s="2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30">
      <c r="A3" s="11" t="s">
        <v>6</v>
      </c>
      <c r="B3" s="11" t="s">
        <v>57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77</v>
      </c>
      <c r="H3" s="11" t="s">
        <v>14</v>
      </c>
      <c r="I3" s="11" t="s">
        <v>72</v>
      </c>
      <c r="J3" s="11" t="s">
        <v>76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8" t="str">
        <f>Calculos!A5</f>
        <v>Estação Central</v>
      </c>
      <c r="B4" s="16">
        <f>Calculos!H5</f>
        <v>60</v>
      </c>
      <c r="C4" s="9">
        <f>Dados!$B$7</f>
        <v>70000</v>
      </c>
      <c r="D4" s="9">
        <f>Calculos!J5</f>
        <v>1400</v>
      </c>
      <c r="E4" s="9">
        <f>Calculos!Q5</f>
        <v>2000</v>
      </c>
      <c r="F4" s="9">
        <f>E4-D4</f>
        <v>600</v>
      </c>
      <c r="G4" s="9">
        <f>Calculos!AB5</f>
        <v>24000</v>
      </c>
      <c r="H4" s="10">
        <f>Calculos!AC5</f>
        <v>0.65714285714285714</v>
      </c>
      <c r="I4" s="9">
        <f>Calculos!W5</f>
        <v>2760000</v>
      </c>
      <c r="J4" s="9">
        <f>Calculos!AA5</f>
        <v>1150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8" t="str">
        <f>Calculos!A6</f>
        <v>Centro Histórico</v>
      </c>
      <c r="B5" s="16">
        <f>Calculos!H6</f>
        <v>25</v>
      </c>
      <c r="C5" s="9">
        <f>Dados!$B$7</f>
        <v>70000</v>
      </c>
      <c r="D5" s="9">
        <f>Calculos!J6</f>
        <v>700</v>
      </c>
      <c r="E5" s="9">
        <f>Calculos!Q6</f>
        <v>1100</v>
      </c>
      <c r="F5" s="9">
        <f>E5-D5</f>
        <v>400</v>
      </c>
      <c r="G5" s="9">
        <f>Calculos!AB6</f>
        <v>16000</v>
      </c>
      <c r="H5" s="10">
        <f>Calculos!AC6</f>
        <v>0.77142857142857146</v>
      </c>
      <c r="I5" s="9">
        <f>Calculos!W6</f>
        <v>1350000</v>
      </c>
      <c r="J5" s="9">
        <f>Calculos!AA6</f>
        <v>1350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8" t="str">
        <f>Calculos!A7</f>
        <v>Arena</v>
      </c>
      <c r="B6" s="16">
        <f>Calculos!H7</f>
        <v>23</v>
      </c>
      <c r="C6" s="9">
        <f>Dados!$B$7</f>
        <v>70000</v>
      </c>
      <c r="D6" s="9">
        <f>Calculos!J7</f>
        <v>1400</v>
      </c>
      <c r="E6" s="9">
        <f>Calculos!Q7</f>
        <v>2000</v>
      </c>
      <c r="F6" s="9">
        <f>E6-D6</f>
        <v>600</v>
      </c>
      <c r="G6" s="9">
        <f>Calculos!AB7</f>
        <v>23478.260869565216</v>
      </c>
      <c r="H6" s="10">
        <f>Calculos!AC7</f>
        <v>0.6645962732919255</v>
      </c>
      <c r="I6" s="9">
        <f>Calculos!W7</f>
        <v>1070000</v>
      </c>
      <c r="J6" s="9">
        <f>Calculos!AA7</f>
        <v>1188.8888888888889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8" t="str">
        <f>Calculos!A8</f>
        <v>Noite Alta</v>
      </c>
      <c r="B7" s="16">
        <f>Calculos!H8</f>
        <v>45</v>
      </c>
      <c r="C7" s="9">
        <f>Dados!$B$7</f>
        <v>70000</v>
      </c>
      <c r="D7" s="9">
        <f>Calculos!J8</f>
        <v>3200</v>
      </c>
      <c r="E7" s="9">
        <f>Calculos!Q8</f>
        <v>4600</v>
      </c>
      <c r="F7" s="9">
        <f>E7-D7</f>
        <v>1400</v>
      </c>
      <c r="G7" s="9">
        <f>Calculos!AB8</f>
        <v>56000</v>
      </c>
      <c r="H7" s="10">
        <f>Calculos!AC8</f>
        <v>0.19999999999999996</v>
      </c>
      <c r="I7" s="9">
        <f>Calculos!W8</f>
        <v>630000</v>
      </c>
      <c r="J7" s="9">
        <f>Calculos!AA8</f>
        <v>350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">
      <c r="A10" s="26" t="s">
        <v>83</v>
      </c>
      <c r="B10" s="26"/>
      <c r="C10" s="26"/>
      <c r="D10" s="26"/>
      <c r="E10" s="26"/>
      <c r="F10" s="26"/>
      <c r="G10" s="26"/>
      <c r="H10" s="26"/>
      <c r="I10" s="26"/>
      <c r="J10" s="2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27" t="s">
        <v>84</v>
      </c>
      <c r="B11" s="27"/>
      <c r="C11" s="27"/>
      <c r="D11" s="27"/>
      <c r="E11" s="27"/>
      <c r="F11" s="27"/>
      <c r="G11" s="27"/>
      <c r="H11" s="27"/>
      <c r="I11" s="27"/>
      <c r="J11" s="2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</sheetData>
  <mergeCells count="3">
    <mergeCell ref="A1:J1"/>
    <mergeCell ref="A10:J10"/>
    <mergeCell ref="A11:J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"/>
  <sheetViews>
    <sheetView tabSelected="1" workbookViewId="0">
      <selection activeCell="B5" sqref="B5"/>
    </sheetView>
  </sheetViews>
  <sheetFormatPr defaultRowHeight="14.25"/>
  <cols>
    <col min="1" max="1" width="24" customWidth="1"/>
    <col min="2" max="3" width="16" customWidth="1"/>
    <col min="4" max="4" width="18" customWidth="1"/>
    <col min="5" max="6" width="14" customWidth="1"/>
    <col min="7" max="9" width="18" customWidth="1"/>
  </cols>
  <sheetData>
    <row r="1" spans="1:30" ht="27.9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45">
      <c r="A4" s="3" t="s">
        <v>2</v>
      </c>
      <c r="B4" s="2"/>
      <c r="C4" s="3" t="s">
        <v>3</v>
      </c>
      <c r="D4" s="2"/>
      <c r="E4" s="3" t="s">
        <v>4</v>
      </c>
      <c r="F4" s="2"/>
      <c r="G4" s="3" t="s">
        <v>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8">
      <c r="A5" s="4">
        <f>Calculos!T5</f>
        <v>27840000</v>
      </c>
      <c r="B5" s="5"/>
      <c r="C5" s="6">
        <f>Calculos!U5</f>
        <v>0.77333333333333332</v>
      </c>
      <c r="D5" s="5"/>
      <c r="E5" s="4">
        <f>Calculos!W5</f>
        <v>2760000</v>
      </c>
      <c r="F5" s="5"/>
      <c r="G5" s="7">
        <f>Calculos!AB5</f>
        <v>24000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30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8" t="str">
        <f>Calculos!A5</f>
        <v>Estação Central</v>
      </c>
      <c r="B9" s="9">
        <f>Calculos!D5</f>
        <v>36000000</v>
      </c>
      <c r="C9" s="9">
        <f>Calculos!S5</f>
        <v>8160000</v>
      </c>
      <c r="D9" s="9">
        <f>Calculos!T5</f>
        <v>27840000</v>
      </c>
      <c r="E9" s="10">
        <f>Calculos!U5</f>
        <v>0.77333333333333332</v>
      </c>
      <c r="F9" s="9">
        <f>Calculos!V5</f>
        <v>11600</v>
      </c>
      <c r="G9" s="9">
        <f>Calculos!W5</f>
        <v>2760000</v>
      </c>
      <c r="H9" s="9">
        <f>Calculos!AB5</f>
        <v>24000</v>
      </c>
      <c r="I9" s="10">
        <f>Calculos!AC5</f>
        <v>0.65714285714285714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8" t="str">
        <f>Calculos!A6</f>
        <v>Centro Histórico</v>
      </c>
      <c r="B10" s="9">
        <f>Calculos!D6</f>
        <v>27000000</v>
      </c>
      <c r="C10" s="9">
        <f>Calculos!S6</f>
        <v>2500000</v>
      </c>
      <c r="D10" s="9">
        <f>Calculos!T6</f>
        <v>24500000</v>
      </c>
      <c r="E10" s="10">
        <f>Calculos!U6</f>
        <v>0.90740740740740744</v>
      </c>
      <c r="F10" s="9">
        <f>Calculos!V6</f>
        <v>24500</v>
      </c>
      <c r="G10" s="9">
        <f>Calculos!W6</f>
        <v>1350000</v>
      </c>
      <c r="H10" s="9">
        <f>Calculos!AB6</f>
        <v>16000</v>
      </c>
      <c r="I10" s="10">
        <f>Calculos!AC6</f>
        <v>0.77142857142857146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8" t="str">
        <f>Calculos!A7</f>
        <v>Arena</v>
      </c>
      <c r="B11" s="9">
        <f>Calculos!D7</f>
        <v>18000000</v>
      </c>
      <c r="C11" s="9">
        <f>Calculos!S7</f>
        <v>3060000</v>
      </c>
      <c r="D11" s="9">
        <f>Calculos!T7</f>
        <v>14940000</v>
      </c>
      <c r="E11" s="10">
        <f>Calculos!U7</f>
        <v>0.83</v>
      </c>
      <c r="F11" s="9">
        <f>Calculos!V7</f>
        <v>16600</v>
      </c>
      <c r="G11" s="9">
        <f>Calculos!W7</f>
        <v>1070000</v>
      </c>
      <c r="H11" s="9">
        <f>Calculos!AB7</f>
        <v>23478.260869565216</v>
      </c>
      <c r="I11" s="10">
        <f>Calculos!AC7</f>
        <v>0.6645962732919255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8" t="str">
        <f>Calculos!A8</f>
        <v>Noite Alta</v>
      </c>
      <c r="B12" s="9">
        <f>Calculos!D8</f>
        <v>30000000</v>
      </c>
      <c r="C12" s="9">
        <f>Calculos!S8</f>
        <v>10800000</v>
      </c>
      <c r="D12" s="9">
        <f>Calculos!T8</f>
        <v>19200000</v>
      </c>
      <c r="E12" s="10">
        <f>Calculos!U8</f>
        <v>0.64</v>
      </c>
      <c r="F12" s="9">
        <f>Calculos!V8</f>
        <v>10666.666666666666</v>
      </c>
      <c r="G12" s="9">
        <f>Calculos!W8</f>
        <v>630000</v>
      </c>
      <c r="H12" s="9">
        <f>Calculos!AB8</f>
        <v>56000</v>
      </c>
      <c r="I12" s="10">
        <f>Calculos!AC8</f>
        <v>0.19999999999999996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Bairros</vt:lpstr>
      <vt:lpstr>Calculos</vt:lpstr>
      <vt:lpstr>Sensibilidade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Mello</cp:lastModifiedBy>
  <dcterms:created xsi:type="dcterms:W3CDTF">2026-09-17T00:14:00Z</dcterms:created>
  <dcterms:modified xsi:type="dcterms:W3CDTF">2026-09-17T00:14:00Z</dcterms:modified>
</cp:coreProperties>
</file>