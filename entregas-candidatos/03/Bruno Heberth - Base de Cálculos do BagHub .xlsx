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Premissas" sheetId="2" r:id="rId5"/>
    <sheet state="visible" name="Cálculos" sheetId="3" r:id="rId6"/>
    <sheet state="visible" name="Capacidade" sheetId="4" r:id="rId7"/>
    <sheet state="visible" name="Notas" sheetId="5" r:id="rId8"/>
  </sheets>
  <definedNames/>
  <calcPr/>
</workbook>
</file>

<file path=xl/sharedStrings.xml><?xml version="1.0" encoding="utf-8"?>
<sst xmlns="http://schemas.openxmlformats.org/spreadsheetml/2006/main" count="65" uniqueCount="47">
  <si>
    <t>BagHub - Base de cálculos</t>
  </si>
  <si>
    <t>Resumo dos cenários analisados</t>
  </si>
  <si>
    <t>Bairro</t>
  </si>
  <si>
    <t>Trans./sem.</t>
  </si>
  <si>
    <t>Posições</t>
  </si>
  <si>
    <t>Utilização</t>
  </si>
  <si>
    <t>Receita anual</t>
  </si>
  <si>
    <t>Resultado - Armários</t>
  </si>
  <si>
    <t>Resultado - Parceiros</t>
  </si>
  <si>
    <t>Estação Central</t>
  </si>
  <si>
    <t>Centro Histórico</t>
  </si>
  <si>
    <t>Arena</t>
  </si>
  <si>
    <t>Noite Alta</t>
  </si>
  <si>
    <t>Conclusão dos cálculos</t>
  </si>
  <si>
    <t>Estação Central + Pontos parceiros = maior resultado operacional anual.</t>
  </si>
  <si>
    <t>A utilização não foi usada para reduzir a quantidade de transações.</t>
  </si>
  <si>
    <t>Premissas utilizadas</t>
  </si>
  <si>
    <t>Semanas de operação</t>
  </si>
  <si>
    <t>Tarifa por transação</t>
  </si>
  <si>
    <t>Custo equipamento / seguro / manutenção por posição</t>
  </si>
  <si>
    <t>Posições por banco de armários</t>
  </si>
  <si>
    <t>Custo anual por banco de armários</t>
  </si>
  <si>
    <t>Bancos</t>
  </si>
  <si>
    <t>Complexidade</t>
  </si>
  <si>
    <t>Operação / posição - Armários</t>
  </si>
  <si>
    <t>Operação / posição - Parceiros</t>
  </si>
  <si>
    <t>Receita</t>
  </si>
  <si>
    <t>Equip./seg./manut.</t>
  </si>
  <si>
    <t>Operação Arm.</t>
  </si>
  <si>
    <t>Custo total Arm.</t>
  </si>
  <si>
    <t>Resultado Arm.</t>
  </si>
  <si>
    <t>Operação Parceiros</t>
  </si>
  <si>
    <t>Custo total Parceiros</t>
  </si>
  <si>
    <t>Resultado Parceiros</t>
  </si>
  <si>
    <t>Moderada</t>
  </si>
  <si>
    <t>Baixa</t>
  </si>
  <si>
    <t>Alta</t>
  </si>
  <si>
    <t>Posições ocupadas em média*</t>
  </si>
  <si>
    <t>* Indicador médio derivado da utilização informada. A capacidade do case foi dimensionada para os picos.</t>
  </si>
  <si>
    <t>Como fiz os cálculos</t>
  </si>
  <si>
    <t>• Receita anual = transações por semana × 50 semanas × R$ 30.</t>
  </si>
  <si>
    <t>• Nos dois modelos, o custo de equipamento, seguro e manutenção é R$ 1.400 por posição.</t>
  </si>
  <si>
    <t>• Nos armários, usei bancos de 40 posições e arredondei para cima. Cada banco custa R$ 70.000 por ano.</t>
  </si>
  <si>
    <t>• Para operação, usei o custo por posição correspondente à complexidade de cada bairro.</t>
  </si>
  <si>
    <t>• Resultado operacional = receita anual - custos diretamente atribuíveis à operação.</t>
  </si>
  <si>
    <t>• Não apliquei a utilização sobre as transações. O próprio case diz que a demanda já está informada e que a utilização não deve ser usada como desconto.</t>
  </si>
  <si>
    <t>• Não considerei sinergias de capacidade entre bairros, conforme orientação do case.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</si>
</sst>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R$ #,##0"/>
  </numFmts>
  <fonts count="6">
    <font>
      <sz val="11.0"/>
      <color/>
      <name val="Arial"/>
      <scheme val="minor"/>
    </font>
    <font>
      <b/>
      <sz val="16.0"/>
    </font>
    <font>
      <sz val="11.0"/>
      <color/>
      <name val="Calibri"/>
    </font>
    <font>
      <i/>
      <color rgb="FF666666"/>
    </font>
    <font>
      <b/>
    </font>
    <font>
      <b/>
      <sz val="15.0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3">
    <border/>
    <border>
      <left/>
      <right/>
      <top/>
      <bottom/>
    </border>
    <border>
      <bottom style="thin">
        <color rgb="FFDDDDDD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2" fontId="4" numFmtId="0" xfId="0" applyAlignment="1" applyBorder="1" applyFill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0" fontId="2" numFmtId="9" xfId="0" applyAlignment="1" applyBorder="1" applyFont="1" applyNumberFormat="1">
      <alignment shrinkToFit="0" vertical="center" wrapText="1"/>
    </xf>
    <xf borderId="2" fillId="0" fontId="2" numFmtId="164" xfId="0" applyAlignment="1" applyBorder="1" applyFont="1" applyNumberForma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9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4" width="13.0"/>
    <col customWidth="1" min="5" max="7" width="34.0"/>
    <col customWidth="1" min="8" max="11" width="8.71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2"/>
      <c r="C2" s="2"/>
      <c r="D2" s="2"/>
      <c r="E2" s="2"/>
      <c r="F2" s="2"/>
      <c r="G2" s="2"/>
    </row>
    <row r="3">
      <c r="A3" s="2"/>
      <c r="B3" s="2"/>
      <c r="C3" s="2"/>
      <c r="D3" s="2"/>
      <c r="E3" s="2"/>
      <c r="F3" s="2"/>
      <c r="G3" s="2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>
      <c r="A5" s="5" t="s">
        <v>9</v>
      </c>
      <c r="B5" s="5">
        <v>24000.0</v>
      </c>
      <c r="C5" s="5">
        <v>2400.0</v>
      </c>
      <c r="D5" s="6">
        <v>0.42</v>
      </c>
      <c r="E5" s="7" t="str">
        <f>B5*Premissas!$B$2*Premissas!$B$3</f>
        <v>R$ 36,000,000</v>
      </c>
      <c r="F5" s="7" t="str">
        <f>C5*Premissas!$B$4+C5*'Cálculos'!$G$2+ROUNDUP(C5/Premissas!$B$5,0)*Premissas!$B$6</f>
        <v>R$ 10,920,000</v>
      </c>
      <c r="G5" s="7" t="str">
        <f>C5*Premissas!$B$4+C5*'Cálculos'!$H$2</f>
        <v>R$ 8,160,000</v>
      </c>
    </row>
    <row r="6">
      <c r="A6" s="5" t="s">
        <v>10</v>
      </c>
      <c r="B6" s="5">
        <v>18000.0</v>
      </c>
      <c r="C6" s="5">
        <v>1000.0</v>
      </c>
      <c r="D6" s="6">
        <v>0.54</v>
      </c>
      <c r="E6" s="7" t="str">
        <f>B6*Premissas!$B$2*Premissas!$B$3</f>
        <v>R$ 27,000,000</v>
      </c>
      <c r="F6" s="7" t="str">
        <f>C6*Premissas!$B$4+C6*'Cálculos'!$G$3+ROUNDUP(C6/Premissas!$B$5,0)*Premissas!$B$6</f>
        <v>R$ 3,850,000</v>
      </c>
      <c r="G6" s="7" t="str">
        <f>C6*Premissas!$B$4+C6*'Cálculos'!$H$3</f>
        <v>R$ 2,500,000</v>
      </c>
    </row>
    <row r="7">
      <c r="A7" s="5" t="s">
        <v>11</v>
      </c>
      <c r="B7" s="5">
        <v>12000.0</v>
      </c>
      <c r="C7" s="5">
        <v>900.0</v>
      </c>
      <c r="D7" s="6">
        <v>0.31</v>
      </c>
      <c r="E7" s="7" t="str">
        <f>B7*Premissas!$B$2*Premissas!$B$3</f>
        <v>R$ 18,000,000</v>
      </c>
      <c r="F7" s="7" t="str">
        <f>C7*Premissas!$B$4+C7*'Cálculos'!$G$4+ROUNDUP(C7/Premissas!$B$5,0)*Premissas!$B$6</f>
        <v>R$ 4,130,000</v>
      </c>
      <c r="G7" s="7" t="str">
        <f>C7*Premissas!$B$4+C7*'Cálculos'!$H$4</f>
        <v>R$ 3,060,000</v>
      </c>
    </row>
    <row r="8">
      <c r="A8" s="5" t="s">
        <v>12</v>
      </c>
      <c r="B8" s="5">
        <v>20000.0</v>
      </c>
      <c r="C8" s="5">
        <v>1800.0</v>
      </c>
      <c r="D8" s="6">
        <v>0.33</v>
      </c>
      <c r="E8" s="7" t="str">
        <f>B8*Premissas!$B$2*Premissas!$B$3</f>
        <v>R$ 30,000,000</v>
      </c>
      <c r="F8" s="7" t="str">
        <f>C8*Premissas!$B$4+C8*'Cálculos'!$G$5+ROUNDUP(C8/Premissas!$B$5,0)*Premissas!$B$6</f>
        <v>R$ 11,430,000</v>
      </c>
      <c r="G8" s="7" t="str">
        <f>C8*Premissas!$B$4+C8*'Cálculos'!$H$5</f>
        <v>R$ 10,800,000</v>
      </c>
    </row>
    <row r="9">
      <c r="A9" s="2"/>
      <c r="B9" s="2"/>
      <c r="C9" s="2"/>
      <c r="D9" s="2"/>
      <c r="E9" s="2"/>
      <c r="F9" s="2"/>
      <c r="G9" s="2"/>
    </row>
    <row r="10">
      <c r="A10" s="2"/>
      <c r="B10" s="2"/>
      <c r="C10" s="2"/>
      <c r="D10" s="2"/>
      <c r="E10" s="2"/>
      <c r="F10" s="2"/>
      <c r="G10" s="2"/>
    </row>
    <row r="11">
      <c r="A11" s="8" t="s">
        <v>13</v>
      </c>
      <c r="B11" s="2"/>
      <c r="C11" s="2"/>
      <c r="D11" s="2"/>
      <c r="E11" s="2"/>
      <c r="F11" s="2"/>
      <c r="G11" s="2"/>
    </row>
    <row r="12">
      <c r="A12" s="2" t="s">
        <v>14</v>
      </c>
    </row>
    <row r="13">
      <c r="A13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3:G13"/>
    <mergeCell ref="A12:G1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13.0"/>
    <col customWidth="1" min="3" max="11" width="8.71"/>
  </cols>
  <sheetData>
    <row r="1">
      <c r="A1" s="9" t="s">
        <v>16</v>
      </c>
      <c r="B1" s="2"/>
    </row>
    <row r="2">
      <c r="A2" s="8" t="s">
        <v>17</v>
      </c>
      <c r="B2" s="2">
        <v>50.0</v>
      </c>
    </row>
    <row r="3">
      <c r="A3" s="8" t="s">
        <v>18</v>
      </c>
      <c r="B3" s="10">
        <v>30.0</v>
      </c>
    </row>
    <row r="4">
      <c r="A4" s="8" t="s">
        <v>19</v>
      </c>
      <c r="B4" s="10">
        <v>1400.0</v>
      </c>
    </row>
    <row r="5">
      <c r="A5" s="8" t="s">
        <v>20</v>
      </c>
      <c r="B5" s="2">
        <v>40.0</v>
      </c>
    </row>
    <row r="6">
      <c r="A6" s="8" t="s">
        <v>21</v>
      </c>
      <c r="B6" s="10">
        <v>70000.0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3" width="13.0"/>
    <col customWidth="1" min="4" max="4" width="31.0"/>
    <col customWidth="1" min="5" max="5" width="14.0"/>
    <col customWidth="1" min="6" max="6" width="13.0"/>
    <col customWidth="1" min="7" max="7" width="31.0"/>
    <col customWidth="1" min="8" max="8" width="32.0"/>
    <col customWidth="1" min="9" max="9" width="34.0"/>
    <col customWidth="1" min="10" max="11" width="20.0"/>
    <col customWidth="1" min="12" max="12" width="15.0"/>
    <col customWidth="1" min="13" max="13" width="18.0"/>
    <col customWidth="1" min="14" max="14" width="16.0"/>
    <col customWidth="1" min="15" max="15" width="20.0"/>
    <col customWidth="1" min="16" max="16" width="23.0"/>
    <col customWidth="1" min="17" max="17" width="21.0"/>
  </cols>
  <sheetData>
    <row r="1">
      <c r="A1" s="4" t="s">
        <v>2</v>
      </c>
      <c r="B1" s="4" t="s">
        <v>3</v>
      </c>
      <c r="C1" s="4" t="s">
        <v>4</v>
      </c>
      <c r="D1" s="4" t="s">
        <v>22</v>
      </c>
      <c r="E1" s="4" t="s">
        <v>23</v>
      </c>
      <c r="F1" s="4" t="s">
        <v>5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22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32</v>
      </c>
      <c r="Q1" s="4" t="s">
        <v>33</v>
      </c>
    </row>
    <row r="2">
      <c r="A2" s="2" t="s">
        <v>9</v>
      </c>
      <c r="B2" s="2">
        <v>24000.0</v>
      </c>
      <c r="C2" s="2">
        <v>2400.0</v>
      </c>
      <c r="D2" s="2" t="str">
        <f>ROUNDUP(C2/Premissas!$B$5,0)</f>
        <v>60</v>
      </c>
      <c r="E2" s="2" t="s">
        <v>34</v>
      </c>
      <c r="F2" s="11">
        <v>0.42</v>
      </c>
      <c r="G2" s="2">
        <v>1400.0</v>
      </c>
      <c r="H2" s="2">
        <v>2000.0</v>
      </c>
      <c r="I2" s="10" t="str">
        <f>B2*Premissas!$B$2*Premissas!$B$3</f>
        <v>R$ 36,000,000</v>
      </c>
      <c r="J2" s="10" t="str">
        <f>C2*Premissas!$B$4</f>
        <v>R$ 3,360,000</v>
      </c>
      <c r="K2" s="10" t="str">
        <f>D2*Premissas!$B$6</f>
        <v>R$ 4,200,000</v>
      </c>
      <c r="L2" s="10" t="str">
        <f t="shared" ref="L2:L5" si="1">C2*G2</f>
        <v>R$ 3,360,000</v>
      </c>
      <c r="M2" s="10" t="str">
        <f t="shared" ref="M2:M5" si="2">J2+K2+L2</f>
        <v>R$ 10,920,000</v>
      </c>
      <c r="N2" s="10" t="str">
        <f t="shared" ref="N2:N5" si="3">I2-M2</f>
        <v>R$ 25,080,000</v>
      </c>
      <c r="O2" s="10" t="str">
        <f t="shared" ref="O2:O5" si="4">C2*H2</f>
        <v>R$ 4,800,000</v>
      </c>
      <c r="P2" s="10" t="str">
        <f t="shared" ref="P2:P5" si="5">J2+O2</f>
        <v>R$ 8,160,000</v>
      </c>
      <c r="Q2" s="10" t="str">
        <f t="shared" ref="Q2:Q5" si="6">I2-P2</f>
        <v>R$ 27,840,000</v>
      </c>
    </row>
    <row r="3">
      <c r="A3" s="2" t="s">
        <v>10</v>
      </c>
      <c r="B3" s="2">
        <v>18000.0</v>
      </c>
      <c r="C3" s="2">
        <v>1000.0</v>
      </c>
      <c r="D3" s="2" t="str">
        <f>ROUNDUP(C3/Premissas!$B$5,0)</f>
        <v>25</v>
      </c>
      <c r="E3" s="2" t="s">
        <v>35</v>
      </c>
      <c r="F3" s="11">
        <v>0.54</v>
      </c>
      <c r="G3" s="2">
        <v>700.0</v>
      </c>
      <c r="H3" s="2">
        <v>1100.0</v>
      </c>
      <c r="I3" s="10" t="str">
        <f>B3*Premissas!$B$2*Premissas!$B$3</f>
        <v>R$ 27,000,000</v>
      </c>
      <c r="J3" s="10" t="str">
        <f>C3*Premissas!$B$4</f>
        <v>R$ 1,400,000</v>
      </c>
      <c r="K3" s="10" t="str">
        <f>D3*Premissas!$B$6</f>
        <v>R$ 1,750,000</v>
      </c>
      <c r="L3" s="10" t="str">
        <f t="shared" si="1"/>
        <v>R$ 700,000</v>
      </c>
      <c r="M3" s="10" t="str">
        <f t="shared" si="2"/>
        <v>R$ 3,850,000</v>
      </c>
      <c r="N3" s="10" t="str">
        <f t="shared" si="3"/>
        <v>R$ 23,150,000</v>
      </c>
      <c r="O3" s="10" t="str">
        <f t="shared" si="4"/>
        <v>R$ 1,100,000</v>
      </c>
      <c r="P3" s="10" t="str">
        <f t="shared" si="5"/>
        <v>R$ 2,500,000</v>
      </c>
      <c r="Q3" s="10" t="str">
        <f t="shared" si="6"/>
        <v>R$ 24,500,000</v>
      </c>
    </row>
    <row r="4">
      <c r="A4" s="2" t="s">
        <v>11</v>
      </c>
      <c r="B4" s="2">
        <v>12000.0</v>
      </c>
      <c r="C4" s="2">
        <v>900.0</v>
      </c>
      <c r="D4" s="2" t="str">
        <f>ROUNDUP(C4/Premissas!$B$5,0)</f>
        <v>23</v>
      </c>
      <c r="E4" s="2" t="s">
        <v>34</v>
      </c>
      <c r="F4" s="11">
        <v>0.31</v>
      </c>
      <c r="G4" s="2">
        <v>1400.0</v>
      </c>
      <c r="H4" s="2">
        <v>2000.0</v>
      </c>
      <c r="I4" s="10" t="str">
        <f>B4*Premissas!$B$2*Premissas!$B$3</f>
        <v>R$ 18,000,000</v>
      </c>
      <c r="J4" s="10" t="str">
        <f>C4*Premissas!$B$4</f>
        <v>R$ 1,260,000</v>
      </c>
      <c r="K4" s="10" t="str">
        <f>D4*Premissas!$B$6</f>
        <v>R$ 1,610,000</v>
      </c>
      <c r="L4" s="10" t="str">
        <f t="shared" si="1"/>
        <v>R$ 1,260,000</v>
      </c>
      <c r="M4" s="10" t="str">
        <f t="shared" si="2"/>
        <v>R$ 4,130,000</v>
      </c>
      <c r="N4" s="10" t="str">
        <f t="shared" si="3"/>
        <v>R$ 13,870,000</v>
      </c>
      <c r="O4" s="10" t="str">
        <f t="shared" si="4"/>
        <v>R$ 1,800,000</v>
      </c>
      <c r="P4" s="10" t="str">
        <f t="shared" si="5"/>
        <v>R$ 3,060,000</v>
      </c>
      <c r="Q4" s="10" t="str">
        <f t="shared" si="6"/>
        <v>R$ 14,940,000</v>
      </c>
    </row>
    <row r="5">
      <c r="A5" s="2" t="s">
        <v>12</v>
      </c>
      <c r="B5" s="2">
        <v>20000.0</v>
      </c>
      <c r="C5" s="2">
        <v>1800.0</v>
      </c>
      <c r="D5" s="2" t="str">
        <f>ROUNDUP(C5/Premissas!$B$5,0)</f>
        <v>45</v>
      </c>
      <c r="E5" s="2" t="s">
        <v>36</v>
      </c>
      <c r="F5" s="11">
        <v>0.33</v>
      </c>
      <c r="G5" s="2">
        <v>3200.0</v>
      </c>
      <c r="H5" s="2">
        <v>4600.0</v>
      </c>
      <c r="I5" s="10" t="str">
        <f>B5*Premissas!$B$2*Premissas!$B$3</f>
        <v>R$ 30,000,000</v>
      </c>
      <c r="J5" s="10" t="str">
        <f>C5*Premissas!$B$4</f>
        <v>R$ 2,520,000</v>
      </c>
      <c r="K5" s="10" t="str">
        <f>D5*Premissas!$B$6</f>
        <v>R$ 3,150,000</v>
      </c>
      <c r="L5" s="10" t="str">
        <f t="shared" si="1"/>
        <v>R$ 5,760,000</v>
      </c>
      <c r="M5" s="10" t="str">
        <f t="shared" si="2"/>
        <v>R$ 11,430,000</v>
      </c>
      <c r="N5" s="10" t="str">
        <f t="shared" si="3"/>
        <v>R$ 18,570,000</v>
      </c>
      <c r="O5" s="10" t="str">
        <f t="shared" si="4"/>
        <v>R$ 8,280,000</v>
      </c>
      <c r="P5" s="10" t="str">
        <f t="shared" si="5"/>
        <v>R$ 10,800,000</v>
      </c>
      <c r="Q5" s="10" t="str">
        <f t="shared" si="6"/>
        <v>R$ 19,200,000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3" width="13.0"/>
    <col customWidth="1" min="4" max="4" width="29.0"/>
    <col customWidth="1" min="5" max="5" width="13.0"/>
    <col customWidth="1" min="6" max="11" width="8.71"/>
  </cols>
  <sheetData>
    <row r="1">
      <c r="A1" s="4" t="s">
        <v>2</v>
      </c>
      <c r="B1" s="4" t="s">
        <v>4</v>
      </c>
      <c r="C1" s="4" t="s">
        <v>5</v>
      </c>
      <c r="D1" s="4" t="s">
        <v>37</v>
      </c>
      <c r="E1" s="4" t="s">
        <v>3</v>
      </c>
    </row>
    <row r="2">
      <c r="A2" s="2" t="s">
        <v>9</v>
      </c>
      <c r="B2" s="2">
        <v>2400.0</v>
      </c>
      <c r="C2" s="11">
        <v>0.42</v>
      </c>
      <c r="D2" s="2" t="str">
        <f t="shared" ref="D2:D5" si="1">B2*C2</f>
        <v>1008</v>
      </c>
      <c r="E2" s="2">
        <v>24000.0</v>
      </c>
    </row>
    <row r="3">
      <c r="A3" s="2" t="s">
        <v>10</v>
      </c>
      <c r="B3" s="2">
        <v>1000.0</v>
      </c>
      <c r="C3" s="11">
        <v>0.54</v>
      </c>
      <c r="D3" s="2" t="str">
        <f t="shared" si="1"/>
        <v>540</v>
      </c>
      <c r="E3" s="2">
        <v>18000.0</v>
      </c>
    </row>
    <row r="4">
      <c r="A4" s="2" t="s">
        <v>11</v>
      </c>
      <c r="B4" s="2">
        <v>900.0</v>
      </c>
      <c r="C4" s="11">
        <v>0.31</v>
      </c>
      <c r="D4" s="2" t="str">
        <f t="shared" si="1"/>
        <v>279</v>
      </c>
      <c r="E4" s="2">
        <v>12000.0</v>
      </c>
    </row>
    <row r="5">
      <c r="A5" s="2" t="s">
        <v>12</v>
      </c>
      <c r="B5" s="2">
        <v>1800.0</v>
      </c>
      <c r="C5" s="11">
        <v>0.33</v>
      </c>
      <c r="D5" s="2" t="str">
        <f t="shared" si="1"/>
        <v>594</v>
      </c>
      <c r="E5" s="2">
        <v>20000.0</v>
      </c>
    </row>
    <row r="6">
      <c r="A6" s="2"/>
      <c r="B6" s="2"/>
      <c r="C6" s="2"/>
      <c r="D6" s="2"/>
      <c r="E6" s="2"/>
    </row>
    <row r="7">
      <c r="A7" s="2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7:E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5" width="13.0"/>
    <col customWidth="1" min="6" max="11" width="8.71"/>
  </cols>
  <sheetData>
    <row r="1">
      <c r="A1" s="9" t="s">
        <v>39</v>
      </c>
      <c r="B1" s="2"/>
      <c r="C1" s="2"/>
      <c r="D1" s="2"/>
      <c r="E1" s="2"/>
    </row>
    <row r="2">
      <c r="A2" s="2"/>
      <c r="B2" s="2"/>
      <c r="C2" s="2"/>
      <c r="D2" s="2"/>
      <c r="E2" s="2"/>
    </row>
    <row r="3">
      <c r="A3" s="2" t="s">
        <v>40</v>
      </c>
    </row>
    <row r="4">
      <c r="A4" s="2" t="s">
        <v>41</v>
      </c>
    </row>
    <row r="5">
      <c r="A5" s="2" t="s">
        <v>42</v>
      </c>
    </row>
    <row r="6">
      <c r="A6" s="2" t="s">
        <v>43</v>
      </c>
    </row>
    <row r="7">
      <c r="A7" s="2" t="s">
        <v>44</v>
      </c>
    </row>
    <row r="8">
      <c r="A8" s="2" t="s">
        <v>45</v>
      </c>
    </row>
    <row r="9">
      <c r="A9" s="2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A4:E4"/>
    <mergeCell ref="A7:E7"/>
    <mergeCell ref="A5:E5"/>
    <mergeCell ref="A8:E8"/>
    <mergeCell ref="A6:E6"/>
    <mergeCell ref="A9:E9"/>
    <mergeCell ref="A3:E3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2026-09-18T01:03:24Z</dcterms:created>
  <dc:creator>openpyxl</dc:creator>
  <dcterms:modified xsi:type="dcterms:W3CDTF">2026-09-18T01:03:25Z</dcterms:modified>
</cp:coreProperties>
</file>