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mo usar" sheetId="1" state="visible" r:id="rId1"/>
    <sheet name="Base avaliação" sheetId="2" state="visible" r:id="rId2"/>
    <sheet name="Avaliação" sheetId="3" state="visible" r:id="rId3"/>
    <sheet name="Consolidado" sheetId="4" state="visible" r:id="rId4"/>
    <sheet name="Entrevista" sheetId="5" state="visible" r:id="rId5"/>
    <sheet name="Gabarito" sheetId="6" state="visible" r:id="rId6"/>
    <sheet name="Comentários" sheetId="7" state="visible" r:id="rId7"/>
  </sheets>
  <definedNames>
    <definedName name="_xlnm._FilterDatabase" localSheetId="2" hidden="1">'Avaliação'!$A$5:$AI$206</definedName>
  </definedNames>
  <calcPr calcId="124519" fullCalcOnLoad="1"/>
</workbook>
</file>

<file path=xl/styles.xml><?xml version="1.0" encoding="utf-8"?>
<styleSheet xmlns="http://schemas.openxmlformats.org/spreadsheetml/2006/main">
  <numFmts count="1">
    <numFmt numFmtId="164" formatCode="0.0"/>
  </numFmts>
  <fonts count="28">
    <font>
      <name val="Calibri"/>
      <color theme="1"/>
      <sz val="11"/>
      <scheme val="minor"/>
    </font>
    <font>
      <name val="Calibri"/>
      <b val="1"/>
      <color rgb="FFFFFFFF"/>
      <sz val="14"/>
    </font>
    <font/>
    <font>
      <name val="Calibri"/>
      <b val="1"/>
      <color rgb="FFFFFFFF"/>
      <sz val="11"/>
    </font>
    <font>
      <name val="Calibri"/>
      <b val="1"/>
      <color rgb="FFC1272D"/>
      <sz val="10"/>
    </font>
    <font>
      <name val="Calibri"/>
      <color theme="1"/>
      <sz val="10"/>
    </font>
    <font>
      <name val="Calibri"/>
      <b val="1"/>
      <color rgb="FFFFFFFF"/>
      <sz val="12"/>
    </font>
    <font>
      <name val="Calibri"/>
      <b val="1"/>
      <color rgb="FFFFFFFF"/>
      <sz val="13"/>
    </font>
    <font>
      <name val="Calibri"/>
      <b val="1"/>
      <color rgb="FFFFFFFF"/>
      <scheme val="minor"/>
    </font>
    <font>
      <name val="Calibri"/>
      <color theme="1"/>
      <scheme val="minor"/>
    </font>
    <font>
      <name val="Calibri"/>
      <b val="1"/>
      <color rgb="FFC1272D"/>
      <sz val="11"/>
    </font>
    <font>
      <name val="Calibri"/>
      <b val="1"/>
      <color rgb="FF000000"/>
      <sz val="10"/>
    </font>
    <font>
      <name val="Calibri"/>
      <b val="1"/>
      <color theme="1"/>
      <sz val="10"/>
    </font>
    <font>
      <name val="Calibri"/>
      <i val="1"/>
      <color rgb="FF7A8496"/>
      <sz val="9"/>
    </font>
    <font>
      <name val="Calibri"/>
      <b val="1"/>
      <color rgb="FF38761D"/>
      <sz val="11"/>
    </font>
    <font>
      <name val="Calibri"/>
      <color theme="1"/>
      <sz val="11"/>
    </font>
    <font>
      <name val="Calibri"/>
      <b val="1"/>
      <color rgb="FFFFFFFF"/>
      <sz val="9"/>
    </font>
    <font>
      <name val="Calibri"/>
      <b val="1"/>
      <color rgb="FF7F6000"/>
      <sz val="11"/>
    </font>
    <font>
      <name val="Calibri"/>
      <b val="1"/>
      <color rgb="FFB45F06"/>
      <sz val="11"/>
    </font>
    <font>
      <name val="Calibri"/>
      <b val="1"/>
      <i val="1"/>
      <color rgb="FFC1272D"/>
      <sz val="9"/>
    </font>
    <font>
      <name val="Calibri"/>
      <b val="1"/>
      <color rgb="FF000000"/>
      <sz val="9"/>
    </font>
    <font>
      <name val="Calibri"/>
      <b val="1"/>
      <i val="1"/>
      <color rgb="FF6B7280"/>
      <sz val="11"/>
    </font>
    <font>
      <name val="Calibri"/>
      <color rgb="FF6B7280"/>
      <sz val="9"/>
    </font>
    <font>
      <name val="Calibri"/>
      <color rgb="FF595959"/>
      <sz val="9"/>
    </font>
    <font>
      <name val="Calibri"/>
      <b val="1"/>
      <color theme="1"/>
      <sz val="11"/>
    </font>
    <font>
      <name val="Calibri"/>
      <i val="1"/>
      <color rgb="FF595959"/>
      <sz val="9"/>
    </font>
    <font>
      <name val="Consolas"/>
      <color theme="1"/>
      <sz val="10"/>
    </font>
    <font>
      <name val="Calibri"/>
      <b val="1"/>
      <color rgb="FFC1272D"/>
      <sz val="9"/>
    </font>
  </fonts>
  <fills count="11">
    <fill>
      <patternFill/>
    </fill>
    <fill>
      <patternFill patternType="lightGray"/>
    </fill>
    <fill>
      <patternFill patternType="solid">
        <fgColor rgb="FF000000"/>
        <bgColor rgb="FF000000"/>
      </patternFill>
    </fill>
    <fill>
      <patternFill patternType="solid">
        <fgColor rgb="FFC1272D"/>
        <bgColor rgb="FFC1272D"/>
      </patternFill>
    </fill>
    <fill>
      <patternFill patternType="solid">
        <fgColor rgb="FFFF0000"/>
        <bgColor rgb="FFFF0000"/>
      </patternFill>
    </fill>
    <fill>
      <patternFill patternType="solid">
        <fgColor rgb="FFF4CCCC"/>
        <bgColor rgb="FFF4CCCC"/>
      </patternFill>
    </fill>
    <fill>
      <patternFill patternType="solid">
        <fgColor rgb="FFEFEFEF"/>
        <bgColor rgb="FFEFEFEF"/>
      </patternFill>
    </fill>
    <fill>
      <patternFill patternType="solid">
        <fgColor rgb="FFFFF2CC"/>
        <bgColor rgb="FFFFF2CC"/>
      </patternFill>
    </fill>
    <fill>
      <patternFill patternType="solid">
        <fgColor rgb="FF00FF00"/>
        <bgColor rgb="FF00FF00"/>
      </patternFill>
    </fill>
    <fill>
      <patternFill patternType="solid">
        <fgColor rgb="FFB7B7B7"/>
        <bgColor rgb="FFB7B7B7"/>
      </patternFill>
    </fill>
    <fill>
      <patternFill patternType="solid">
        <fgColor rgb="FF999999"/>
        <bgColor rgb="FF999999"/>
      </patternFill>
    </fill>
  </fills>
  <borders count="6">
    <border/>
    <border>
      <left/>
      <top/>
      <bottom/>
    </border>
    <border>
      <right/>
      <top/>
      <bottom/>
    </border>
    <border>
      <top/>
      <bottom/>
    </border>
    <border>
      <left style="thin">
        <color rgb="FFD9D9D9"/>
      </left>
      <right style="thin">
        <color rgb="FFD9D9D9"/>
      </right>
      <top style="thin">
        <color rgb="FFD9D9D9"/>
      </top>
      <bottom style="thin">
        <color rgb="FFD9D9D9"/>
      </bottom>
    </border>
    <border>
      <left/>
      <right/>
      <top/>
      <bottom/>
    </border>
  </borders>
  <cellStyleXfs count="1">
    <xf numFmtId="0" fontId="0" fillId="0" borderId="0"/>
  </cellStyleXfs>
  <cellXfs count="74">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0" borderId="2" pivotButton="0" quotePrefix="0" xfId="0"/>
    <xf numFmtId="0" fontId="3" fillId="3" borderId="1" applyAlignment="1" pivotButton="0" quotePrefix="0" xfId="0">
      <alignment horizontal="left" vertical="center" wrapText="1"/>
    </xf>
    <xf numFmtId="0" fontId="4" fillId="0" borderId="0" applyAlignment="1" pivotButton="0" quotePrefix="0" xfId="0">
      <alignment vertical="top" wrapText="1"/>
    </xf>
    <xf numFmtId="0" fontId="5" fillId="0" borderId="0" applyAlignment="1" pivotButton="0" quotePrefix="0" xfId="0">
      <alignment vertical="top" wrapText="1"/>
    </xf>
    <xf numFmtId="9" fontId="5" fillId="0" borderId="0" applyAlignment="1" pivotButton="0" quotePrefix="0" xfId="0">
      <alignment horizontal="left" vertical="top" wrapText="1"/>
    </xf>
    <xf numFmtId="0" fontId="6" fillId="2" borderId="1" applyAlignment="1" pivotButton="0" quotePrefix="0" xfId="0">
      <alignment horizontal="left" vertical="center" wrapText="1"/>
    </xf>
    <xf numFmtId="0" fontId="7" fillId="2" borderId="1" applyAlignment="1" pivotButton="0" quotePrefix="0" xfId="0">
      <alignment horizontal="left" vertical="center" wrapText="1"/>
    </xf>
    <xf numFmtId="0" fontId="2" fillId="0" borderId="3" pivotButton="0" quotePrefix="0" xfId="0"/>
    <xf numFmtId="0" fontId="6" fillId="3" borderId="1" applyAlignment="1" pivotButton="0" quotePrefix="0" xfId="0">
      <alignment horizontal="left" vertical="center" wrapText="1"/>
    </xf>
    <xf numFmtId="0" fontId="8" fillId="4" borderId="0" pivotButton="0" quotePrefix="0" xfId="0"/>
    <xf numFmtId="0" fontId="9" fillId="4" borderId="0" pivotButton="0" quotePrefix="0" xfId="0"/>
    <xf numFmtId="0" fontId="10" fillId="5" borderId="4" applyAlignment="1" pivotButton="0" quotePrefix="0" xfId="0">
      <alignment vertical="center" wrapText="1"/>
    </xf>
    <xf numFmtId="0" fontId="11" fillId="6" borderId="1" applyAlignment="1" pivotButton="0" quotePrefix="0" xfId="0">
      <alignment horizontal="center" vertical="center"/>
    </xf>
    <xf numFmtId="0" fontId="4" fillId="5" borderId="4" applyAlignment="1" pivotButton="0" quotePrefix="0" xfId="0">
      <alignment vertical="center" wrapText="1"/>
    </xf>
    <xf numFmtId="0" fontId="12" fillId="5" borderId="4" applyAlignment="1" pivotButton="0" quotePrefix="0" xfId="0">
      <alignment vertical="center" wrapText="1"/>
    </xf>
    <xf numFmtId="0" fontId="13" fillId="5" borderId="4" applyAlignment="1" pivotButton="0" quotePrefix="0" xfId="0">
      <alignment vertical="center" wrapText="1"/>
    </xf>
    <xf numFmtId="0" fontId="14" fillId="0" borderId="4" applyAlignment="1" pivotButton="0" quotePrefix="0" xfId="0">
      <alignment horizontal="center" vertical="center"/>
    </xf>
    <xf numFmtId="0" fontId="5" fillId="0" borderId="4" applyAlignment="1" pivotButton="0" quotePrefix="0" xfId="0">
      <alignment vertical="center" wrapText="1"/>
    </xf>
    <xf numFmtId="0" fontId="15" fillId="0" borderId="4" pivotButton="0" quotePrefix="0" xfId="0"/>
    <xf numFmtId="0" fontId="16" fillId="3" borderId="5" applyAlignment="1" pivotButton="0" quotePrefix="0" xfId="0">
      <alignment horizontal="left" vertical="center" wrapText="1"/>
    </xf>
    <xf numFmtId="0" fontId="17" fillId="0" borderId="4" applyAlignment="1" pivotButton="0" quotePrefix="0" xfId="0">
      <alignment horizontal="center" vertical="center"/>
    </xf>
    <xf numFmtId="0" fontId="18" fillId="0" borderId="4" applyAlignment="1" pivotButton="0" quotePrefix="0" xfId="0">
      <alignment horizontal="center" vertical="center"/>
    </xf>
    <xf numFmtId="0" fontId="16" fillId="3" borderId="5" applyAlignment="1" pivotButton="0" quotePrefix="0" xfId="0">
      <alignment horizontal="left" vertical="center" wrapText="1"/>
    </xf>
    <xf numFmtId="0" fontId="10" fillId="0" borderId="4" applyAlignment="1" pivotButton="0" quotePrefix="0" xfId="0">
      <alignment horizontal="center" vertical="center"/>
    </xf>
    <xf numFmtId="0" fontId="16" fillId="3" borderId="5" applyAlignment="1" pivotButton="0" quotePrefix="0" xfId="0">
      <alignment horizontal="center" vertical="center"/>
    </xf>
    <xf numFmtId="0" fontId="19" fillId="6" borderId="5" applyAlignment="1" pivotButton="0" quotePrefix="0" xfId="0">
      <alignment vertical="center" wrapText="1"/>
    </xf>
    <xf numFmtId="0" fontId="20" fillId="5" borderId="5" applyAlignment="1" pivotButton="0" quotePrefix="0" xfId="0">
      <alignment horizontal="left" vertical="center" wrapText="1"/>
    </xf>
    <xf numFmtId="0" fontId="9" fillId="0" borderId="0" pivotButton="0" quotePrefix="0" xfId="0"/>
    <xf numFmtId="0" fontId="9" fillId="0" borderId="0" pivotButton="0" quotePrefix="0" xfId="0"/>
    <xf numFmtId="0" fontId="21" fillId="0" borderId="0" pivotButton="0" quotePrefix="0" xfId="0"/>
    <xf numFmtId="0" fontId="15" fillId="0" borderId="0" applyAlignment="1" pivotButton="0" quotePrefix="0" xfId="0">
      <alignment horizontal="center"/>
    </xf>
    <xf numFmtId="2" fontId="10" fillId="0" borderId="0" pivotButton="0" quotePrefix="0" xfId="0"/>
    <xf numFmtId="164" fontId="22" fillId="0" borderId="0" pivotButton="0" quotePrefix="0" xfId="0"/>
    <xf numFmtId="0" fontId="15" fillId="0" borderId="0" applyAlignment="1" pivotButton="0" quotePrefix="0" xfId="0">
      <alignment vertical="center" wrapText="1"/>
    </xf>
    <xf numFmtId="0" fontId="11" fillId="7" borderId="1" applyAlignment="1" pivotButton="0" quotePrefix="0" xfId="0">
      <alignment vertical="center" wrapText="1"/>
    </xf>
    <xf numFmtId="0" fontId="13" fillId="0" borderId="0" applyAlignment="1" pivotButton="0" quotePrefix="0" xfId="0">
      <alignment vertical="center" wrapText="1"/>
    </xf>
    <xf numFmtId="0" fontId="9" fillId="8" borderId="0" pivotButton="0" quotePrefix="0" xfId="0"/>
    <xf numFmtId="2" fontId="10" fillId="0" borderId="0" applyAlignment="1" pivotButton="0" quotePrefix="0" xfId="0">
      <alignment horizontal="center"/>
    </xf>
    <xf numFmtId="14" fontId="15" fillId="0" borderId="0" applyAlignment="1" pivotButton="0" quotePrefix="0" xfId="0">
      <alignment horizontal="center"/>
    </xf>
    <xf numFmtId="0" fontId="15" fillId="0" borderId="0" applyAlignment="1" pivotButton="0" quotePrefix="0" xfId="0">
      <alignment horizontal="center"/>
    </xf>
    <xf numFmtId="0" fontId="9" fillId="4" borderId="0" pivotButton="0" quotePrefix="0" xfId="0"/>
    <xf numFmtId="0" fontId="12" fillId="0" borderId="4" applyAlignment="1" pivotButton="0" quotePrefix="0" xfId="0">
      <alignment vertical="center" wrapText="1"/>
    </xf>
    <xf numFmtId="0" fontId="15" fillId="0" borderId="4" applyAlignment="1" pivotButton="0" quotePrefix="0" xfId="0">
      <alignment vertical="center" wrapText="1"/>
    </xf>
    <xf numFmtId="0" fontId="15" fillId="0" borderId="4" pivotButton="0" quotePrefix="0" xfId="0"/>
    <xf numFmtId="0" fontId="15" fillId="0" borderId="0" applyAlignment="1" pivotButton="0" quotePrefix="0" xfId="0">
      <alignment vertical="top" wrapText="1"/>
    </xf>
    <xf numFmtId="0" fontId="9" fillId="9" borderId="0" pivotButton="0" quotePrefix="0" xfId="0"/>
    <xf numFmtId="0" fontId="9" fillId="10" borderId="0" pivotButton="0" quotePrefix="0" xfId="0"/>
    <xf numFmtId="0" fontId="15" fillId="0" borderId="0" applyAlignment="1" pivotButton="0" quotePrefix="0" xfId="0">
      <alignment vertical="bottom"/>
    </xf>
    <xf numFmtId="0" fontId="15" fillId="0" borderId="0" applyAlignment="1" pivotButton="0" quotePrefix="0" xfId="0">
      <alignment vertical="bottom"/>
    </xf>
    <xf numFmtId="0" fontId="15" fillId="0" borderId="4" applyAlignment="1" pivotButton="0" quotePrefix="0" xfId="0">
      <alignment horizontal="center" vertical="center"/>
    </xf>
    <xf numFmtId="0" fontId="4" fillId="0" borderId="4" applyAlignment="1" pivotButton="0" quotePrefix="0" xfId="0">
      <alignment horizontal="center" vertical="center"/>
    </xf>
    <xf numFmtId="0" fontId="23" fillId="0" borderId="4" applyAlignment="1" pivotButton="0" quotePrefix="0" xfId="0">
      <alignment vertical="center" wrapText="1"/>
    </xf>
    <xf numFmtId="0" fontId="24" fillId="0" borderId="4" applyAlignment="1" pivotButton="0" quotePrefix="0" xfId="0">
      <alignment vertical="center" wrapText="1"/>
    </xf>
    <xf numFmtId="0" fontId="25" fillId="0" borderId="4" applyAlignment="1" pivotButton="0" quotePrefix="0" xfId="0">
      <alignment vertical="center" wrapText="1"/>
    </xf>
    <xf numFmtId="0" fontId="5" fillId="0" borderId="0" applyAlignment="1" pivotButton="0" quotePrefix="0" xfId="0">
      <alignment vertical="center" wrapText="1"/>
    </xf>
    <xf numFmtId="0" fontId="26" fillId="0" borderId="0" applyAlignment="1" pivotButton="0" quotePrefix="0" xfId="0">
      <alignment vertical="center" wrapText="1"/>
    </xf>
    <xf numFmtId="0" fontId="15" fillId="0" borderId="0" applyAlignment="1" pivotButton="0" quotePrefix="0" xfId="0">
      <alignment vertical="top" wrapText="1"/>
    </xf>
    <xf numFmtId="0" fontId="27" fillId="0" borderId="0" applyAlignment="1" pivotButton="0" quotePrefix="0" xfId="0">
      <alignment vertical="center" wrapText="1"/>
    </xf>
    <xf numFmtId="0" fontId="0" fillId="0" borderId="0" pivotButton="0" quotePrefix="0" xfId="0"/>
    <xf numFmtId="0" fontId="1" fillId="2" borderId="5" applyAlignment="1" pivotButton="0" quotePrefix="0" xfId="0">
      <alignment horizontal="left" vertical="center" wrapText="1"/>
    </xf>
    <xf numFmtId="0" fontId="3" fillId="3" borderId="5" applyAlignment="1" pivotButton="0" quotePrefix="0" xfId="0">
      <alignment horizontal="left" vertical="center" wrapText="1"/>
    </xf>
    <xf numFmtId="0" fontId="7" fillId="2" borderId="5" applyAlignment="1" pivotButton="0" quotePrefix="0" xfId="0">
      <alignment horizontal="left" vertical="center" wrapText="1"/>
    </xf>
    <xf numFmtId="0" fontId="6" fillId="3" borderId="5" applyAlignment="1" pivotButton="0" quotePrefix="0" xfId="0">
      <alignment horizontal="left" vertical="center" wrapText="1"/>
    </xf>
    <xf numFmtId="0" fontId="11" fillId="7" borderId="5" applyAlignment="1" pivotButton="0" quotePrefix="0" xfId="0">
      <alignment vertical="center" wrapText="1"/>
    </xf>
    <xf numFmtId="0" fontId="6" fillId="2" borderId="5" applyAlignment="1" pivotButton="0" quotePrefix="0" xfId="0">
      <alignment horizontal="left" vertical="center" wrapText="1"/>
    </xf>
    <xf numFmtId="0" fontId="11" fillId="6" borderId="5" applyAlignment="1" pivotButton="0" quotePrefix="0" xfId="0">
      <alignment horizontal="center" vertical="center"/>
    </xf>
    <xf numFmtId="0" fontId="0" fillId="0" borderId="0" applyAlignment="1" pivotButton="0" quotePrefix="0" xfId="0">
      <alignment vertical="top" wrapText="1"/>
    </xf>
    <xf numFmtId="0" fontId="23" fillId="0" borderId="4" applyAlignment="1" pivotButton="0" quotePrefix="0" xfId="0">
      <alignment vertical="top" wrapText="1"/>
    </xf>
    <xf numFmtId="0" fontId="15" fillId="0"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15" fillId="0" borderId="0" applyAlignment="1" pivotButton="0" quotePrefix="0" xfId="0">
      <alignment vertical="top" wrapText="1"/>
    </xf>
  </cellXfs>
  <cellStyles count="1">
    <cellStyle name="Normal" xfId="0" builtinId="0"/>
  </cellStyles>
  <dxfs count="4">
    <dxf>
      <font/>
      <fill>
        <patternFill patternType="solid">
          <fgColor rgb="FFB6D7A8"/>
          <bgColor rgb="FFB6D7A8"/>
        </patternFill>
      </fill>
      <border/>
    </dxf>
    <dxf>
      <font/>
      <fill>
        <patternFill patternType="solid">
          <fgColor rgb="FFF4CCCC"/>
          <bgColor rgb="FFF4CCCC"/>
        </patternFill>
      </fill>
      <border/>
    </dxf>
    <dxf>
      <font>
        <b val="1"/>
        <color rgb="FFC1272D"/>
      </font>
      <fill>
        <patternFill patternType="solid">
          <fgColor rgb="FFF4CCCC"/>
          <bgColor rgb="FFF4CCCC"/>
        </patternFill>
      </fill>
      <border/>
    </dxf>
    <dxf>
      <font>
        <b val="1"/>
        <color rgb="FFB45F06"/>
      </font>
      <fill>
        <patternFill patternType="solid">
          <fgColor rgb="FFFFF2CC"/>
          <bgColor rgb="FFFFF2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K5" authorId="0" shapeId="0">
      <text>
        <t>======
ID#AAACG5PojOk
CCU    (2026-09-12 00:58:54)
C1  (10 pts)
A comunicação está clara e direto ao ponto.
3 = A recomendação está escrita em UMA frase, nos 2 primeiros slides, com o número que a sustenta.
2 = A recomendação é explícita e clara, mas só aparece depois da metade da entrega.
1 = Dá pra inferir a recomendação, mas ela não está escrita em lugar nenhum.
0 = Não há recomendação, ou há duas incompatíveis entre si.
TESTE: Aponte o slide e a frase. Não conseguiu apontar? Não é 3.</t>
      </text>
    </comment>
    <comment ref="L5" authorId="0" shapeId="0">
      <text>
        <t>======
ID#AAACG5PojOY
CCU    (2026-09-12 00:58:54)
C2  (8 pts)
O desafio apresenta um formato que poderia ser apresentado a um cliente real.
3 = Documento fechado (capa, estrutura, apêndice), sem rascunho visível. Um cliente receberia como está.
2 = Estruturado, mas com pontas soltas: conta solta, slide inacabado, formatação inconsistente.
1 = Responde as perguntas, mas em formato de lista ou rascunho.
0 = Foto de papel, texto corrido no e-mail, ou arquivo sem estrutura nenhuma.
TESTE: Você mandaria esse arquivo, sem editar nada, pro cliente do seu projeto?</t>
      </text>
    </comment>
    <comment ref="M5" authorId="0" shapeId="0">
      <text>
        <t>======
ID#AAACG5PojO0
CCU    (2026-09-12 00:58:54)
C3  (7 pts)
A apresentação apresenta um bom storytelling e envolve o leitor.
3 = Lendo só os títulos, na ordem, a história fecha sozinha: contexto -&gt; problema -&gt; análise -&gt; recomendação -&gt; riscos.
2 = A sequência é lógica, com 1 ou 2 saltos que obrigam o leitor a voltar.
1 = Os blocos existem, mas soltos — um não puxa o outro.
0 = Ordem aleatória, ou é só uma lista de respostas às perguntas.
TESTE: Leia SÓ os títulos em voz alta. Se a recomendação não aparecer, é no máximo 1.</t>
      </text>
    </comment>
    <comment ref="N5" authorId="0" shapeId="0">
      <text>
        <t>======
ID#AAACG5PojOc
CCU    (2026-09-12 00:58:54)
C4  (5 pts)
O trabalho está visualmente bonito.
3 = Padrão único de fonte, cor e alinhamento em toda a entrega. Nenhum slide com parágrafo corrido.
2 = Consistente, com até 2 slides fora do padrão.
1 = Formatação improvisada, mas legível.
0 = Ilegível, desalinhado, ou é texto corrido.
TESTE: Conte os slides fora do padrão. É uma contagem, não uma impressão.</t>
      </text>
    </comment>
    <comment ref="P5" authorId="0" shapeId="0">
      <text>
        <t>======
ID#AAACG5PojOs
CCU    (2026-09-12 00:58:54)
R1  (8 pts)
Sua recomendação leva em consideração ambas as partes qualitativas e quantitativas do case.
3 = A recomendação cita o número que a sustenta E a razão de negócio; as duas partes se apoiam.
2 = Cita as duas, mas uma é decorativa — o número não sustenta de fato a decisão.
1 = Só quantitativa (número sem porquê) ou só qualitativa (opinião sem número).
0 = Não há recomendação, ou ela contraria os próprios números apresentados.
TESTE: Tape o número: a recomendação ainda se sustenta? Tape o argumento: ainda se sustenta?</t>
      </text>
    </comment>
    <comment ref="Q5" authorId="0" shapeId="0">
      <text>
        <t>======
ID#AAACG5PojOw
CCU    (2026-09-12 00:58:54)
R2  (7 pts)
O trabalho apresenta uma discussão rica com diversos pontos de vista sobre a expansão.
3 = Apresenta ao menos 2 caminhos, compara com critério explícito e justifica o que descartou.
2 = Cita alternativas, mas não compara — escolhe sem justificar.
1 = Menciona que existem alternativas, sem desenvolver nenhuma.
0 = Caminho único, sem discussão.
TESTE: Ele descartou alguma coisa por escrito? Se não descartou nada, não discutiu.</t>
      </text>
    </comment>
    <comment ref="R5" authorId="0" shapeId="0">
      <text>
        <t>======
ID#AAACG5PojO4
CCU    (2026-09-12 00:58:54)
R3  (5 pts)
Foi além do pedido e trouxe análises interessantes.
3 = Trouxe algo não pedido que MUDA ou FORTALECE a recomendação.
2 = Trouxe algo não pedido, correto e LIGADO À DECISÃO, mas que não altera a conclusão.
1 = Não trouxe nada além, mas entregou o pedido de forma completa e correta.
0 = O material extra NÃO SE CONECTA à decisão (tangenciou), ou o pedido ficou incompleto.
TESTE: A análise extra responde a uma pergunta que o cliente deveria ter feito? Se não dá pra dizer qual decisão ela informa, é 0 — não 2. Volume não conta: três páginas de análise tangencial valem menos que nenhuma.</t>
      </text>
    </comment>
    <comment ref="S5" authorId="0" shapeId="0">
      <text>
        <t>======
ID#AAACG5PojN8
CCU    (2026-09-12 00:58:54)
R4  (5 pts)
Foi além das interpretações óbvias dos indicadores e agregou valor à análise.
3 = Explica a CAUSA por trás do indicador e o que fazer com ela.
2 = Compara o indicador com algo (outra loja, outro ano, benchmark) e tira conclusão.
1 = Lê o indicador corretamente (ex.: a margem caiu).
0 = Repete o número sem interpretar.
TESTE: Ele respondeu 'por quê', 'comparado a quê', ou só 'quanto'?</t>
      </text>
    </comment>
    <comment ref="U5" authorId="0" shapeId="0">
      <text>
        <t>======
ID#AAACG5PojOM
CCU    (2026-09-12 00:58:54)
A1  (6 pts)
[CONTA CENTRAL 1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 Dois avaliadores têm que chegar no mesmo número.</t>
      </text>
    </comment>
    <comment ref="V5" authorId="0" shapeId="0">
      <text>
        <t>======
ID#AAACG5PojO8
CCU    (2026-09-12 00:58:54)
A2  (6 pts)
[CONTA CENTRAL 2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t>
      </text>
    </comment>
    <comment ref="W5" authorId="0" shapeId="0">
      <text>
        <t>======
ID#AAACG5PojOE
CCU    (2026-09-12 00:58:54)
A3  (4 pts)
[PROJEÇÃO / PLANO — a projeção pedida no case fecha com a meta declarada?]
3 = Os números da projeção chegam às metas do case E batem com o modelo que ele mesmo montou.
2 = Chega a parte das metas, ou chega a todas sem mostrar a ponte entre os anos.
1 = Plano narrativo, sem número.
0 = Não fez.
TESTE: Some os anos da projeção dele. Bate com a meta que ele mesmo escreveu?</t>
      </text>
    </comment>
    <comment ref="X5" authorId="0" shapeId="0">
      <text>
        <t>======
ID#AAACG5PojOI
CCU    (2026-09-12 00:58:54)
A4  (3 pts)
[ALTERNATIVA — propôs caminho alternativo coerente com o case?]
3 = Propõe alternativa com número estimado de impacto.
2 = Propõe alternativa coerente com o case, sem quantificar.
1 = Alternativa genérica — serviria pra qualquer empresa.
0 = Não propôs, ou propõe algo que contraria o case.
TESTE: A alternativa cita algo que só existe NESTE case? Se não, é 1.</t>
      </text>
    </comment>
    <comment ref="Y5" authorId="0" shapeId="0">
      <text>
        <t>======
ID#AAACG5PojOg
CCU    (2026-09-12 00:58:54)
A5  (3 pts)
Analisou riscos e próximos passos de forma lógica e estruturada?
3 = Riscos específicos da recomendação DELE, com mitigação e prazo.
2 = Riscos específicos, sem mitigação.
1 = Riscos genéricos (crise, concorrência, câmbio).
0 = Não fez.
TESTE: O risco listado some se a recomendação mudar? Se não some, é genérico.</t>
      </text>
    </comment>
    <comment ref="Z5" authorId="0" shapeId="0">
      <text>
        <t>======
ID#AAACG5PojOo
CCU    (2026-09-12 00:58:54)
A6  (3 pts)
Identificou a inconsistência plantada no material do case?
3 = Achou, apontou explicitamente e explicou como tratou.
2 = Achou e apontou.
1 = Contornou sem nomear — usou o número certo, mas não disse por quê.
0 = Construiu a análise inteira em cima do dado errado.
TESTE: Este é o item que a IA erra. Vale 3 pts e separa mais que qualquer outro.</t>
      </text>
    </comment>
    <comment ref="AB5" authorId="0" shapeId="0">
      <text>
        <t>======
ID#AAACG5PojOA
CCU    (2026-09-12 00:58:54)
E1  (3 pts)
Enviou planilha com a memória de cálculo.
1 = sim   ·   0 = não
TESTE: Sim = 1, Não = 0. Sem julgamento.</t>
      </text>
    </comment>
    <comment ref="AC5" authorId="0" shapeId="0">
      <text>
        <t>======
ID#AAACG5PojPI
CCU    (2026-09-12 00:58:54)
E2  (2 pts)
Enviou apresentação fechada (PPT ou relatório).
1 = sim   ·   0 = não
TESTE: Sim = 1, Não = 0.</t>
      </text>
    </comment>
    <comment ref="AD5" authorId="0" shapeId="0">
      <text>
        <t>======
ID#AAACG5PojOU
CCU    (2026-09-12 00:58:54)
E3  (2 pts)
Gravou o vídeo da entrega.
1 = sim   ·   0 = não
TESTE: Sim = 1, Não = 0.</t>
      </text>
    </comment>
    <comment ref="AE5" authorId="0" shapeId="0">
      <text>
        <t>======
ID#AAACG5PojPE
CCU    (2026-09-12 00:58:54)
E4  (3 pts)
O trabalho apresenta recursos textuais e visuais (gráficos, tabelas de DRE).
3 = Todo gráfico/tabela é citado no texto E sustenta uma afirmação da análise.
2 = Os recursos são corretos e citados, mas alguns são decorativos (não provam nada).
1 = Há recursos, mas soltos — não citados no texto, ou com erro de leitura (eixo, escala, unidade).
0 = Nenhum gráfico ou tabela.
TESTE: Quantidade não é critério: 3 gráficos que provam algo valem mais que 8 enfeitando. Para cada recurso pergunte: que afirmação ele sustenta?</t>
      </text>
    </comment>
    <comment ref="AF5" authorId="0" shapeId="0">
      <text>
        <t>======
ID#AAACG5PojOQ
CCU    (2026-09-12 00:58:54)
V1  (5 pts)
Clareza e naturalidade na fala.
3 = Fala com estrutura própria, sem ler. Dá pra acompanhar do começo ao fim.
2 = Boa fala, com apoio visível de roteiro.
1 = Lê integralmente, mas é compreensível.
0 = Não dá pra acompanhar, ou não gravou.
TESTE: Não julgue o conteúdo aqui, só a entrega da fala.</t>
      </text>
    </comment>
    <comment ref="AG5" authorId="0" shapeId="0">
      <text>
        <t>======
ID#AAACG5PojPA
CCU    (2026-09-12 00:58:54)
V2  (5 pts)
Apresenta motivo concreto para entrar no CCU.
3 = Cita algo específico do CCU (projeto, área, evento) e conecta com o que quer desenvolver.
2 = Motivo real, mas genérico (quero aprender consultoria).
1 = Motivo circunstancial (tenho tempo livre, tenho carro pra ir aos eventos).
0 = Não respondeu à pergunta.
TESTE: O motivo dele serviria pra qualquer entidade da Unicamp? Então é 1.</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C37"/>
  <sheetViews>
    <sheetView showGridLines="0" workbookViewId="0">
      <selection activeCell="A1" sqref="A1"/>
    </sheetView>
  </sheetViews>
  <sheetFormatPr baseColWidth="8" defaultColWidth="14.43" defaultRowHeight="15" customHeight="1"/>
  <cols>
    <col width="3" customWidth="1" style="60" min="1" max="1"/>
    <col width="26" customWidth="1" style="60" min="2" max="2"/>
    <col width="148" customWidth="1" style="60" min="3" max="3"/>
    <col width="8.710000000000001" customWidth="1" style="60" min="4" max="26"/>
  </cols>
  <sheetData>
    <row r="1" ht="14.25" customHeight="1" s="60"/>
    <row r="2" ht="30" customHeight="1" s="60">
      <c r="B2" s="61" t="inlineStr">
        <is>
          <t>PLANILHA DE AVALIAÇÃO — MODELO QUANTITATIVO</t>
        </is>
      </c>
    </row>
    <row r="3" ht="14.25" customHeight="1" s="60"/>
    <row r="4" ht="21.75" customHeight="1" s="60">
      <c r="B4" s="62" t="inlineStr">
        <is>
          <t>O QUE MUDOU</t>
        </is>
      </c>
    </row>
    <row r="5" ht="39" customHeight="1" s="60">
      <c r="B5" s="4" t="inlineStr">
        <is>
          <t>As perguntas</t>
        </is>
      </c>
      <c r="C5" s="5" t="inlineStr">
        <is>
          <t>São as mesmas da planilha antiga. Nenhuma pergunta nova, exceto A6 (inconsistência plantada), que entra no lugar de 'Resposta dos concorrentes' — item que ficou 89% zerado no PS 2026-1S e nem estava na Base.</t>
        </is>
      </c>
    </row>
    <row r="6" ht="25.5" customHeight="1" s="60">
      <c r="B6" s="4" t="inlineStr">
        <is>
          <t>A escala</t>
        </is>
      </c>
      <c r="C6" s="5" t="inlineStr">
        <is>
          <t>Toda nota agora é 0, 1, 2 ou 3. Acabaram os 0,7 / 1,2 / 2,8. Cada nível tem uma frase que o descreve na aba 'Base avaliação'. Se você não consegue apontar a frase, você não pode dar aquela nota.</t>
        </is>
      </c>
    </row>
    <row r="7" ht="25.5" customHeight="1" s="60">
      <c r="B7" s="4" t="inlineStr">
        <is>
          <t>Os pesos</t>
        </is>
      </c>
      <c r="C7" s="5" t="inlineStr">
        <is>
          <t>Comunicação 30 · Raciocínio 25 · Acurácia 25 · Entrega 10 · Vídeo 10. O peso agora está no bloco, não escondido no teto de cada pergunta.</t>
        </is>
      </c>
    </row>
    <row r="8" ht="15" customHeight="1" s="60">
      <c r="B8" s="4" t="inlineStr">
        <is>
          <t>A trava</t>
        </is>
      </c>
      <c r="C8" s="5" t="inlineStr">
        <is>
          <t>A célula só aceita 0/1/2/3. No PS passado, 8 das 27 linhas tinham nota acima do teto do critério.</t>
        </is>
      </c>
    </row>
    <row r="9" ht="64.5" customHeight="1" s="60">
      <c r="B9" s="4" t="inlineStr">
        <is>
          <t>O peso do vídeo</t>
        </is>
      </c>
      <c r="C9" s="6" t="n">
        <v>0.1</v>
      </c>
    </row>
    <row r="10" ht="39" customHeight="1" s="60">
      <c r="B10" s="4" t="inlineStr">
        <is>
          <t>R3 e E4</t>
        </is>
      </c>
      <c r="C10" s="5" t="inlineStr">
        <is>
          <t>Reescritos para premiar RELEVÂNCIA, não volume. Antes, análise extra tangencial pontuava 2 e fazer o pedido direito pontuava 0 — invertido. Agora tangente é 0 e entregar o pedido completo é 1. Em E4, contagem de gráficos saiu: o que vale é o recurso sustentar uma afirmação.</t>
        </is>
      </c>
    </row>
    <row r="11" ht="14.25" customHeight="1" s="60"/>
    <row r="12" ht="21.75" customHeight="1" s="60">
      <c r="B12" s="62" t="inlineStr">
        <is>
          <t>AS 5 REGRAS</t>
        </is>
      </c>
    </row>
    <row r="13" ht="64.5" customHeight="1" s="60">
      <c r="B13" s="4" t="inlineStr">
        <is>
          <t>1. Evidência obrigatória</t>
        </is>
      </c>
      <c r="C13" s="5" t="inlineStr">
        <is>
          <t>Ao lado da nota de cada bloco há uma coluna de evidência. Escreva o número do slide ou a minutagem do vídeo. É isso que torna a nota revisável e permite dar feedback ao candidato depois. NA PRÁTICA: preencha ao menos para todo 3 e todo 0  são as notas que afirmam algo forte e que o 2º avaliador contesta. O 2 é o meio-termo e raramente vira discussão. Veja a linha 6 (Modelo) para o formato.</t>
        </is>
      </c>
    </row>
    <row r="14" ht="39" customHeight="1" s="60">
      <c r="B14" s="4" t="inlineStr">
        <is>
          <t>2. Corrija por critério</t>
        </is>
      </c>
      <c r="C14" s="5" t="inlineStr">
        <is>
          <t>Avalie TODOS os candidatos no C1, depois todos no C2, e assim por diante. Nunca candidato por candidato. Comparar 27 respostas da mesma pergunta lado a lado é muito mais consistente  e é o que evita que uma boa impressão geral contamine as 20 notas.</t>
        </is>
      </c>
    </row>
    <row r="15" ht="39" customHeight="1" s="60">
      <c r="B15" s="4" t="inlineStr">
        <is>
          <t>3. Dois avaliadores</t>
        </is>
      </c>
      <c r="C15" s="5" t="inlineStr">
        <is>
          <t>Todo candidato precisa de 2 avaliações independentes. No PS 2026-1S só 37% tiveram. Se a diferença entre as duas notas finais passar de 1,0, a aba Consolidado acende alerta: vai para conversa de calibração ou terceiro avaliador.</t>
        </is>
      </c>
    </row>
    <row r="16" ht="39" customHeight="1" s="60">
      <c r="B16" s="4" t="inlineStr">
        <is>
          <t>4. Calibre antes de abrir</t>
        </is>
      </c>
      <c r="C16" s="5" t="inlineStr">
        <is>
          <t>Antes do PS começar: peguem 3 entregas do PS anterior (uma boa, uma média, uma ruim), todo mundo avalia, comparem e discutam as divergências. Uma hora de reunião. É a maior alavanca de consistência que existe e não custa nada.</t>
        </is>
      </c>
    </row>
    <row r="17" ht="25.5" customHeight="1" s="60">
      <c r="B17" s="4" t="inlineStr">
        <is>
          <t>5. Corte definido antes</t>
        </is>
      </c>
      <c r="C17" s="5" t="inlineStr">
        <is>
          <t>Número de vagas e nota mínima decididos ANTES de ver as notas. Desempate escrito: 1º acurácia · 2º comunicação · 3º entrevista.</t>
        </is>
      </c>
    </row>
    <row r="18" ht="14.25" customHeight="1" s="60"/>
    <row r="19" ht="21.75" customHeight="1" s="60">
      <c r="B19" s="62" t="inlineStr">
        <is>
          <t>A NOTA QUANDO DUAS PESSOAS CORRIGEM</t>
        </is>
      </c>
    </row>
    <row r="20" ht="25.5" customHeight="1" s="60">
      <c r="B20" s="4" t="inlineStr">
        <is>
          <t>Sim, é a média</t>
        </is>
      </c>
      <c r="C20" s="5" t="inlineStr">
        <is>
          <t>Se um avaliador dá 6,0 e o outro 7,0, a nota do candidato é 6,50. A aba Consolidado faz isso sozinha (AVERAGEIF por nome). Não arredonde na mão.</t>
        </is>
      </c>
    </row>
    <row r="21" ht="51.75" customHeight="1" s="60">
      <c r="B21" s="4" t="inlineStr">
        <is>
          <t>Onde a vírgula pode aparecer</t>
        </is>
      </c>
      <c r="C21" s="5" t="inlineStr">
        <is>
          <t>Só na MÉDIA ENTRE PESSOAS, nunca dentro da cabeça de uma pessoa. Cada avaliador só digita 0, 1, 2 ou 3 — e a célula não aceita outra coisa. O 6,50 é o resultado de duas leituras independentes; o antigo 6,5 era uma pessoa sentindo que valia meio ponto. Mesmo número, confiabilidade completamente diferente.</t>
        </is>
      </c>
    </row>
    <row r="22" ht="39" customHeight="1" s="60">
      <c r="B22" s="4" t="inlineStr">
        <is>
          <t>Quando a média NÃO vale</t>
        </is>
      </c>
      <c r="C22" s="5" t="inlineStr">
        <is>
          <t>Se a diferença passar de 1,0 (ex.: 5,8 e 7,2), a aba acende alerta e a média fica suspensa. Média de duas leituras que discordam muito não é consenso, é um número inventado no meio. Nesse caso: conversem, releiam juntos o critério que divergiu e refaçam — ou chamem um terceiro.</t>
        </is>
      </c>
    </row>
    <row r="23" ht="39" customHeight="1" s="60">
      <c r="B23" s="4" t="inlineStr">
        <is>
          <t>Por que 1,0 é o limite</t>
        </is>
      </c>
      <c r="C23" s="5" t="inlineStr">
        <is>
          <t>Com escala de 0 a 3 e 20 critérios, dois avaliadores calibrados raramente passam de 1 ponto de diferença na nota final. Se passou, quase sempre é um critério só sendo lido de dois jeitos — e é isso que a conversa resolve. As colunas 'Nota aval. 1' e 'Nota aval. 2' mostram as duas notas lado a lado.</t>
        </is>
      </c>
    </row>
    <row r="24" ht="14.25" customHeight="1" s="60"/>
    <row r="25" ht="21.75" customHeight="1" s="60">
      <c r="B25" s="62" t="inlineStr">
        <is>
          <t>ELEGIBILIDADE (estágio / intercâmbio / formatura)</t>
        </is>
      </c>
    </row>
    <row r="26" ht="25.5" customHeight="1" s="60">
      <c r="B26" s="4" t="inlineStr">
        <is>
          <t>Não é eliminatório</t>
        </is>
      </c>
      <c r="C26" s="5" t="inlineStr">
        <is>
          <t>Conforme o diretor: é um warning, não um corte. Por isso NÃO entra na nota e NÃO tem peso. Fica só na aba Consolidado.</t>
        </is>
      </c>
    </row>
    <row r="27" ht="39" customHeight="1" s="60">
      <c r="B27" s="4" t="inlineStr">
        <is>
          <t>Dois níveis</t>
        </is>
      </c>
      <c r="C27" s="5" t="inlineStr">
        <is>
          <t>🔴 EVASÃO — sai do ar em até 2 semestres (intercâmbio confirmado, formatura próxima).   🟡 CARGA — continua, mas com menos tempo (estagiando agora, estágio começando no ano). Estagiar não é ir embora: é ter menos tempo. São riscos diferentes.</t>
        </is>
      </c>
    </row>
    <row r="28" ht="25.5" customHeight="1" s="60">
      <c r="B28" s="4" t="inlineStr">
        <is>
          <t>Onde ela morde</t>
        </is>
      </c>
      <c r="C28" s="5" t="inlineStr">
        <is>
          <t>A flag não soma nem subtrai ponto e nunca elimina. Ela (i) obriga uma pergunta específica na entrevista e (ii) só desempata entre candidatos a menos de 0,3 ponto um do outro.</t>
        </is>
      </c>
    </row>
    <row r="29" ht="51.75" customHeight="1" s="60">
      <c r="B29" s="4" t="inlineStr">
        <is>
          <t>Horas por semana</t>
        </is>
      </c>
      <c r="C29" s="5" t="inlineStr">
        <is>
          <t>VOLTEM COM ESSA PERGUNTA NO FORMULÁRIO. 2025.2 perguntava quantas horas o candidato dedicaria (todos responderam: mediana 8h, variando de 4 a 40) e ela sumiu em 2026.1. Tem variância real e mede o risco de CARGA muito melhor que 'estagiando sim/não' — porque os 13 aprovados de 2025.2 declararam plano de estágio, TODOS os 13. Uma flag que dispara em 100% da lista não separa nada.</t>
        </is>
      </c>
    </row>
    <row r="30" ht="51.75" customHeight="1" s="60">
      <c r="B30" s="4" t="inlineStr">
        <is>
          <t>O que os dados já dizem</t>
        </is>
      </c>
      <c r="C30" s="5" t="inlineStr">
        <is>
          <t>Dos 13 aprovados em 2025.2, 4 apareceram como avaliadores em 2026.1 (Gustavo, Fred, Victor, AnaJu) — com planos de estágio variados, sem padrão. O único com formatura em 2026 não reaparece. É indício fraco (n=1), mas aponta para FORMATURA como a variável de risco real, não estágio. Por isso 🔴 EVASÃO e 🟡 CARGA são separados.</t>
        </is>
      </c>
    </row>
    <row r="31" ht="25.5" customHeight="1" s="60">
      <c r="B31" s="4" t="inlineStr">
        <is>
          <t>Medir</t>
        </is>
      </c>
      <c r="C31" s="5" t="inlineStr">
        <is>
          <t>Registrem a flag de cada aprovado. Daqui a 2 ou 3 PS, cruzem com quem de fato continuou no clube. Aí vocês saberão se a hipótese é verdadeira — hoje ninguém sabe.</t>
        </is>
      </c>
    </row>
    <row r="32" ht="14.25" customHeight="1" s="60"/>
    <row r="33" ht="21.75" customHeight="1" s="60">
      <c r="B33" s="62" t="inlineStr">
        <is>
          <t>O CASE E A IA</t>
        </is>
      </c>
    </row>
    <row r="34" ht="25.5" customHeight="1" s="60">
      <c r="B34" s="4" t="inlineStr">
        <is>
          <t>O problema</t>
        </is>
      </c>
      <c r="C34" s="5" t="inlineStr">
        <is>
          <t>3 dias em casa: acurácia deixa de discriminar. No PS 2026-1S, antes da IA virar padrão, 62% dos candidatos já tiravam ≥80% do teto em 'Loja 5' e 65% em 'SG&amp;A'. Peso sem variância não muda ranking.</t>
        </is>
      </c>
    </row>
    <row r="35" ht="39" customHeight="1" s="60">
      <c r="B35" s="4" t="inlineStr">
        <is>
          <t>Erro plantado (A6)</t>
        </is>
      </c>
      <c r="C35" s="5" t="inlineStr">
        <is>
          <t>Coloquem uma inconsistência de propósito no material: a DRE não fecha por X, ou o enunciado contradiz a tabela anexa. IA aceita o input como verdade e segue. Custa 10 minutos montando o case e é o melhor discriminador por esforço investido.</t>
        </is>
      </c>
    </row>
    <row r="36" ht="25.5" customHeight="1" s="60">
      <c r="B36" s="4" t="inlineStr">
        <is>
          <t>Premissa ausente</t>
        </is>
      </c>
      <c r="C36" s="5" t="inlineStr">
        <is>
          <t>Não deem o critério de rateio do SG&amp;A entre lojas. Aí não existe 'a resposta certa': pontua-se se declarou a premissa, se a carregou até a recomendação sem se contradizer e se testou outra.</t>
        </is>
      </c>
    </row>
    <row r="37" ht="39" customHeight="1" s="60">
      <c r="B37" s="4" t="inlineStr">
        <is>
          <t>Propriedade na ENTREVISTA</t>
        </is>
      </c>
      <c r="C37" s="5" t="inlineStr">
        <is>
          <t>Não tente detectar IA no take-home. Nos primeiros 10 minutos da entrevista, o candidato refaz UMA conta da própria entrega, ao vivo, com um parâmetro alterado. Quem montou o modelo resolve em 3 minutos. Registre em Consolidado!K como OK / Não OK.</t>
        </is>
      </c>
    </row>
    <row r="38" ht="14.25" customHeight="1" s="60"/>
    <row r="39" ht="14.25" customHeight="1" s="60"/>
    <row r="40" ht="14.25" customHeight="1" s="60"/>
    <row r="41" ht="14.25" customHeight="1" s="60"/>
    <row r="42" ht="14.25" customHeight="1" s="60"/>
    <row r="43" ht="14.25" customHeight="1" s="60"/>
    <row r="44" ht="14.25" customHeight="1" s="60"/>
    <row r="45" ht="14.25" customHeight="1" s="60"/>
    <row r="46" ht="14.25" customHeight="1" s="60"/>
    <row r="47" ht="14.25" customHeight="1" s="60"/>
    <row r="48" ht="14.25" customHeight="1" s="60"/>
    <row r="49" ht="14.25" customHeight="1" s="60"/>
    <row r="50" ht="14.25" customHeight="1" s="60"/>
    <row r="51" ht="14.25" customHeight="1" s="60"/>
    <row r="52" ht="14.25" customHeight="1" s="60"/>
    <row r="53" ht="14.25" customHeight="1" s="60"/>
    <row r="54" ht="14.25" customHeight="1" s="60"/>
    <row r="55" ht="14.25" customHeight="1" s="60"/>
    <row r="56" ht="14.25" customHeight="1" s="60"/>
    <row r="57" ht="14.25" customHeight="1" s="60"/>
    <row r="58" ht="14.25" customHeight="1" s="60"/>
    <row r="59" ht="14.25" customHeight="1" s="60"/>
    <row r="60" ht="14.25" customHeight="1" s="60"/>
    <row r="61" ht="14.25" customHeight="1" s="60"/>
    <row r="62" ht="14.25" customHeight="1" s="60"/>
    <row r="63" ht="14.25" customHeight="1" s="60"/>
    <row r="64" ht="14.25" customHeight="1" s="60"/>
    <row r="65" ht="14.25" customHeight="1" s="60"/>
    <row r="66" ht="14.25" customHeight="1" s="60"/>
    <row r="67" ht="14.25" customHeight="1" s="60"/>
    <row r="68" ht="14.25" customHeight="1" s="60"/>
    <row r="69" ht="14.25" customHeight="1" s="60"/>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6">
    <mergeCell ref="B2:C2"/>
    <mergeCell ref="B33:C33"/>
    <mergeCell ref="B25:C25"/>
    <mergeCell ref="B19:C19"/>
    <mergeCell ref="B4:C4"/>
    <mergeCell ref="B12:C12"/>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B2:E143"/>
  <sheetViews>
    <sheetView showGridLines="0" workbookViewId="0">
      <pane ySplit="3" topLeftCell="A4" activePane="bottomLeft" state="frozen"/>
      <selection pane="bottomLeft" activeCell="B5" sqref="B5"/>
    </sheetView>
  </sheetViews>
  <sheetFormatPr baseColWidth="8" defaultColWidth="14.43" defaultRowHeight="15" customHeight="1"/>
  <cols>
    <col width="3" customWidth="1" style="60" min="1" max="1"/>
    <col width="7" customWidth="1" style="60" min="2" max="2"/>
    <col width="9" customWidth="1" style="60" min="3" max="3"/>
    <col width="86" customWidth="1" style="60" min="4" max="4"/>
    <col width="44" customWidth="1" style="60" min="5" max="5"/>
    <col width="8.710000000000001" customWidth="1" style="60" min="6" max="26"/>
  </cols>
  <sheetData>
    <row r="1" ht="14.25" customHeight="1" s="60"/>
    <row r="2" ht="27.75" customHeight="1" s="60">
      <c r="B2" s="63" t="inlineStr">
        <is>
          <t>BASE DE AVALIAÇÃO — cada nível tem uma descrição. Sem descrição apontada, a nota não vale.</t>
        </is>
      </c>
    </row>
    <row r="3" ht="14.25" customHeight="1" s="60"/>
    <row r="4" ht="24" customHeight="1" s="60">
      <c r="B4" s="64" t="inlineStr">
        <is>
          <t>COMUNICAÇÃO &amp; ESTRUTURA  —  30 pontos de 100</t>
        </is>
      </c>
    </row>
    <row r="5" ht="27.75" customHeight="1" s="60">
      <c r="B5" s="13" t="inlineStr">
        <is>
          <t>C1</t>
        </is>
      </c>
      <c r="C5" s="15" t="inlineStr">
        <is>
          <t>10 pts</t>
        </is>
      </c>
      <c r="D5" s="16" t="inlineStr">
        <is>
          <t>A comunicação está clara e direto ao ponto.</t>
        </is>
      </c>
      <c r="E5" s="17" t="n"/>
    </row>
    <row r="6" ht="25.5" customHeight="1" s="60">
      <c r="C6" s="18" t="n">
        <v>3</v>
      </c>
      <c r="D6" s="19" t="inlineStr">
        <is>
          <t>A recomendação está escrita em UMA frase, nos 2 primeiros slides, com o número que a sustenta.</t>
        </is>
      </c>
      <c r="E6" s="45" t="n"/>
    </row>
    <row r="7" ht="25.5" customHeight="1" s="60">
      <c r="C7" s="22" t="n">
        <v>2</v>
      </c>
      <c r="D7" s="19" t="inlineStr">
        <is>
          <t>A recomendação é explícita e clara, mas só aparece depois da metade da entrega.</t>
        </is>
      </c>
      <c r="E7" s="45" t="n"/>
    </row>
    <row r="8" ht="25.5" customHeight="1" s="60">
      <c r="C8" s="23" t="n">
        <v>1</v>
      </c>
      <c r="D8" s="19" t="inlineStr">
        <is>
          <t>Dá pra inferir a recomendação, mas ela não está escrita em lugar nenhum.</t>
        </is>
      </c>
      <c r="E8" s="45" t="n"/>
    </row>
    <row r="9" ht="25.5" customHeight="1" s="60">
      <c r="C9" s="25" t="n">
        <v>0</v>
      </c>
      <c r="D9" s="19" t="inlineStr">
        <is>
          <t>Não há recomendação, ou há duas incompatíveis entre si.</t>
        </is>
      </c>
      <c r="E9" s="45" t="n"/>
    </row>
    <row r="10" ht="21.75" customHeight="1" s="60">
      <c r="D10" s="27" t="inlineStr">
        <is>
          <t>TESTE OPERACIONAL:  Aponte o slide e a frase. Não conseguiu apontar? Não é 3.</t>
        </is>
      </c>
    </row>
    <row r="11" ht="14.25" customHeight="1" s="60"/>
    <row r="12" ht="27.75" customHeight="1" s="60">
      <c r="B12" s="13" t="inlineStr">
        <is>
          <t>C2</t>
        </is>
      </c>
      <c r="C12" s="15" t="inlineStr">
        <is>
          <t>8 pts</t>
        </is>
      </c>
      <c r="D12" s="16" t="inlineStr">
        <is>
          <t>O desafio apresenta um formato que poderia ser apresentado a um cliente real.</t>
        </is>
      </c>
      <c r="E12" s="17" t="n"/>
    </row>
    <row r="13" ht="25.5" customHeight="1" s="60">
      <c r="C13" s="18" t="n">
        <v>3</v>
      </c>
      <c r="D13" s="19" t="inlineStr">
        <is>
          <t>Documento fechado (capa, estrutura, apêndice), sem rascunho visível. Um cliente receberia como está.</t>
        </is>
      </c>
      <c r="E13" s="45" t="n"/>
    </row>
    <row r="14" ht="25.5" customHeight="1" s="60">
      <c r="C14" s="22" t="n">
        <v>2</v>
      </c>
      <c r="D14" s="19" t="inlineStr">
        <is>
          <t>Estruturado, mas com pontas soltas: conta solta, slide inacabado, formatação inconsistente.</t>
        </is>
      </c>
      <c r="E14" s="45" t="n"/>
    </row>
    <row r="15" ht="25.5" customHeight="1" s="60">
      <c r="C15" s="23" t="n">
        <v>1</v>
      </c>
      <c r="D15" s="19" t="inlineStr">
        <is>
          <t>Responde as perguntas, mas em formato de lista ou rascunho.</t>
        </is>
      </c>
      <c r="E15" s="45" t="n"/>
    </row>
    <row r="16" ht="25.5" customHeight="1" s="60">
      <c r="C16" s="25" t="n">
        <v>0</v>
      </c>
      <c r="D16" s="19" t="inlineStr">
        <is>
          <t>Foto de papel, texto corrido no e-mail, ou arquivo sem estrutura nenhuma.</t>
        </is>
      </c>
      <c r="E16" s="45" t="n"/>
    </row>
    <row r="17" ht="21.75" customHeight="1" s="60">
      <c r="D17" s="27" t="inlineStr">
        <is>
          <t>TESTE OPERACIONAL:  Você mandaria esse arquivo, sem editar nada, pro cliente do seu projeto?</t>
        </is>
      </c>
    </row>
    <row r="18" ht="14.25" customHeight="1" s="60"/>
    <row r="19" ht="27.75" customHeight="1" s="60">
      <c r="B19" s="13" t="inlineStr">
        <is>
          <t>C3</t>
        </is>
      </c>
      <c r="C19" s="15" t="inlineStr">
        <is>
          <t>7 pts</t>
        </is>
      </c>
      <c r="D19" s="16" t="inlineStr">
        <is>
          <t>A apresentação apresenta um bom storytelling e envolve o leitor.</t>
        </is>
      </c>
      <c r="E19" s="17" t="n"/>
    </row>
    <row r="20" ht="25.5" customHeight="1" s="60">
      <c r="C20" s="18" t="n">
        <v>3</v>
      </c>
      <c r="D20" s="19" t="inlineStr">
        <is>
          <t>Lendo só os títulos, na ordem, a história fecha sozinha: contexto -&gt; problema -&gt; análise -&gt; recomendação -&gt; riscos.</t>
        </is>
      </c>
      <c r="E20" s="45" t="n"/>
    </row>
    <row r="21" ht="25.5" customHeight="1" s="60">
      <c r="C21" s="22" t="n">
        <v>2</v>
      </c>
      <c r="D21" s="19" t="inlineStr">
        <is>
          <t>A sequência é lógica, com 1 ou 2 saltos que obrigam o leitor a voltar.</t>
        </is>
      </c>
      <c r="E21" s="45" t="n"/>
    </row>
    <row r="22" ht="25.5" customHeight="1" s="60">
      <c r="C22" s="23" t="n">
        <v>1</v>
      </c>
      <c r="D22" s="19" t="inlineStr">
        <is>
          <t>Os blocos existem, mas soltos — um não puxa o outro.</t>
        </is>
      </c>
      <c r="E22" s="45" t="n"/>
    </row>
    <row r="23" ht="25.5" customHeight="1" s="60">
      <c r="C23" s="25" t="n">
        <v>0</v>
      </c>
      <c r="D23" s="19" t="inlineStr">
        <is>
          <t>Ordem aleatória, ou é só uma lista de respostas às perguntas.</t>
        </is>
      </c>
      <c r="E23" s="45" t="n"/>
    </row>
    <row r="24" ht="21.75" customHeight="1" s="60">
      <c r="D24" s="27" t="inlineStr">
        <is>
          <t>TESTE OPERACIONAL:  Leia SÓ os títulos em voz alta. Se a recomendação não aparecer, é no máximo 1.</t>
        </is>
      </c>
    </row>
    <row r="25" ht="14.25" customHeight="1" s="60"/>
    <row r="26" ht="27.75" customHeight="1" s="60">
      <c r="B26" s="13" t="inlineStr">
        <is>
          <t>C4</t>
        </is>
      </c>
      <c r="C26" s="15" t="inlineStr">
        <is>
          <t>5 pts</t>
        </is>
      </c>
      <c r="D26" s="16" t="inlineStr">
        <is>
          <t>O trabalho está visualmente bonito.</t>
        </is>
      </c>
      <c r="E26" s="17" t="n"/>
    </row>
    <row r="27" ht="25.5" customHeight="1" s="60">
      <c r="C27" s="18" t="n">
        <v>3</v>
      </c>
      <c r="D27" s="19" t="inlineStr">
        <is>
          <t>Padrão único de fonte, cor e alinhamento em toda a entrega. Nenhum slide com parágrafo corrido.</t>
        </is>
      </c>
      <c r="E27" s="45" t="n"/>
    </row>
    <row r="28" ht="25.5" customHeight="1" s="60">
      <c r="C28" s="22" t="n">
        <v>2</v>
      </c>
      <c r="D28" s="19" t="inlineStr">
        <is>
          <t>Consistente, com até 2 slides fora do padrão.</t>
        </is>
      </c>
      <c r="E28" s="45" t="n"/>
    </row>
    <row r="29" ht="25.5" customHeight="1" s="60">
      <c r="C29" s="23" t="n">
        <v>1</v>
      </c>
      <c r="D29" s="19" t="inlineStr">
        <is>
          <t>Formatação improvisada, mas legível.</t>
        </is>
      </c>
      <c r="E29" s="45" t="n"/>
    </row>
    <row r="30" ht="25.5" customHeight="1" s="60">
      <c r="C30" s="25" t="n">
        <v>0</v>
      </c>
      <c r="D30" s="19" t="inlineStr">
        <is>
          <t>Ilegível, desalinhado, ou é texto corrido.</t>
        </is>
      </c>
      <c r="E30" s="45" t="n"/>
    </row>
    <row r="31" ht="21.75" customHeight="1" s="60">
      <c r="D31" s="27" t="inlineStr">
        <is>
          <t>TESTE OPERACIONAL:  Conte os slides fora do padrão. É uma contagem, não uma impressão.</t>
        </is>
      </c>
    </row>
    <row r="32" ht="14.25" customHeight="1" s="60"/>
    <row r="33" ht="14.25" customHeight="1" s="60"/>
    <row r="34" ht="24" customHeight="1" s="60">
      <c r="B34" s="64" t="inlineStr">
        <is>
          <t>RACIOCÍNIO DE NEGÓCIO  —  25 pontos de 100</t>
        </is>
      </c>
    </row>
    <row r="35" ht="27.75" customHeight="1" s="60">
      <c r="B35" s="13" t="inlineStr">
        <is>
          <t>R1</t>
        </is>
      </c>
      <c r="C35" s="15" t="inlineStr">
        <is>
          <t>8 pts</t>
        </is>
      </c>
      <c r="D35" s="16" t="inlineStr">
        <is>
          <t>Sua recomendação leva em consideração ambas as partes qualitativas e quantitativas do case.</t>
        </is>
      </c>
      <c r="E35" s="17" t="n"/>
    </row>
    <row r="36" ht="25.5" customHeight="1" s="60">
      <c r="C36" s="18" t="n">
        <v>3</v>
      </c>
      <c r="D36" s="19" t="inlineStr">
        <is>
          <t>A recomendação cita o número que a sustenta E a razão de negócio; as duas partes se apoiam.</t>
        </is>
      </c>
      <c r="E36" s="45" t="n"/>
    </row>
    <row r="37" ht="25.5" customHeight="1" s="60">
      <c r="C37" s="22" t="n">
        <v>2</v>
      </c>
      <c r="D37" s="19" t="inlineStr">
        <is>
          <t>Cita as duas, mas uma é decorativa — o número não sustenta de fato a decisão.</t>
        </is>
      </c>
      <c r="E37" s="45" t="n"/>
    </row>
    <row r="38" ht="25.5" customHeight="1" s="60">
      <c r="C38" s="23" t="n">
        <v>1</v>
      </c>
      <c r="D38" s="19" t="inlineStr">
        <is>
          <t>Só quantitativa (número sem porquê) ou só qualitativa (opinião sem número).</t>
        </is>
      </c>
      <c r="E38" s="45" t="n"/>
    </row>
    <row r="39" ht="25.5" customHeight="1" s="60">
      <c r="C39" s="25" t="n">
        <v>0</v>
      </c>
      <c r="D39" s="19" t="inlineStr">
        <is>
          <t>Não há recomendação, ou ela contraria os próprios números apresentados.</t>
        </is>
      </c>
      <c r="E39" s="45" t="n"/>
    </row>
    <row r="40" ht="21.75" customHeight="1" s="60">
      <c r="D40" s="27" t="inlineStr">
        <is>
          <t>TESTE OPERACIONAL:  Tape o número: a recomendação ainda se sustenta? Tape o argumento: ainda se sustenta?</t>
        </is>
      </c>
    </row>
    <row r="41" ht="14.25" customHeight="1" s="60"/>
    <row r="42" ht="27.75" customHeight="1" s="60">
      <c r="B42" s="13" t="inlineStr">
        <is>
          <t>R2</t>
        </is>
      </c>
      <c r="C42" s="15" t="inlineStr">
        <is>
          <t>7 pts</t>
        </is>
      </c>
      <c r="D42" s="16" t="inlineStr">
        <is>
          <t>O trabalho apresenta uma discussão rica com diversos pontos de vista sobre a expansão.</t>
        </is>
      </c>
      <c r="E42" s="17" t="n"/>
    </row>
    <row r="43" ht="25.5" customHeight="1" s="60">
      <c r="C43" s="18" t="n">
        <v>3</v>
      </c>
      <c r="D43" s="19" t="inlineStr">
        <is>
          <t>Apresenta ao menos 2 caminhos, compara com critério explícito e justifica o que descartou.</t>
        </is>
      </c>
      <c r="E43" s="45" t="n"/>
    </row>
    <row r="44" ht="25.5" customHeight="1" s="60">
      <c r="C44" s="22" t="n">
        <v>2</v>
      </c>
      <c r="D44" s="19" t="inlineStr">
        <is>
          <t>Cita alternativas, mas não compara — escolhe sem justificar.</t>
        </is>
      </c>
      <c r="E44" s="45" t="n"/>
    </row>
    <row r="45" ht="25.5" customHeight="1" s="60">
      <c r="C45" s="23" t="n">
        <v>1</v>
      </c>
      <c r="D45" s="19" t="inlineStr">
        <is>
          <t>Menciona que existem alternativas, sem desenvolver nenhuma.</t>
        </is>
      </c>
      <c r="E45" s="45" t="n"/>
    </row>
    <row r="46" ht="25.5" customHeight="1" s="60">
      <c r="C46" s="25" t="n">
        <v>0</v>
      </c>
      <c r="D46" s="19" t="inlineStr">
        <is>
          <t>Caminho único, sem discussão.</t>
        </is>
      </c>
      <c r="E46" s="45" t="n"/>
    </row>
    <row r="47" ht="21.75" customHeight="1" s="60">
      <c r="D47" s="27" t="inlineStr">
        <is>
          <t>TESTE OPERACIONAL:  Ele descartou alguma coisa por escrito? Se não descartou nada, não discutiu.</t>
        </is>
      </c>
    </row>
    <row r="48" ht="14.25" customHeight="1" s="60"/>
    <row r="49" ht="27.75" customHeight="1" s="60">
      <c r="B49" s="13" t="inlineStr">
        <is>
          <t>R3</t>
        </is>
      </c>
      <c r="C49" s="15" t="inlineStr">
        <is>
          <t>5 pts</t>
        </is>
      </c>
      <c r="D49" s="16" t="inlineStr">
        <is>
          <t>Foi além do pedido e trouxe análises interessantes.</t>
        </is>
      </c>
      <c r="E49" s="17" t="n"/>
    </row>
    <row r="50" ht="25.5" customHeight="1" s="60">
      <c r="C50" s="18" t="n">
        <v>3</v>
      </c>
      <c r="D50" s="19" t="inlineStr">
        <is>
          <t>Trouxe algo não pedido que MUDA ou FORTALECE a recomendação.</t>
        </is>
      </c>
      <c r="E50" s="45" t="n"/>
    </row>
    <row r="51" ht="25.5" customHeight="1" s="60">
      <c r="C51" s="22" t="n">
        <v>2</v>
      </c>
      <c r="D51" s="19" t="inlineStr">
        <is>
          <t>Trouxe algo não pedido, correto e LIGADO À DECISÃO, mas que não altera a conclusão.</t>
        </is>
      </c>
      <c r="E51" s="45" t="n"/>
    </row>
    <row r="52" ht="25.5" customHeight="1" s="60">
      <c r="C52" s="23" t="n">
        <v>1</v>
      </c>
      <c r="D52" s="19" t="inlineStr">
        <is>
          <t>Não trouxe nada além, mas entregou o pedido de forma completa e correta.</t>
        </is>
      </c>
      <c r="E52" s="45" t="n"/>
    </row>
    <row r="53" ht="25.5" customHeight="1" s="60">
      <c r="C53" s="25" t="n">
        <v>0</v>
      </c>
      <c r="D53" s="19" t="inlineStr">
        <is>
          <t>O material extra NÃO SE CONECTA à decisão (tangenciou), ou o pedido ficou incompleto.</t>
        </is>
      </c>
      <c r="E53" s="45" t="n"/>
    </row>
    <row r="54" ht="21.75" customHeight="1" s="60">
      <c r="D54" s="27" t="inlineStr">
        <is>
          <t>TESTE OPERACIONAL:  A análise extra responde a uma pergunta que o cliente deveria ter feito? Se não dá pra dizer qual decisão ela informa, é 0 — não 2. Volume não conta: três páginas de análise tangencial valem menos que nenhuma.</t>
        </is>
      </c>
    </row>
    <row r="55" ht="14.25" customHeight="1" s="60"/>
    <row r="56" ht="27.75" customHeight="1" s="60">
      <c r="B56" s="13" t="inlineStr">
        <is>
          <t>R4</t>
        </is>
      </c>
      <c r="C56" s="15" t="inlineStr">
        <is>
          <t>5 pts</t>
        </is>
      </c>
      <c r="D56" s="16" t="inlineStr">
        <is>
          <t>Foi além das interpretações óbvias dos indicadores e agregou valor à análise.</t>
        </is>
      </c>
      <c r="E56" s="17" t="n"/>
    </row>
    <row r="57" ht="25.5" customHeight="1" s="60">
      <c r="C57" s="18" t="n">
        <v>3</v>
      </c>
      <c r="D57" s="19" t="inlineStr">
        <is>
          <t>Explica a CAUSA por trás do indicador e o que fazer com ela.</t>
        </is>
      </c>
      <c r="E57" s="45" t="n"/>
    </row>
    <row r="58" ht="25.5" customHeight="1" s="60">
      <c r="C58" s="22" t="n">
        <v>2</v>
      </c>
      <c r="D58" s="19" t="inlineStr">
        <is>
          <t>Compara o indicador com algo (outra loja, outro ano, benchmark) e tira conclusão.</t>
        </is>
      </c>
      <c r="E58" s="45" t="n"/>
    </row>
    <row r="59" ht="25.5" customHeight="1" s="60">
      <c r="C59" s="23" t="n">
        <v>1</v>
      </c>
      <c r="D59" s="19" t="inlineStr">
        <is>
          <t>Lê o indicador corretamente (ex.: a margem caiu).</t>
        </is>
      </c>
      <c r="E59" s="45" t="n"/>
    </row>
    <row r="60" ht="25.5" customHeight="1" s="60">
      <c r="C60" s="25" t="n">
        <v>0</v>
      </c>
      <c r="D60" s="19" t="inlineStr">
        <is>
          <t>Repete o número sem interpretar.</t>
        </is>
      </c>
      <c r="E60" s="45" t="n"/>
    </row>
    <row r="61" ht="21.75" customHeight="1" s="60">
      <c r="D61" s="27" t="inlineStr">
        <is>
          <t>TESTE OPERACIONAL:  Ele respondeu 'por quê', 'comparado a quê', ou só 'quanto'?</t>
        </is>
      </c>
    </row>
    <row r="62" ht="14.25" customHeight="1" s="60"/>
    <row r="63" ht="14.25" customHeight="1" s="60"/>
    <row r="64" ht="24" customHeight="1" s="60">
      <c r="B64" s="64" t="inlineStr">
        <is>
          <t>ACURÁCIA TÉCNICA  —  25 pontos de 100</t>
        </is>
      </c>
    </row>
    <row r="65" ht="61.5" customHeight="1" s="60">
      <c r="B65" s="65" t="inlineStr">
        <is>
          <t>⚠  ESTE É O ÚNICO BLOCO QUE DEPENDE DO CASE.  As ÂNCORAS (3/2/1/0) e os PESOS não mudam nunca — valem para qualquer case, todo semestre. O que muda a cada PS é só o TEXTO DA PERGUNTA de A1 a A4 e os valores da aba Gabarito. A1/A2 = contas com resposta única · A3 = a projeção pedida · A4 = a alternativa · A5 e A6 já são genéricos, não precisa reescrever.   Se o case novo tiver 3 contas centrais em vez de 2, divida os 12 pontos de A1+A2 entre elas; se tiver 1, ela leva os 12. O total do bloco (25) e as âncoras é que não podem mudar.</t>
        </is>
      </c>
    </row>
    <row r="66" ht="27.75" customHeight="1" s="60">
      <c r="B66" s="13" t="inlineStr">
        <is>
          <t>A1</t>
        </is>
      </c>
      <c r="C66" s="15" t="inlineStr">
        <is>
          <t>6 pts</t>
        </is>
      </c>
      <c r="D66" s="16" t="inlineStr">
        <is>
          <t>[CONTA CENTRAL 1 — escrever aqui a pergunta do case deste semestre]</t>
        </is>
      </c>
      <c r="E66" s="17" t="inlineStr">
        <is>
          <t>col. Z · no PS 2026-1S era: 'Identificou corretamente a Margem Direta e o impacto no EBITDA ao fechar a Loja 5?'</t>
        </is>
      </c>
    </row>
    <row r="67" ht="25.5" customHeight="1" s="60">
      <c r="C67" s="18" t="n">
        <v>3</v>
      </c>
      <c r="D67" s="19" t="inlineStr">
        <is>
          <t>Valor dentro da tolerância definida na aba Gabarito E memória de cálculo visível.</t>
        </is>
      </c>
      <c r="E67" s="45" t="n"/>
    </row>
    <row r="68" ht="25.5" customHeight="1" s="60">
      <c r="C68" s="22" t="n">
        <v>2</v>
      </c>
      <c r="D68" s="19" t="inlineStr">
        <is>
          <t>Método correto, valor fora da tolerância (erro aritmético).</t>
        </is>
      </c>
      <c r="E68" s="45" t="n"/>
    </row>
    <row r="69" ht="25.5" customHeight="1" s="60">
      <c r="C69" s="23" t="n">
        <v>1</v>
      </c>
      <c r="D69" s="19" t="inlineStr">
        <is>
          <t>Identificou a lógica correta, não fechou o número.</t>
        </is>
      </c>
      <c r="E69" s="45" t="n"/>
    </row>
    <row r="70" ht="25.5" customHeight="1" s="60">
      <c r="C70" s="25" t="n">
        <v>0</v>
      </c>
      <c r="D70" s="19" t="inlineStr">
        <is>
          <t>Não respondeu, ou o método está errado.</t>
        </is>
      </c>
      <c r="E70" s="45" t="n"/>
    </row>
    <row r="71" ht="21.75" customHeight="1" s="60">
      <c r="D71" s="27" t="inlineStr">
        <is>
          <t>TESTE OPERACIONAL:  Confira contra a aba Gabarito. Dois avaliadores têm que chegar no mesmo número.</t>
        </is>
      </c>
    </row>
    <row r="72" ht="14.25" customHeight="1" s="60"/>
    <row r="73" ht="27.75" customHeight="1" s="60">
      <c r="B73" s="13" t="inlineStr">
        <is>
          <t>A2</t>
        </is>
      </c>
      <c r="C73" s="15" t="inlineStr">
        <is>
          <t>6 pts</t>
        </is>
      </c>
      <c r="D73" s="16" t="inlineStr">
        <is>
          <t>[CONTA CENTRAL 2 — escrever aqui a pergunta do case deste semestre]</t>
        </is>
      </c>
      <c r="E73" s="17" t="inlineStr">
        <is>
          <t>col. AA · no PS 2026-1S era: 'Calculou corretamente o SG&amp;A como % da receita e a redução de custos necessária para atingir 50%?'</t>
        </is>
      </c>
    </row>
    <row r="74" ht="25.5" customHeight="1" s="60">
      <c r="C74" s="18" t="n">
        <v>3</v>
      </c>
      <c r="D74" s="19" t="inlineStr">
        <is>
          <t>Valor dentro da tolerância definida na aba Gabarito E memória de cálculo visível.</t>
        </is>
      </c>
      <c r="E74" s="45" t="n"/>
    </row>
    <row r="75" ht="25.5" customHeight="1" s="60">
      <c r="C75" s="22" t="n">
        <v>2</v>
      </c>
      <c r="D75" s="19" t="inlineStr">
        <is>
          <t>Método correto, valor fora da tolerância (erro aritmético).</t>
        </is>
      </c>
      <c r="E75" s="45" t="n"/>
    </row>
    <row r="76" ht="25.5" customHeight="1" s="60">
      <c r="C76" s="23" t="n">
        <v>1</v>
      </c>
      <c r="D76" s="19" t="inlineStr">
        <is>
          <t>Identificou a lógica correta, não fechou o número.</t>
        </is>
      </c>
      <c r="E76" s="45" t="n"/>
    </row>
    <row r="77" ht="25.5" customHeight="1" s="60">
      <c r="C77" s="25" t="n">
        <v>0</v>
      </c>
      <c r="D77" s="19" t="inlineStr">
        <is>
          <t>Não respondeu, ou o método está errado.</t>
        </is>
      </c>
      <c r="E77" s="45" t="n"/>
    </row>
    <row r="78" ht="21.75" customHeight="1" s="60">
      <c r="D78" s="27" t="inlineStr">
        <is>
          <t>TESTE OPERACIONAL:  Confira contra a aba Gabarito.</t>
        </is>
      </c>
    </row>
    <row r="79" ht="14.25" customHeight="1" s="60"/>
    <row r="80" ht="27.75" customHeight="1" s="60">
      <c r="B80" s="13" t="inlineStr">
        <is>
          <t>A3</t>
        </is>
      </c>
      <c r="C80" s="15" t="inlineStr">
        <is>
          <t>4 pts</t>
        </is>
      </c>
      <c r="D80" s="16" t="inlineStr">
        <is>
          <t>[PROJEÇÃO / PLANO — a projeção pedida no case fecha com a meta declarada?]</t>
        </is>
      </c>
      <c r="E80" s="17" t="inlineStr">
        <is>
          <t>estava na Base antiga SEM coluna · no PS 2026-1S era: 'O planejamento estratégico 2026-2030 é coerente com as metas de faturamento (+70%) e EBITDA (20%)?'</t>
        </is>
      </c>
    </row>
    <row r="81" ht="25.5" customHeight="1" s="60">
      <c r="C81" s="18" t="n">
        <v>3</v>
      </c>
      <c r="D81" s="19" t="inlineStr">
        <is>
          <t>Os números da projeção chegam às metas do case E batem com o modelo que ele mesmo montou.</t>
        </is>
      </c>
      <c r="E81" s="45" t="n"/>
    </row>
    <row r="82" ht="25.5" customHeight="1" s="60">
      <c r="C82" s="22" t="n">
        <v>2</v>
      </c>
      <c r="D82" s="19" t="inlineStr">
        <is>
          <t>Chega a parte das metas, ou chega a todas sem mostrar a ponte entre os anos.</t>
        </is>
      </c>
      <c r="E82" s="45" t="n"/>
    </row>
    <row r="83" ht="25.5" customHeight="1" s="60">
      <c r="C83" s="23" t="n">
        <v>1</v>
      </c>
      <c r="D83" s="19" t="inlineStr">
        <is>
          <t>Plano narrativo, sem número.</t>
        </is>
      </c>
      <c r="E83" s="45" t="n"/>
    </row>
    <row r="84" ht="25.5" customHeight="1" s="60">
      <c r="C84" s="25" t="n">
        <v>0</v>
      </c>
      <c r="D84" s="19" t="inlineStr">
        <is>
          <t>Não fez.</t>
        </is>
      </c>
      <c r="E84" s="45" t="n"/>
    </row>
    <row r="85" ht="21.75" customHeight="1" s="60">
      <c r="D85" s="27" t="inlineStr">
        <is>
          <t>TESTE OPERACIONAL:  Some os anos da projeção dele. Bate com a meta que ele mesmo escreveu?</t>
        </is>
      </c>
    </row>
    <row r="86" ht="14.25" customHeight="1" s="60"/>
    <row r="87" ht="27.75" customHeight="1" s="60">
      <c r="B87" s="13" t="inlineStr">
        <is>
          <t>A4</t>
        </is>
      </c>
      <c r="C87" s="15" t="inlineStr">
        <is>
          <t>3 pts</t>
        </is>
      </c>
      <c r="D87" s="16" t="inlineStr">
        <is>
          <t>[ALTERNATIVA — propôs caminho alternativo coerente com o case?]</t>
        </is>
      </c>
      <c r="E87" s="17" t="inlineStr">
        <is>
          <t>col. AB · no PS 2026-1S era: 'Trouxe alternativas coerentes para melhorar a rentabilidade (ex: expansão B2B, otimização de marketing)?'</t>
        </is>
      </c>
    </row>
    <row r="88" ht="25.5" customHeight="1" s="60">
      <c r="C88" s="18" t="n">
        <v>3</v>
      </c>
      <c r="D88" s="19" t="inlineStr">
        <is>
          <t>Propõe alternativa com número estimado de impacto.</t>
        </is>
      </c>
      <c r="E88" s="45" t="n"/>
    </row>
    <row r="89" ht="25.5" customHeight="1" s="60">
      <c r="C89" s="22" t="n">
        <v>2</v>
      </c>
      <c r="D89" s="19" t="inlineStr">
        <is>
          <t>Propõe alternativa coerente com o case, sem quantificar.</t>
        </is>
      </c>
      <c r="E89" s="45" t="n"/>
    </row>
    <row r="90" ht="25.5" customHeight="1" s="60">
      <c r="C90" s="23" t="n">
        <v>1</v>
      </c>
      <c r="D90" s="19" t="inlineStr">
        <is>
          <t>Alternativa genérica — serviria pra qualquer empresa.</t>
        </is>
      </c>
      <c r="E90" s="45" t="n"/>
    </row>
    <row r="91" ht="25.5" customHeight="1" s="60">
      <c r="C91" s="25" t="n">
        <v>0</v>
      </c>
      <c r="D91" s="19" t="inlineStr">
        <is>
          <t>Não propôs, ou propõe algo que contraria o case.</t>
        </is>
      </c>
      <c r="E91" s="45" t="n"/>
    </row>
    <row r="92" ht="21.75" customHeight="1" s="60">
      <c r="D92" s="27" t="inlineStr">
        <is>
          <t>TESTE OPERACIONAL:  A alternativa cita algo que só existe NESTE case? Se não, é 1.</t>
        </is>
      </c>
    </row>
    <row r="93" ht="14.25" customHeight="1" s="60"/>
    <row r="94" ht="27.75" customHeight="1" s="60">
      <c r="B94" s="13" t="inlineStr">
        <is>
          <t>A5</t>
        </is>
      </c>
      <c r="C94" s="15" t="inlineStr">
        <is>
          <t>3 pts</t>
        </is>
      </c>
      <c r="D94" s="16" t="inlineStr">
        <is>
          <t>Analisou riscos e próximos passos de forma lógica e estruturada?</t>
        </is>
      </c>
      <c r="E94" s="17" t="inlineStr">
        <is>
          <t>col. AC (era 1 pt) — serve para qualquer case, não precisa reescrever</t>
        </is>
      </c>
    </row>
    <row r="95" ht="25.5" customHeight="1" s="60">
      <c r="C95" s="18" t="n">
        <v>3</v>
      </c>
      <c r="D95" s="19" t="inlineStr">
        <is>
          <t>Riscos específicos da recomendação DELE, com mitigação e prazo.</t>
        </is>
      </c>
      <c r="E95" s="45" t="n"/>
    </row>
    <row r="96" ht="25.5" customHeight="1" s="60">
      <c r="C96" s="22" t="n">
        <v>2</v>
      </c>
      <c r="D96" s="19" t="inlineStr">
        <is>
          <t>Riscos específicos, sem mitigação.</t>
        </is>
      </c>
      <c r="E96" s="45" t="n"/>
    </row>
    <row r="97" ht="25.5" customHeight="1" s="60">
      <c r="C97" s="23" t="n">
        <v>1</v>
      </c>
      <c r="D97" s="19" t="inlineStr">
        <is>
          <t>Riscos genéricos (crise, concorrência, câmbio).</t>
        </is>
      </c>
      <c r="E97" s="45" t="n"/>
    </row>
    <row r="98" ht="25.5" customHeight="1" s="60">
      <c r="C98" s="25" t="n">
        <v>0</v>
      </c>
      <c r="D98" s="19" t="inlineStr">
        <is>
          <t>Não fez.</t>
        </is>
      </c>
      <c r="E98" s="45" t="n"/>
    </row>
    <row r="99" ht="21.75" customHeight="1" s="60">
      <c r="D99" s="27" t="inlineStr">
        <is>
          <t>TESTE OPERACIONAL:  O risco listado some se a recomendação mudar? Se não some, é genérico.</t>
        </is>
      </c>
    </row>
    <row r="100" ht="14.25" customHeight="1" s="60"/>
    <row r="101" ht="27.75" customHeight="1" s="60">
      <c r="B101" s="13" t="inlineStr">
        <is>
          <t>A6</t>
        </is>
      </c>
      <c r="C101" s="15" t="inlineStr">
        <is>
          <t>3 pts</t>
        </is>
      </c>
      <c r="D101" s="16" t="inlineStr">
        <is>
          <t>Identificou a inconsistência plantada no material do case?</t>
        </is>
      </c>
      <c r="E101" s="17" t="inlineStr">
        <is>
          <t>NOVO — substitui a col. AD · serve para qualquer case, basta plantar o erro</t>
        </is>
      </c>
    </row>
    <row r="102" ht="25.5" customHeight="1" s="60">
      <c r="C102" s="18" t="n">
        <v>3</v>
      </c>
      <c r="D102" s="19" t="inlineStr">
        <is>
          <t>Achou, apontou explicitamente e explicou como tratou.</t>
        </is>
      </c>
      <c r="E102" s="45" t="n"/>
    </row>
    <row r="103" ht="25.5" customHeight="1" s="60">
      <c r="C103" s="22" t="n">
        <v>2</v>
      </c>
      <c r="D103" s="19" t="inlineStr">
        <is>
          <t>Achou e apontou.</t>
        </is>
      </c>
      <c r="E103" s="45" t="n"/>
    </row>
    <row r="104" ht="25.5" customHeight="1" s="60">
      <c r="C104" s="23" t="n">
        <v>1</v>
      </c>
      <c r="D104" s="19" t="inlineStr">
        <is>
          <t>Contornou sem nomear — usou o número certo, mas não disse por quê.</t>
        </is>
      </c>
      <c r="E104" s="45" t="n"/>
    </row>
    <row r="105" ht="25.5" customHeight="1" s="60">
      <c r="C105" s="25" t="n">
        <v>0</v>
      </c>
      <c r="D105" s="19" t="inlineStr">
        <is>
          <t>Construiu a análise inteira em cima do dado errado.</t>
        </is>
      </c>
      <c r="E105" s="45" t="n"/>
    </row>
    <row r="106" ht="21.75" customHeight="1" s="60">
      <c r="D106" s="27" t="inlineStr">
        <is>
          <t>TESTE OPERACIONAL:  Este é o item que a IA erra. Vale 3 pts e separa mais que qualquer outro.</t>
        </is>
      </c>
    </row>
    <row r="107" ht="14.25" customHeight="1" s="60"/>
    <row r="108" ht="14.25" customHeight="1" s="60"/>
    <row r="109" ht="24" customHeight="1" s="60">
      <c r="B109" s="64" t="inlineStr">
        <is>
          <t>ENTREGA (CHECKLIST)  —  10 pontos de 100</t>
        </is>
      </c>
    </row>
    <row r="110" ht="27.75" customHeight="1" s="60">
      <c r="B110" s="13" t="inlineStr">
        <is>
          <t>E1</t>
        </is>
      </c>
      <c r="C110" s="15" t="inlineStr">
        <is>
          <t>3 pts</t>
        </is>
      </c>
      <c r="D110" s="16" t="inlineStr">
        <is>
          <t>Enviou planilha com a memória de cálculo.</t>
        </is>
      </c>
      <c r="E110" s="17" t="inlineStr">
        <is>
          <t>col. U (era 'Excel = 0,5')</t>
        </is>
      </c>
    </row>
    <row r="111" ht="14.25" customHeight="1" s="60">
      <c r="C111" s="43" t="inlineStr">
        <is>
          <t>1 / 0</t>
        </is>
      </c>
      <c r="D111" s="19" t="inlineStr">
        <is>
          <t>Item binário: enviou = 1, não enviou = 0.</t>
        </is>
      </c>
      <c r="E111" s="44" t="n"/>
    </row>
    <row r="112" ht="21.75" customHeight="1" s="60">
      <c r="D112" s="27" t="inlineStr">
        <is>
          <t>TESTE OPERACIONAL:  Sim = 1, Não = 0. Sem julgamento.</t>
        </is>
      </c>
    </row>
    <row r="113" ht="14.25" customHeight="1" s="60"/>
    <row r="114" ht="27.75" customHeight="1" s="60">
      <c r="B114" s="13" t="inlineStr">
        <is>
          <t>E2</t>
        </is>
      </c>
      <c r="C114" s="15" t="inlineStr">
        <is>
          <t>2 pts</t>
        </is>
      </c>
      <c r="D114" s="16" t="inlineStr">
        <is>
          <t>Enviou apresentação fechada (PPT ou relatório).</t>
        </is>
      </c>
      <c r="E114" s="17" t="inlineStr">
        <is>
          <t>col. U (era 'PPT = 0,5')</t>
        </is>
      </c>
    </row>
    <row r="115" ht="14.25" customHeight="1" s="60">
      <c r="C115" s="43" t="inlineStr">
        <is>
          <t>1 / 0</t>
        </is>
      </c>
      <c r="D115" s="19" t="inlineStr">
        <is>
          <t>Item binário: enviou = 1, não enviou = 0.</t>
        </is>
      </c>
      <c r="E115" s="44" t="n"/>
    </row>
    <row r="116" ht="21.75" customHeight="1" s="60">
      <c r="D116" s="27" t="inlineStr">
        <is>
          <t>TESTE OPERACIONAL:  Sim = 1, Não = 0.</t>
        </is>
      </c>
    </row>
    <row r="117" ht="14.25" customHeight="1" s="60"/>
    <row r="118" ht="27.75" customHeight="1" s="60">
      <c r="B118" s="13" t="inlineStr">
        <is>
          <t>E3</t>
        </is>
      </c>
      <c r="C118" s="15" t="inlineStr">
        <is>
          <t>2 pts</t>
        </is>
      </c>
      <c r="D118" s="16" t="inlineStr">
        <is>
          <t>Gravou o vídeo da entrega.</t>
        </is>
      </c>
      <c r="E118" s="17" t="inlineStr">
        <is>
          <t>col. AE (era 'Mandou vídeo = 1 ponto')</t>
        </is>
      </c>
    </row>
    <row r="119" ht="14.25" customHeight="1" s="60">
      <c r="C119" s="43" t="inlineStr">
        <is>
          <t>1 / 0</t>
        </is>
      </c>
      <c r="D119" s="19" t="inlineStr">
        <is>
          <t>Item binário: enviou = 1, não enviou = 0.</t>
        </is>
      </c>
      <c r="E119" s="44" t="n"/>
    </row>
    <row r="120" ht="21.75" customHeight="1" s="60">
      <c r="D120" s="27" t="inlineStr">
        <is>
          <t>TESTE OPERACIONAL:  Sim = 1, Não = 0.</t>
        </is>
      </c>
    </row>
    <row r="121" ht="14.25" customHeight="1" s="60"/>
    <row r="122" ht="27.75" customHeight="1" s="60">
      <c r="B122" s="13" t="inlineStr">
        <is>
          <t>E4</t>
        </is>
      </c>
      <c r="C122" s="15" t="inlineStr">
        <is>
          <t>3 pts</t>
        </is>
      </c>
      <c r="D122" s="16" t="inlineStr">
        <is>
          <t>O trabalho apresenta recursos textuais e visuais (gráficos, tabelas de DRE).</t>
        </is>
      </c>
      <c r="E122" s="17" t="inlineStr">
        <is>
          <t>col. AF (era 2 pts)</t>
        </is>
      </c>
    </row>
    <row r="123" ht="25.5" customHeight="1" s="60">
      <c r="C123" s="18" t="n">
        <v>3</v>
      </c>
      <c r="D123" s="19" t="inlineStr">
        <is>
          <t>Todo gráfico/tabela é citado no texto E sustenta uma afirmação da análise.</t>
        </is>
      </c>
      <c r="E123" s="45" t="n"/>
    </row>
    <row r="124" ht="25.5" customHeight="1" s="60">
      <c r="C124" s="22" t="n">
        <v>2</v>
      </c>
      <c r="D124" s="19" t="inlineStr">
        <is>
          <t>Os recursos são corretos e citados, mas alguns são decorativos (não provam nada).</t>
        </is>
      </c>
      <c r="E124" s="45" t="n"/>
    </row>
    <row r="125" ht="25.5" customHeight="1" s="60">
      <c r="C125" s="23" t="n">
        <v>1</v>
      </c>
      <c r="D125" s="19" t="inlineStr">
        <is>
          <t>Há recursos, mas soltos — não citados no texto, ou com erro de leitura (eixo, escala, unidade).</t>
        </is>
      </c>
      <c r="E125" s="45" t="n"/>
    </row>
    <row r="126" ht="25.5" customHeight="1" s="60">
      <c r="C126" s="25" t="n">
        <v>0</v>
      </c>
      <c r="D126" s="19" t="inlineStr">
        <is>
          <t>Nenhum gráfico ou tabela.</t>
        </is>
      </c>
      <c r="E126" s="45" t="n"/>
    </row>
    <row r="127" ht="21.75" customHeight="1" s="60">
      <c r="D127" s="27" t="inlineStr">
        <is>
          <t>TESTE OPERACIONAL:  Quantidade não é critério: 3 gráficos que provam algo valem mais que 8 enfeitando. Para cada recurso pergunte: que afirmação ele sustenta?</t>
        </is>
      </c>
    </row>
    <row r="128" ht="14.25" customHeight="1" s="60"/>
    <row r="129" ht="14.25" customHeight="1" s="60"/>
    <row r="130" ht="24" customHeight="1" s="60">
      <c r="B130" s="64" t="inlineStr">
        <is>
          <t>VÍDEO DO FORMULÁRIO  —  10 pontos de 100</t>
        </is>
      </c>
    </row>
    <row r="131" ht="27.75" customHeight="1" s="60">
      <c r="B131" s="13" t="inlineStr">
        <is>
          <t>V1</t>
        </is>
      </c>
      <c r="C131" s="15" t="inlineStr">
        <is>
          <t>5 pts</t>
        </is>
      </c>
      <c r="D131" s="16" t="inlineStr">
        <is>
          <t>Clareza e naturalidade na fala.</t>
        </is>
      </c>
      <c r="E131" s="17" t="inlineStr">
        <is>
          <t>col. R — substitui a nota única 0-10</t>
        </is>
      </c>
    </row>
    <row r="132" ht="25.5" customHeight="1" s="60">
      <c r="C132" s="18" t="n">
        <v>3</v>
      </c>
      <c r="D132" s="19" t="inlineStr">
        <is>
          <t>Fala com estrutura própria, sem ler. Dá pra acompanhar do começo ao fim.</t>
        </is>
      </c>
      <c r="E132" s="45" t="n"/>
    </row>
    <row r="133" ht="25.5" customHeight="1" s="60">
      <c r="C133" s="22" t="n">
        <v>2</v>
      </c>
      <c r="D133" s="19" t="inlineStr">
        <is>
          <t>Boa fala, com apoio visível de roteiro.</t>
        </is>
      </c>
      <c r="E133" s="45" t="n"/>
    </row>
    <row r="134" ht="25.5" customHeight="1" s="60">
      <c r="C134" s="23" t="n">
        <v>1</v>
      </c>
      <c r="D134" s="19" t="inlineStr">
        <is>
          <t>Lê integralmente, mas é compreensível.</t>
        </is>
      </c>
      <c r="E134" s="45" t="n"/>
    </row>
    <row r="135" ht="25.5" customHeight="1" s="60">
      <c r="C135" s="25" t="n">
        <v>0</v>
      </c>
      <c r="D135" s="19" t="inlineStr">
        <is>
          <t>Não dá pra acompanhar, ou não gravou.</t>
        </is>
      </c>
      <c r="E135" s="45" t="n"/>
    </row>
    <row r="136" ht="21.75" customHeight="1" s="60">
      <c r="D136" s="27" t="inlineStr">
        <is>
          <t>TESTE OPERACIONAL:  Não julgue o conteúdo aqui, só a entrega da fala.</t>
        </is>
      </c>
    </row>
    <row r="137" ht="14.25" customHeight="1" s="60"/>
    <row r="138" ht="27.75" customHeight="1" s="60">
      <c r="B138" s="13" t="inlineStr">
        <is>
          <t>V2</t>
        </is>
      </c>
      <c r="C138" s="15" t="inlineStr">
        <is>
          <t>5 pts</t>
        </is>
      </c>
      <c r="D138" s="16" t="inlineStr">
        <is>
          <t>Apresenta motivo concreto para entrar no CCU.</t>
        </is>
      </c>
      <c r="E138" s="17" t="inlineStr">
        <is>
          <t>col. R — substitui a nota única 0-10</t>
        </is>
      </c>
    </row>
    <row r="139" ht="25.5" customHeight="1" s="60">
      <c r="C139" s="18" t="n">
        <v>3</v>
      </c>
      <c r="D139" s="19" t="inlineStr">
        <is>
          <t>Cita algo específico do CCU (projeto, área, evento) e conecta com o que quer desenvolver.</t>
        </is>
      </c>
      <c r="E139" s="45" t="n"/>
    </row>
    <row r="140" ht="25.5" customHeight="1" s="60">
      <c r="C140" s="22" t="n">
        <v>2</v>
      </c>
      <c r="D140" s="19" t="inlineStr">
        <is>
          <t>Motivo real, mas genérico (quero aprender consultoria).</t>
        </is>
      </c>
      <c r="E140" s="45" t="n"/>
    </row>
    <row r="141" ht="25.5" customHeight="1" s="60">
      <c r="C141" s="23" t="n">
        <v>1</v>
      </c>
      <c r="D141" s="19" t="inlineStr">
        <is>
          <t>Motivo circunstancial (tenho tempo livre, tenho carro pra ir aos eventos).</t>
        </is>
      </c>
      <c r="E141" s="45" t="n"/>
    </row>
    <row r="142" ht="25.5" customHeight="1" s="60">
      <c r="C142" s="25" t="n">
        <v>0</v>
      </c>
      <c r="D142" s="19" t="inlineStr">
        <is>
          <t>Não respondeu à pergunta.</t>
        </is>
      </c>
      <c r="E142" s="45" t="n"/>
    </row>
    <row r="143" ht="21.75" customHeight="1" s="60">
      <c r="D143" s="27" t="inlineStr">
        <is>
          <t>TESTE OPERACIONAL:  O motivo dele serviria pra qualquer entidade da Unicamp? Então é 1.</t>
        </is>
      </c>
    </row>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7">
    <mergeCell ref="B4:E4"/>
    <mergeCell ref="B65:E65"/>
    <mergeCell ref="B64:E64"/>
    <mergeCell ref="B130:E130"/>
    <mergeCell ref="B109:E109"/>
    <mergeCell ref="B2:E2"/>
    <mergeCell ref="B34:E34"/>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2:AI206"/>
  <sheetViews>
    <sheetView workbookViewId="0">
      <pane xSplit="4" ySplit="5" topLeftCell="E6" activePane="bottomRight" state="frozen"/>
      <selection pane="topRight" activeCell="E1" sqref="E1"/>
      <selection pane="bottomLeft" activeCell="A6" sqref="A6"/>
      <selection pane="bottomRight" activeCell="E6" sqref="E6"/>
    </sheetView>
  </sheetViews>
  <sheetFormatPr baseColWidth="8" defaultColWidth="14.43" defaultRowHeight="15" customHeight="1"/>
  <cols>
    <col width="5" customWidth="1" style="60" min="1" max="1"/>
    <col width="26" customWidth="1" style="60" min="2" max="2"/>
    <col width="34" customWidth="1" style="60" min="3" max="3"/>
    <col width="16" customWidth="1" style="60" min="4" max="4"/>
    <col width="11" customWidth="1" style="60" min="5" max="10"/>
    <col width="6" customWidth="1" style="60" min="11" max="14"/>
    <col width="30" customWidth="1" style="60" min="15" max="15"/>
    <col width="6" customWidth="1" style="60" min="16" max="19"/>
    <col width="30" customWidth="1" style="60" min="20" max="20"/>
    <col width="6" customWidth="1" style="60" min="21" max="26"/>
    <col width="30" customWidth="1" style="60" min="27" max="27"/>
    <col width="6" customWidth="1" style="60" min="28" max="33"/>
    <col width="30" customWidth="1" style="60" min="34" max="34"/>
    <col width="40" customWidth="1" style="60" min="35" max="35"/>
  </cols>
  <sheetData>
    <row r="1" ht="14.25" customHeight="1" s="60"/>
    <row r="2" ht="25.5" customHeight="1" s="60">
      <c r="B2" s="66" t="inlineStr">
        <is>
          <t>AVALIAÇÃO — uma linha por candidato POR AVALIADOR. Cada candidato deve aparecer 2 vezes.</t>
        </is>
      </c>
    </row>
    <row r="3" ht="14.25" customHeight="1" s="60"/>
    <row r="4" ht="19.5" customHeight="1" s="60">
      <c r="B4" s="11" t="inlineStr">
        <is>
          <t>Cada nome aparece 2 vezes pra terem 2 avaliadores por pessoa!</t>
        </is>
      </c>
      <c r="C4" s="42" t="n"/>
      <c r="D4" s="42" t="n"/>
      <c r="K4" s="67" t="inlineStr">
        <is>
          <t>COMUNICAÇÃO &amp; ESTRUTURA  (30)</t>
        </is>
      </c>
      <c r="P4" s="67" t="inlineStr">
        <is>
          <t>RACIOCÍNIO DE NEGÓCIO  (25)</t>
        </is>
      </c>
      <c r="U4" s="67" t="inlineStr">
        <is>
          <t>ACURÁCIA TÉCNICA  (25)</t>
        </is>
      </c>
      <c r="AB4" s="67" t="inlineStr">
        <is>
          <t>ENTREGA (CHECKLIST)  (10)</t>
        </is>
      </c>
      <c r="AF4" s="67" t="inlineStr">
        <is>
          <t>VÍDEO DO FORMULÁRIO  (10)</t>
        </is>
      </c>
    </row>
    <row r="5" ht="33.75" customHeight="1" s="60">
      <c r="A5" s="24" t="inlineStr">
        <is>
          <t>#</t>
        </is>
      </c>
      <c r="B5" s="24" t="inlineStr">
        <is>
          <t>E-mail</t>
        </is>
      </c>
      <c r="C5" s="24" t="inlineStr">
        <is>
          <t>Candidato(a)</t>
        </is>
      </c>
      <c r="D5" s="24" t="inlineStr">
        <is>
          <t>Avaliador</t>
        </is>
      </c>
      <c r="E5" s="24" t="inlineStr">
        <is>
          <t>NOTA FINAL</t>
        </is>
      </c>
      <c r="F5" s="24" t="inlineStr">
        <is>
          <t>Comunic. /30</t>
        </is>
      </c>
      <c r="G5" s="24" t="inlineStr">
        <is>
          <t>Racioc. /25</t>
        </is>
      </c>
      <c r="H5" s="24" t="inlineStr">
        <is>
          <t>Acurácia /25</t>
        </is>
      </c>
      <c r="I5" s="24" t="inlineStr">
        <is>
          <t>Entrega /10</t>
        </is>
      </c>
      <c r="J5" s="24" t="inlineStr">
        <is>
          <t>Vídeo /10</t>
        </is>
      </c>
      <c r="K5" s="26" t="inlineStr">
        <is>
          <t>C1</t>
        </is>
      </c>
      <c r="L5" s="26" t="inlineStr">
        <is>
          <t>C2</t>
        </is>
      </c>
      <c r="M5" s="26" t="inlineStr">
        <is>
          <t>C3</t>
        </is>
      </c>
      <c r="N5" s="26" t="inlineStr">
        <is>
          <t>C4</t>
        </is>
      </c>
      <c r="O5" s="28" t="inlineStr">
        <is>
          <t>Evidência — Comunicação</t>
        </is>
      </c>
      <c r="P5" s="26" t="inlineStr">
        <is>
          <t>R1</t>
        </is>
      </c>
      <c r="Q5" s="26" t="inlineStr">
        <is>
          <t>R2</t>
        </is>
      </c>
      <c r="R5" s="26" t="inlineStr">
        <is>
          <t>R3</t>
        </is>
      </c>
      <c r="S5" s="26" t="inlineStr">
        <is>
          <t>R4</t>
        </is>
      </c>
      <c r="T5" s="28" t="inlineStr">
        <is>
          <t>Evidência — Raciocínio</t>
        </is>
      </c>
      <c r="U5" s="26" t="inlineStr">
        <is>
          <t>A1</t>
        </is>
      </c>
      <c r="V5" s="26" t="inlineStr">
        <is>
          <t>A2</t>
        </is>
      </c>
      <c r="W5" s="26" t="inlineStr">
        <is>
          <t>A3</t>
        </is>
      </c>
      <c r="X5" s="26" t="inlineStr">
        <is>
          <t>A4</t>
        </is>
      </c>
      <c r="Y5" s="26" t="inlineStr">
        <is>
          <t>A5</t>
        </is>
      </c>
      <c r="Z5" s="26" t="inlineStr">
        <is>
          <t>A6</t>
        </is>
      </c>
      <c r="AA5" s="28" t="inlineStr">
        <is>
          <t>Evidência — Acurácia</t>
        </is>
      </c>
      <c r="AB5" s="26" t="inlineStr">
        <is>
          <t>E1</t>
        </is>
      </c>
      <c r="AC5" s="26" t="inlineStr">
        <is>
          <t>E2</t>
        </is>
      </c>
      <c r="AD5" s="26" t="inlineStr">
        <is>
          <t>E3</t>
        </is>
      </c>
      <c r="AE5" s="26" t="inlineStr">
        <is>
          <t>E4</t>
        </is>
      </c>
      <c r="AF5" s="26" t="inlineStr">
        <is>
          <t>V1</t>
        </is>
      </c>
      <c r="AG5" s="26" t="inlineStr">
        <is>
          <t>V2</t>
        </is>
      </c>
      <c r="AH5" s="28" t="inlineStr">
        <is>
          <t>Evidência — Vídeo</t>
        </is>
      </c>
      <c r="AI5" s="24" t="inlineStr">
        <is>
          <t>Comentário geral</t>
        </is>
      </c>
    </row>
    <row r="6" ht="14.25" customHeight="1" s="60">
      <c r="C6" s="31" t="inlineStr">
        <is>
          <t>Modelo (entrega nota máxima)</t>
        </is>
      </c>
      <c r="E6" s="33">
        <f>IF(COUNT(K6:AG6)=0,"",ROUND((F6+G6+H6+I6+J6)/10,2))</f>
        <v/>
      </c>
      <c r="F6" s="34">
        <f>IF(COUNT(K6:AG6)=0,"",(K6*10+L6*8+M6*7+N6*5)/3)</f>
        <v/>
      </c>
      <c r="G6" s="34">
        <f>IF(COUNT(K6:AG6)=0,"",(P6*8+Q6*7+R6*5+S6*5)/3)</f>
        <v/>
      </c>
      <c r="H6" s="34">
        <f>IF(COUNT(K6:AG6)=0,"",(U6*6+V6*6+W6*4+X6*3+Y6*3+Z6*3)/3)</f>
        <v/>
      </c>
      <c r="I6" s="34">
        <f>IF(COUNT(K6:AG6)=0,"",AB6*3+AC6*2+AD6*2+AE6*1)</f>
        <v/>
      </c>
      <c r="J6" s="34">
        <f>IF(COUNT(K6:AG6)=0,"",(AF6*5+AG6*5)/3)</f>
        <v/>
      </c>
      <c r="K6" s="41" t="n">
        <v>3</v>
      </c>
      <c r="L6" s="41" t="n">
        <v>3</v>
      </c>
      <c r="M6" s="41" t="n">
        <v>3</v>
      </c>
      <c r="N6" s="41" t="n">
        <v>3</v>
      </c>
      <c r="O6" s="37" t="inlineStr">
        <is>
          <t>C1=3: slide 2, "Fechar a Loja 5 e migrar p/ B2B eleva o EBITDA em R$ 4,1mi" · C3=3: lendo só os títulos (slides 1-9) a história fecha · C4=3: padrão único em toda a entrega</t>
        </is>
      </c>
      <c r="P6" s="41" t="n">
        <v>3</v>
      </c>
      <c r="Q6" s="41" t="n">
        <v>3</v>
      </c>
      <c r="R6" s="41" t="n">
        <v>3</v>
      </c>
      <c r="S6" s="41" t="n">
        <v>3</v>
      </c>
      <c r="T6" s="37" t="inlineStr">
        <is>
          <t>R1=3: slide 2 liga o número ao argumento de negócio · R2=3: compara fechar vs. reformar no slide 7 e justifica o descarte · R3=3: análise de sazonalidade (slide 10) mudou a recomendação</t>
        </is>
      </c>
      <c r="U6" s="41" t="n">
        <v>3</v>
      </c>
      <c r="V6" s="41" t="n">
        <v>3</v>
      </c>
      <c r="W6" s="41" t="n">
        <v>3</v>
      </c>
      <c r="X6" s="41" t="n">
        <v>3</v>
      </c>
      <c r="Y6" s="41" t="n">
        <v>3</v>
      </c>
      <c r="Z6" s="41" t="n">
        <v>3</v>
      </c>
      <c r="AA6" s="37" t="inlineStr">
        <is>
          <t>A1=3: Excel, aba "Loja 5", D12-D18 · A2=3: aba "SG&amp;A", C4-C11 · A6=3: apontou no slide 3 que a DRE não fecha por R$ 120k e explicou como tratou</t>
        </is>
      </c>
      <c r="AB6" s="41" t="n">
        <v>1</v>
      </c>
      <c r="AC6" s="41" t="n">
        <v>1</v>
      </c>
      <c r="AD6" s="41" t="n">
        <v>1</v>
      </c>
      <c r="AE6" s="41" t="n">
        <v>3</v>
      </c>
      <c r="AF6" s="41" t="n">
        <v>3</v>
      </c>
      <c r="AG6" s="41" t="n">
        <v>3</v>
      </c>
      <c r="AH6" s="37" t="inlineStr">
        <is>
          <t>V1=3: fala solta o vídeo inteiro, sem ler · V2=3: cita o projeto X aos 2:15</t>
        </is>
      </c>
    </row>
    <row r="7" ht="14.25" customHeight="1" s="60">
      <c r="B7" s="38" t="inlineStr">
        <is>
          <t>g278083@dac.unicamp.br</t>
        </is>
      </c>
      <c r="C7" s="30" t="inlineStr">
        <is>
          <t>Gabrielle Cristofani do Rosario</t>
        </is>
      </c>
      <c r="D7" s="30" t="inlineStr">
        <is>
          <t xml:space="preserve">victor </t>
        </is>
      </c>
      <c r="E7" s="33">
        <f>IF(COUNT(K7:AG7)=0,"",ROUND((F7+G7+H7+I7+J7)/10,2))</f>
        <v/>
      </c>
      <c r="F7" s="34">
        <f>IF(COUNT(K7:AG7)=0,"",(K7*10+L7*8+M7*7+N7*5)/3)</f>
        <v/>
      </c>
      <c r="G7" s="34">
        <f>IF(COUNT(K7:AG7)=0,"",(P7*8+Q7*7+R7*5+S7*5)/3)</f>
        <v/>
      </c>
      <c r="H7" s="34">
        <f>IF(COUNT(K7:AG7)=0,"",(U7*6+V7*6+W7*4+X7*3+Y7*3+Z7*3)/3)</f>
        <v/>
      </c>
      <c r="I7" s="34">
        <f>IF(COUNT(K7:AG7)=0,"",AB7*3+AC7*2+AD7*2+AE7*1)</f>
        <v/>
      </c>
      <c r="J7" s="34">
        <f>IF(COUNT(K7:AG7)=0,"",(AF7*5+AG7*5)/3)</f>
        <v/>
      </c>
      <c r="K7" s="41" t="n"/>
      <c r="L7" s="41" t="n"/>
      <c r="M7" s="41" t="n"/>
      <c r="N7" s="41" t="n"/>
      <c r="P7" s="41" t="n"/>
      <c r="Q7" s="41" t="n"/>
      <c r="R7" s="41" t="n"/>
      <c r="S7" s="41" t="n"/>
      <c r="U7" s="41" t="n"/>
      <c r="V7" s="41" t="n"/>
      <c r="W7" s="41" t="n"/>
      <c r="X7" s="41" t="n"/>
      <c r="Y7" s="41" t="n"/>
      <c r="Z7" s="41" t="n"/>
      <c r="AB7" s="41" t="n"/>
      <c r="AC7" s="41" t="n"/>
      <c r="AD7" s="41" t="n"/>
      <c r="AE7" s="41" t="n"/>
      <c r="AF7" s="41" t="n">
        <v>2</v>
      </c>
      <c r="AG7" s="41" t="n">
        <v>2</v>
      </c>
      <c r="AI7" s="30" t="inlineStr">
        <is>
          <t xml:space="preserve">v2 talvez seja 3 </t>
        </is>
      </c>
    </row>
    <row r="8" ht="14.25" customHeight="1" s="60">
      <c r="B8" s="38" t="inlineStr">
        <is>
          <t>b309603@dac.unicamp.br</t>
        </is>
      </c>
      <c r="C8" s="30" t="inlineStr">
        <is>
          <t>Bruno Heberth Oliveira Bastos</t>
        </is>
      </c>
      <c r="D8" s="30" t="inlineStr">
        <is>
          <t xml:space="preserve">victor </t>
        </is>
      </c>
      <c r="E8" s="33">
        <f>IF(COUNT(K8:AG8)=0,"",ROUND((F8+G8+H8+I8+J8)/10,2))</f>
        <v/>
      </c>
      <c r="F8" s="34">
        <f>IF(COUNT(K8:AG8)=0,"",(K8*10+L8*8+M8*7+N8*5)/3)</f>
        <v/>
      </c>
      <c r="G8" s="34">
        <f>IF(COUNT(K8:AG8)=0,"",(P8*8+Q8*7+R8*5+S8*5)/3)</f>
        <v/>
      </c>
      <c r="H8" s="34">
        <f>IF(COUNT(K8:AG8)=0,"",(U8*6+V8*6+W8*4+X8*3+Y8*3+Z8*3)/3)</f>
        <v/>
      </c>
      <c r="I8" s="34">
        <f>IF(COUNT(K8:AG8)=0,"",AB8*3+AC8*2+AD8*2+AE8*1)</f>
        <v/>
      </c>
      <c r="J8" s="34">
        <f>IF(COUNT(K8:AG8)=0,"",(AF8*5+AG8*5)/3)</f>
        <v/>
      </c>
      <c r="K8" s="41" t="n"/>
      <c r="L8" s="41" t="n"/>
      <c r="M8" s="41" t="n"/>
      <c r="N8" s="41" t="n"/>
      <c r="P8" s="41" t="n"/>
      <c r="Q8" s="41" t="n"/>
      <c r="R8" s="41" t="n"/>
      <c r="S8" s="41" t="n"/>
      <c r="U8" s="41" t="n"/>
      <c r="V8" s="41" t="n"/>
      <c r="W8" s="41" t="n"/>
      <c r="X8" s="41" t="n"/>
      <c r="Y8" s="41" t="n"/>
      <c r="Z8" s="41" t="n"/>
      <c r="AB8" s="41" t="n"/>
      <c r="AC8" s="41" t="n"/>
      <c r="AD8" s="41" t="n"/>
      <c r="AE8" s="41" t="n"/>
      <c r="AF8" s="41" t="n">
        <v>3</v>
      </c>
      <c r="AG8" s="41" t="n">
        <v>1</v>
      </c>
      <c r="AI8" s="30" t="inlineStr">
        <is>
          <t xml:space="preserve">É da Adm n dá </t>
        </is>
      </c>
    </row>
    <row r="9" ht="14.25" customHeight="1" s="60">
      <c r="B9" s="42" t="inlineStr">
        <is>
          <t>j309764@dac.unicamp.br</t>
        </is>
      </c>
      <c r="C9" s="30" t="inlineStr">
        <is>
          <t>João Pedro Mendes Stama</t>
        </is>
      </c>
      <c r="D9" s="30" t="inlineStr">
        <is>
          <t xml:space="preserve">victor </t>
        </is>
      </c>
      <c r="E9" s="33">
        <f>IF(COUNT(K9:AG9)=0,"",ROUND((F9+G9+H9+I9+J9)/10,2))</f>
        <v/>
      </c>
      <c r="F9" s="34">
        <f>IF(COUNT(K9:AG9)=0,"",(K9*10+L9*8+M9*7+N9*5)/3)</f>
        <v/>
      </c>
      <c r="G9" s="34">
        <f>IF(COUNT(K9:AG9)=0,"",(P9*8+Q9*7+R9*5+S9*5)/3)</f>
        <v/>
      </c>
      <c r="H9" s="34">
        <f>IF(COUNT(K9:AG9)=0,"",(U9*6+V9*6+W9*4+X9*3+Y9*3+Z9*3)/3)</f>
        <v/>
      </c>
      <c r="I9" s="34">
        <f>IF(COUNT(K9:AG9)=0,"",AB9*3+AC9*2+AD9*2+AE9*1)</f>
        <v/>
      </c>
      <c r="J9" s="34">
        <f>IF(COUNT(K9:AG9)=0,"",(AF9*5+AG9*5)/3)</f>
        <v/>
      </c>
      <c r="K9" s="41" t="n"/>
      <c r="L9" s="41" t="n"/>
      <c r="M9" s="41" t="n"/>
      <c r="N9" s="41" t="n"/>
      <c r="P9" s="41" t="n"/>
      <c r="Q9" s="41" t="n"/>
      <c r="R9" s="41" t="n"/>
      <c r="S9" s="41" t="n"/>
      <c r="U9" s="41" t="n"/>
      <c r="V9" s="41" t="n"/>
      <c r="W9" s="41" t="n"/>
      <c r="X9" s="41" t="n"/>
      <c r="Y9" s="41" t="n"/>
      <c r="Z9" s="41" t="n"/>
      <c r="AB9" s="41" t="n"/>
      <c r="AC9" s="41" t="n"/>
      <c r="AD9" s="41" t="n"/>
      <c r="AE9" s="41" t="n"/>
      <c r="AF9" s="41" t="n">
        <v>3</v>
      </c>
      <c r="AG9" s="41" t="n">
        <v>2</v>
      </c>
      <c r="AI9" s="30" t="inlineStr">
        <is>
          <t>N passaria fez o gmat na cama mas parece legal</t>
        </is>
      </c>
    </row>
    <row r="10" ht="14.25" customHeight="1" s="60">
      <c r="B10" s="38" t="inlineStr">
        <is>
          <t>r238449@dac.unicamp.br</t>
        </is>
      </c>
      <c r="C10" s="30" t="inlineStr">
        <is>
          <t>Rafael Ponciano Rodrigues dos Santos</t>
        </is>
      </c>
      <c r="D10" s="30" t="inlineStr">
        <is>
          <t>luis</t>
        </is>
      </c>
      <c r="E10" s="33">
        <f>IF(COUNT(K10:AG10)=0,"",ROUND((F10+G10+H10+I10+J10)/10,2))</f>
        <v/>
      </c>
      <c r="F10" s="34">
        <f>IF(COUNT(K10:AG10)=0,"",(K10*10+L10*8+M10*7+N10*5)/3)</f>
        <v/>
      </c>
      <c r="G10" s="34">
        <f>IF(COUNT(K10:AG10)=0,"",(P10*8+Q10*7+R10*5+S10*5)/3)</f>
        <v/>
      </c>
      <c r="H10" s="34">
        <f>IF(COUNT(K10:AG10)=0,"",(U10*6+V10*6+W10*4+X10*3+Y10*3+Z10*3)/3)</f>
        <v/>
      </c>
      <c r="I10" s="34">
        <f>IF(COUNT(K10:AG10)=0,"",AB10*3+AC10*2+AD10*2+AE10*1)</f>
        <v/>
      </c>
      <c r="J10" s="34">
        <f>IF(COUNT(K10:AG10)=0,"",(AF10*5+AG10*5)/3)</f>
        <v/>
      </c>
      <c r="K10" s="41" t="n"/>
      <c r="L10" s="41" t="n"/>
      <c r="M10" s="41" t="n"/>
      <c r="N10" s="41" t="n"/>
      <c r="P10" s="41" t="n"/>
      <c r="Q10" s="41" t="n"/>
      <c r="R10" s="41" t="n"/>
      <c r="S10" s="41" t="n"/>
      <c r="U10" s="41" t="n"/>
      <c r="V10" s="41" t="n"/>
      <c r="W10" s="41" t="n"/>
      <c r="X10" s="41" t="n"/>
      <c r="Y10" s="41" t="n"/>
      <c r="Z10" s="41" t="n"/>
      <c r="AB10" s="41" t="n"/>
      <c r="AC10" s="41" t="n"/>
      <c r="AD10" s="41" t="n"/>
      <c r="AE10" s="41" t="n"/>
      <c r="AF10" s="41" t="n">
        <v>3</v>
      </c>
      <c r="AG10" s="41" t="n">
        <v>2</v>
      </c>
      <c r="AI10" s="30" t="inlineStr">
        <is>
          <t>n falou nada do clube e tem um canal de 40 k de inscritos👍</t>
        </is>
      </c>
    </row>
    <row r="11" ht="14.25" customHeight="1" s="60">
      <c r="B11" s="38" t="inlineStr">
        <is>
          <t>enzo.gag17@gmail.com</t>
        </is>
      </c>
      <c r="C11" s="30" t="inlineStr">
        <is>
          <t>Enzo Chofakian Gagliardi</t>
        </is>
      </c>
      <c r="D11" s="30" t="inlineStr">
        <is>
          <t xml:space="preserve">victor </t>
        </is>
      </c>
      <c r="E11" s="33">
        <f>IF(COUNT(K11:AG11)=0,"",ROUND((F11+G11+H11+I11+J11)/10,2))</f>
        <v/>
      </c>
      <c r="F11" s="34">
        <f>IF(COUNT(K11:AG11)=0,"",(K11*10+L11*8+M11*7+N11*5)/3)</f>
        <v/>
      </c>
      <c r="G11" s="34">
        <f>IF(COUNT(K11:AG11)=0,"",(P11*8+Q11*7+R11*5+S11*5)/3)</f>
        <v/>
      </c>
      <c r="H11" s="34">
        <f>IF(COUNT(K11:AG11)=0,"",(U11*6+V11*6+W11*4+X11*3+Y11*3+Z11*3)/3)</f>
        <v/>
      </c>
      <c r="I11" s="34">
        <f>IF(COUNT(K11:AG11)=0,"",AB11*3+AC11*2+AD11*2+AE11*1)</f>
        <v/>
      </c>
      <c r="J11" s="34">
        <f>IF(COUNT(K11:AG11)=0,"",(AF11*5+AG11*5)/3)</f>
        <v/>
      </c>
      <c r="K11" s="41" t="n"/>
      <c r="L11" s="41" t="n"/>
      <c r="M11" s="41" t="n"/>
      <c r="N11" s="41" t="n"/>
      <c r="P11" s="41" t="n"/>
      <c r="Q11" s="41" t="n"/>
      <c r="R11" s="41" t="n"/>
      <c r="S11" s="41" t="n"/>
      <c r="U11" s="41" t="n"/>
      <c r="V11" s="41" t="n"/>
      <c r="W11" s="41" t="n"/>
      <c r="X11" s="41" t="n"/>
      <c r="Y11" s="41" t="n"/>
      <c r="Z11" s="41" t="n"/>
      <c r="AB11" s="41" t="n"/>
      <c r="AC11" s="41" t="n"/>
      <c r="AD11" s="41" t="n"/>
      <c r="AE11" s="41" t="n"/>
      <c r="AF11" s="41" t="n">
        <v>2</v>
      </c>
      <c r="AG11" s="41" t="n">
        <v>2</v>
      </c>
      <c r="AI11" s="30" t="inlineStr">
        <is>
          <t>ok</t>
        </is>
      </c>
    </row>
    <row r="12" ht="14.25" customHeight="1" s="60">
      <c r="B12" s="38" t="inlineStr">
        <is>
          <t>e278588@dac.unicamp.br</t>
        </is>
      </c>
      <c r="C12" s="30" t="inlineStr">
        <is>
          <t>Enrico Tristão e Mello de Oliveira</t>
        </is>
      </c>
      <c r="D12" s="30" t="inlineStr">
        <is>
          <t xml:space="preserve">victor </t>
        </is>
      </c>
      <c r="E12" s="33">
        <f>IF(COUNT(K12:AG12)=0,"",ROUND((F12+G12+H12+I12+J12)/10,2))</f>
        <v/>
      </c>
      <c r="F12" s="34">
        <f>IF(COUNT(K12:AG12)=0,"",(K12*10+L12*8+M12*7+N12*5)/3)</f>
        <v/>
      </c>
      <c r="G12" s="34">
        <f>IF(COUNT(K12:AG12)=0,"",(P12*8+Q12*7+R12*5+S12*5)/3)</f>
        <v/>
      </c>
      <c r="H12" s="34">
        <f>IF(COUNT(K12:AG12)=0,"",(U12*6+V12*6+W12*4+X12*3+Y12*3+Z12*3)/3)</f>
        <v/>
      </c>
      <c r="I12" s="34">
        <f>IF(COUNT(K12:AG12)=0,"",AB12*3+AC12*2+AD12*2+AE12*1)</f>
        <v/>
      </c>
      <c r="J12" s="34">
        <f>IF(COUNT(K12:AG12)=0,"",(AF12*5+AG12*5)/3)</f>
        <v/>
      </c>
      <c r="K12" s="41" t="n"/>
      <c r="L12" s="41" t="n"/>
      <c r="M12" s="41" t="n"/>
      <c r="N12" s="41" t="n"/>
      <c r="P12" s="41" t="n"/>
      <c r="Q12" s="41" t="n"/>
      <c r="R12" s="41" t="n"/>
      <c r="S12" s="41" t="n"/>
      <c r="U12" s="41" t="n"/>
      <c r="V12" s="41" t="n"/>
      <c r="W12" s="41" t="n"/>
      <c r="X12" s="41" t="n"/>
      <c r="Y12" s="41" t="n"/>
      <c r="Z12" s="41" t="n"/>
      <c r="AB12" s="41" t="n"/>
      <c r="AC12" s="41" t="n"/>
      <c r="AD12" s="41" t="n"/>
      <c r="AE12" s="41" t="n"/>
      <c r="AF12" s="41" t="n">
        <v>2</v>
      </c>
      <c r="AG12" s="41" t="n">
        <v>1</v>
      </c>
      <c r="AI12" s="30" t="inlineStr">
        <is>
          <t xml:space="preserve">N falou nada do clube só do mercado </t>
        </is>
      </c>
    </row>
    <row r="13" ht="14.25" customHeight="1" s="60">
      <c r="B13" s="38" t="inlineStr">
        <is>
          <t>e221509@dac.unicamp.br</t>
        </is>
      </c>
      <c r="C13" s="30" t="inlineStr">
        <is>
          <t>Eduardo Alves Henrique</t>
        </is>
      </c>
      <c r="D13" s="30" t="inlineStr">
        <is>
          <t xml:space="preserve">victor </t>
        </is>
      </c>
      <c r="E13" s="33">
        <f>IF(COUNT(K13:AG13)=0,"",ROUND((F13+G13+H13+I13+J13)/10,2))</f>
        <v/>
      </c>
      <c r="F13" s="34">
        <f>IF(COUNT(K13:AG13)=0,"",(K13*10+L13*8+M13*7+N13*5)/3)</f>
        <v/>
      </c>
      <c r="G13" s="34">
        <f>IF(COUNT(K13:AG13)=0,"",(P13*8+Q13*7+R13*5+S13*5)/3)</f>
        <v/>
      </c>
      <c r="H13" s="34">
        <f>IF(COUNT(K13:AG13)=0,"",(U13*6+V13*6+W13*4+X13*3+Y13*3+Z13*3)/3)</f>
        <v/>
      </c>
      <c r="I13" s="34">
        <f>IF(COUNT(K13:AG13)=0,"",AB13*3+AC13*2+AD13*2+AE13*1)</f>
        <v/>
      </c>
      <c r="J13" s="34">
        <f>IF(COUNT(K13:AG13)=0,"",(AF13*5+AG13*5)/3)</f>
        <v/>
      </c>
      <c r="K13" s="41" t="n"/>
      <c r="L13" s="41" t="n"/>
      <c r="M13" s="41" t="n"/>
      <c r="N13" s="41" t="n"/>
      <c r="P13" s="41" t="n"/>
      <c r="Q13" s="41" t="n"/>
      <c r="R13" s="41" t="n"/>
      <c r="S13" s="41" t="n"/>
      <c r="U13" s="41" t="n"/>
      <c r="V13" s="41" t="n"/>
      <c r="W13" s="41" t="n"/>
      <c r="X13" s="41" t="n"/>
      <c r="Y13" s="41" t="n"/>
      <c r="Z13" s="41" t="n"/>
      <c r="AB13" s="41" t="n"/>
      <c r="AC13" s="41" t="n"/>
      <c r="AD13" s="41" t="n"/>
      <c r="AE13" s="41" t="n"/>
      <c r="AF13" s="41" t="n">
        <v>2</v>
      </c>
      <c r="AG13" s="41" t="n">
        <v>0</v>
      </c>
      <c r="AI13" s="30" t="inlineStr">
        <is>
          <t>Só falou que queria o CCU pra pegar cargo e ter no currículo</t>
        </is>
      </c>
    </row>
    <row r="14" ht="14.25" customHeight="1" s="60">
      <c r="B14" s="38" t="inlineStr">
        <is>
          <t>l304532@dac.unicamp.br</t>
        </is>
      </c>
      <c r="C14" s="30" t="inlineStr">
        <is>
          <t>Leandra Cunha de Souza</t>
        </is>
      </c>
      <c r="D14" s="30" t="inlineStr">
        <is>
          <t xml:space="preserve">victor </t>
        </is>
      </c>
      <c r="E14" s="33">
        <f>IF(COUNT(K14:AG14)=0,"",ROUND((F14+G14+H14+I14+J14)/10,2))</f>
        <v/>
      </c>
      <c r="F14" s="34">
        <f>IF(COUNT(K14:AG14)=0,"",(K14*10+L14*8+M14*7+N14*5)/3)</f>
        <v/>
      </c>
      <c r="G14" s="34">
        <f>IF(COUNT(K14:AG14)=0,"",(P14*8+Q14*7+R14*5+S14*5)/3)</f>
        <v/>
      </c>
      <c r="H14" s="34">
        <f>IF(COUNT(K14:AG14)=0,"",(U14*6+V14*6+W14*4+X14*3+Y14*3+Z14*3)/3)</f>
        <v/>
      </c>
      <c r="I14" s="34">
        <f>IF(COUNT(K14:AG14)=0,"",AB14*3+AC14*2+AD14*2+AE14*1)</f>
        <v/>
      </c>
      <c r="J14" s="34">
        <f>IF(COUNT(K14:AG14)=0,"",(AF14*5+AG14*5)/3)</f>
        <v/>
      </c>
      <c r="K14" s="41" t="n"/>
      <c r="L14" s="41" t="n"/>
      <c r="M14" s="41" t="n"/>
      <c r="N14" s="41" t="n"/>
      <c r="P14" s="41" t="n"/>
      <c r="Q14" s="41" t="n"/>
      <c r="R14" s="41" t="n"/>
      <c r="S14" s="41" t="n"/>
      <c r="U14" s="41" t="n"/>
      <c r="V14" s="41" t="n"/>
      <c r="W14" s="41" t="n"/>
      <c r="X14" s="41" t="n"/>
      <c r="Y14" s="41" t="n"/>
      <c r="Z14" s="41" t="n"/>
      <c r="AB14" s="41" t="n"/>
      <c r="AC14" s="41" t="n"/>
      <c r="AD14" s="41" t="n"/>
      <c r="AE14" s="41" t="n"/>
      <c r="AF14" s="41" t="n">
        <v>2</v>
      </c>
      <c r="AG14" s="41" t="n">
        <v>2</v>
      </c>
      <c r="AI14" s="30" t="inlineStr">
        <is>
          <t>Mid, muitas experiencias mas todas na escola, achei confusa a resposta só saiu citando coisas q fez</t>
        </is>
      </c>
    </row>
    <row r="15" ht="14.25" customHeight="1" s="60">
      <c r="B15" s="38" t="inlineStr">
        <is>
          <t>v188630@dac.unicamp.br</t>
        </is>
      </c>
      <c r="C15" s="30" t="inlineStr">
        <is>
          <t>Vagner Ássimos Gomes Carlos Filho</t>
        </is>
      </c>
      <c r="D15" s="30" t="inlineStr">
        <is>
          <t>victor</t>
        </is>
      </c>
      <c r="E15" s="33">
        <f>IF(COUNT(K15:AG15)=0,"",ROUND((F15+G15+H15+I15+J15)/10,2))</f>
        <v/>
      </c>
      <c r="F15" s="34">
        <f>IF(COUNT(K15:AG15)=0,"",(K15*10+L15*8+M15*7+N15*5)/3)</f>
        <v/>
      </c>
      <c r="G15" s="34">
        <f>IF(COUNT(K15:AG15)=0,"",(P15*8+Q15*7+R15*5+S15*5)/3)</f>
        <v/>
      </c>
      <c r="H15" s="34">
        <f>IF(COUNT(K15:AG15)=0,"",(U15*6+V15*6+W15*4+X15*3+Y15*3+Z15*3)/3)</f>
        <v/>
      </c>
      <c r="I15" s="34">
        <f>IF(COUNT(K15:AG15)=0,"",AB15*3+AC15*2+AD15*2+AE15*1)</f>
        <v/>
      </c>
      <c r="J15" s="34">
        <f>IF(COUNT(K15:AG15)=0,"",(AF15*5+AG15*5)/3)</f>
        <v/>
      </c>
      <c r="K15" s="41" t="n"/>
      <c r="L15" s="41" t="n"/>
      <c r="M15" s="41" t="n"/>
      <c r="N15" s="41" t="n"/>
      <c r="P15" s="41" t="n"/>
      <c r="Q15" s="41" t="n"/>
      <c r="R15" s="41" t="n"/>
      <c r="S15" s="41" t="n"/>
      <c r="U15" s="41" t="n"/>
      <c r="V15" s="41" t="n"/>
      <c r="W15" s="41" t="n"/>
      <c r="X15" s="41" t="n"/>
      <c r="Y15" s="41" t="n"/>
      <c r="Z15" s="41" t="n"/>
      <c r="AB15" s="41" t="n"/>
      <c r="AC15" s="41" t="n"/>
      <c r="AD15" s="41" t="n"/>
      <c r="AE15" s="41" t="n"/>
      <c r="AF15" s="41" t="n">
        <v>2</v>
      </c>
      <c r="AG15" s="41" t="n">
        <v>3</v>
      </c>
      <c r="AI15" s="30" t="inlineStr">
        <is>
          <t>Falou das palestras, n sei se tava lendo ou só olhado pra camera mas falou bem ent talvez seja 3</t>
        </is>
      </c>
    </row>
    <row r="16" ht="14.25" customHeight="1" s="60">
      <c r="B16" s="38" t="inlineStr">
        <is>
          <t>m277865@dac.unicamp.br</t>
        </is>
      </c>
      <c r="C16" s="30" t="inlineStr">
        <is>
          <t>Mariana Nunes Galvão Sant'Anna</t>
        </is>
      </c>
      <c r="D16" s="30" t="inlineStr">
        <is>
          <t xml:space="preserve">luis </t>
        </is>
      </c>
      <c r="E16" s="33">
        <f>IF(COUNT(K16:AG16)=0,"",ROUND((F16+G16+H16+I16+J16)/10,2))</f>
        <v/>
      </c>
      <c r="F16" s="34">
        <f>IF(COUNT(K16:AG16)=0,"",(K16*10+L16*8+M16*7+N16*5)/3)</f>
        <v/>
      </c>
      <c r="G16" s="34">
        <f>IF(COUNT(K16:AG16)=0,"",(P16*8+Q16*7+R16*5+S16*5)/3)</f>
        <v/>
      </c>
      <c r="H16" s="34">
        <f>IF(COUNT(K16:AG16)=0,"",(U16*6+V16*6+W16*4+X16*3+Y16*3+Z16*3)/3)</f>
        <v/>
      </c>
      <c r="I16" s="34">
        <f>IF(COUNT(K16:AG16)=0,"",AB16*3+AC16*2+AD16*2+AE16*1)</f>
        <v/>
      </c>
      <c r="J16" s="34">
        <f>IF(COUNT(K16:AG16)=0,"",(AF16*5+AG16*5)/3)</f>
        <v/>
      </c>
      <c r="K16" s="41" t="n"/>
      <c r="L16" s="41" t="n"/>
      <c r="M16" s="41" t="n"/>
      <c r="N16" s="41" t="n"/>
      <c r="P16" s="41" t="n"/>
      <c r="Q16" s="41" t="n"/>
      <c r="R16" s="41" t="n"/>
      <c r="S16" s="41" t="n"/>
      <c r="U16" s="41" t="n"/>
      <c r="V16" s="41" t="n"/>
      <c r="W16" s="41" t="n"/>
      <c r="X16" s="41" t="n"/>
      <c r="Y16" s="41" t="n"/>
      <c r="Z16" s="41" t="n"/>
      <c r="AB16" s="41" t="n"/>
      <c r="AC16" s="41" t="n"/>
      <c r="AD16" s="41" t="n"/>
      <c r="AE16" s="41" t="n"/>
      <c r="AF16" s="41" t="n">
        <v>3</v>
      </c>
      <c r="AG16" s="41" t="n">
        <v>2</v>
      </c>
      <c r="AI16" s="30" t="inlineStr">
        <is>
          <t>motivo genérico</t>
        </is>
      </c>
    </row>
    <row r="17" ht="14.25" customHeight="1" s="60">
      <c r="B17" s="38" t="inlineStr">
        <is>
          <t>a266739@dac.unicamp.br</t>
        </is>
      </c>
      <c r="C17" s="30" t="inlineStr">
        <is>
          <t>Aslan Rodrigues Maia</t>
        </is>
      </c>
      <c r="D17" s="30" t="inlineStr">
        <is>
          <t>Ferro</t>
        </is>
      </c>
      <c r="E17" s="33">
        <f>IF(COUNT(K17:AG17)=0,"",ROUND((F17+G17+H17+I17+J17)/10,2))</f>
        <v/>
      </c>
      <c r="F17" s="34">
        <f>IF(COUNT(K17:AG17)=0,"",(K17*10+L17*8+M17*7+N17*5)/3)</f>
        <v/>
      </c>
      <c r="G17" s="34">
        <f>IF(COUNT(K17:AG17)=0,"",(P17*8+Q17*7+R17*5+S17*5)/3)</f>
        <v/>
      </c>
      <c r="H17" s="34">
        <f>IF(COUNT(K17:AG17)=0,"",(U17*6+V17*6+W17*4+X17*3+Y17*3+Z17*3)/3)</f>
        <v/>
      </c>
      <c r="I17" s="34">
        <f>IF(COUNT(K17:AG17)=0,"",AB17*3+AC17*2+AD17*2+AE17*1)</f>
        <v/>
      </c>
      <c r="J17" s="34">
        <f>IF(COUNT(K17:AG17)=0,"",(AF17*5+AG17*5)/3)</f>
        <v/>
      </c>
      <c r="K17" s="41" t="n"/>
      <c r="L17" s="41" t="n"/>
      <c r="M17" s="41" t="n"/>
      <c r="N17" s="41" t="n"/>
      <c r="P17" s="41" t="n"/>
      <c r="Q17" s="41" t="n"/>
      <c r="R17" s="41" t="n"/>
      <c r="S17" s="41" t="n"/>
      <c r="U17" s="41" t="n"/>
      <c r="V17" s="41" t="n"/>
      <c r="W17" s="41" t="n"/>
      <c r="X17" s="41" t="n"/>
      <c r="Y17" s="41" t="n"/>
      <c r="Z17" s="41" t="n"/>
      <c r="AB17" s="41" t="n"/>
      <c r="AC17" s="41" t="n"/>
      <c r="AD17" s="41" t="n"/>
      <c r="AE17" s="41" t="n"/>
      <c r="AF17" s="41" t="n">
        <v>1</v>
      </c>
      <c r="AG17" s="41" t="n">
        <v>2</v>
      </c>
      <c r="AI17" s="30" t="inlineStr">
        <is>
          <t>TIrou 2/3 do Gmat, e falou um pouco travado no vídeo, mas foi bem (não é bixo)</t>
        </is>
      </c>
    </row>
    <row r="18" ht="14.25" customHeight="1" s="60">
      <c r="B18" s="38" t="inlineStr">
        <is>
          <t>j278641@dac.unicamp.br</t>
        </is>
      </c>
      <c r="C18" s="30" t="inlineStr">
        <is>
          <t>João Gabriel de Oliveira Morcelli</t>
        </is>
      </c>
      <c r="D18" s="30" t="inlineStr">
        <is>
          <t>Ferro</t>
        </is>
      </c>
      <c r="E18" s="33">
        <f>IF(COUNT(K18:AG18)=0,"",ROUND((F18+G18+H18+I18+J18)/10,2))</f>
        <v/>
      </c>
      <c r="F18" s="34">
        <f>IF(COUNT(K18:AG18)=0,"",(K18*10+L18*8+M18*7+N18*5)/3)</f>
        <v/>
      </c>
      <c r="G18" s="34">
        <f>IF(COUNT(K18:AG18)=0,"",(P18*8+Q18*7+R18*5+S18*5)/3)</f>
        <v/>
      </c>
      <c r="H18" s="34">
        <f>IF(COUNT(K18:AG18)=0,"",(U18*6+V18*6+W18*4+X18*3+Y18*3+Z18*3)/3)</f>
        <v/>
      </c>
      <c r="I18" s="34">
        <f>IF(COUNT(K18:AG18)=0,"",AB18*3+AC18*2+AD18*2+AE18*1)</f>
        <v/>
      </c>
      <c r="J18" s="34">
        <f>IF(COUNT(K18:AG18)=0,"",(AF18*5+AG18*5)/3)</f>
        <v/>
      </c>
      <c r="K18" s="41" t="n"/>
      <c r="L18" s="41" t="n"/>
      <c r="M18" s="41" t="n"/>
      <c r="N18" s="41" t="n"/>
      <c r="P18" s="41" t="n"/>
      <c r="Q18" s="41" t="n"/>
      <c r="R18" s="41" t="n"/>
      <c r="S18" s="41" t="n"/>
      <c r="U18" s="41" t="n"/>
      <c r="V18" s="41" t="n"/>
      <c r="W18" s="41" t="n"/>
      <c r="X18" s="41" t="n"/>
      <c r="Y18" s="41" t="n"/>
      <c r="Z18" s="41" t="n"/>
      <c r="AB18" s="41" t="n"/>
      <c r="AC18" s="41" t="n"/>
      <c r="AD18" s="41" t="n"/>
      <c r="AE18" s="41" t="n"/>
      <c r="AF18" s="41" t="n">
        <v>3</v>
      </c>
      <c r="AG18" s="41" t="n">
        <v>2</v>
      </c>
      <c r="AI18" s="73" t="inlineStr">
        <is>
          <t>2/3 Gmat, fez no final sem energia, cara foi resiliente, falou muito bem no vídeo</t>
        </is>
      </c>
    </row>
    <row r="19" ht="14.25" customHeight="1" s="60">
      <c r="B19" s="38" t="inlineStr">
        <is>
          <t>r278709@dac.unicamp.br</t>
        </is>
      </c>
      <c r="C19" s="30" t="inlineStr">
        <is>
          <t>Raphael Negrini Saggioro</t>
        </is>
      </c>
      <c r="D19" s="30" t="inlineStr">
        <is>
          <t>Ferro</t>
        </is>
      </c>
      <c r="E19" s="33">
        <f>IF(COUNT(K19:AG19)=0,"",ROUND((F19+G19+H19+I19+J19)/10,2))</f>
        <v/>
      </c>
      <c r="F19" s="34">
        <f>IF(COUNT(K19:AG19)=0,"",(K19*10+L19*8+M19*7+N19*5)/3)</f>
        <v/>
      </c>
      <c r="G19" s="34">
        <f>IF(COUNT(K19:AG19)=0,"",(P19*8+Q19*7+R19*5+S19*5)/3)</f>
        <v/>
      </c>
      <c r="H19" s="34">
        <f>IF(COUNT(K19:AG19)=0,"",(U19*6+V19*6+W19*4+X19*3+Y19*3+Z19*3)/3)</f>
        <v/>
      </c>
      <c r="I19" s="34">
        <f>IF(COUNT(K19:AG19)=0,"",AB19*3+AC19*2+AD19*2+AE19*1)</f>
        <v/>
      </c>
      <c r="J19" s="34">
        <f>IF(COUNT(K19:AG19)=0,"",(AF19*5+AG19*5)/3)</f>
        <v/>
      </c>
      <c r="K19" s="41" t="n"/>
      <c r="L19" s="41" t="n"/>
      <c r="M19" s="41" t="n"/>
      <c r="N19" s="41" t="n"/>
      <c r="P19" s="41" t="n"/>
      <c r="Q19" s="41" t="n"/>
      <c r="R19" s="41" t="n"/>
      <c r="S19" s="41" t="n"/>
      <c r="U19" s="41" t="n"/>
      <c r="V19" s="41" t="n"/>
      <c r="W19" s="41" t="n"/>
      <c r="X19" s="41" t="n"/>
      <c r="Y19" s="41" t="n"/>
      <c r="Z19" s="41" t="n"/>
      <c r="AB19" s="41" t="n"/>
      <c r="AC19" s="41" t="n"/>
      <c r="AD19" s="41" t="n"/>
      <c r="AE19" s="41" t="n"/>
      <c r="AF19" s="41" t="n">
        <v>2</v>
      </c>
      <c r="AG19" s="41" t="n">
        <v>3</v>
      </c>
      <c r="AI19" s="30" t="inlineStr">
        <is>
          <t>2/3 Gmat na média, vídeo foi muito bem, citou todos projetos</t>
        </is>
      </c>
    </row>
    <row r="20" ht="14.25" customHeight="1" s="60">
      <c r="B20" s="38" t="inlineStr">
        <is>
          <t>g278107@dac.unicamp.br</t>
        </is>
      </c>
      <c r="C20" s="30" t="inlineStr">
        <is>
          <t>Gustavo Daher Pereira</t>
        </is>
      </c>
      <c r="D20" s="30" t="inlineStr">
        <is>
          <t>Ferro</t>
        </is>
      </c>
      <c r="E20" s="33">
        <f>IF(COUNT(K20:AG20)=0,"",ROUND((F20+G20+H20+I20+J20)/10,2))</f>
        <v/>
      </c>
      <c r="F20" s="34">
        <f>IF(COUNT(K20:AG20)=0,"",(K20*10+L20*8+M20*7+N20*5)/3)</f>
        <v/>
      </c>
      <c r="G20" s="34">
        <f>IF(COUNT(K20:AG20)=0,"",(P20*8+Q20*7+R20*5+S20*5)/3)</f>
        <v/>
      </c>
      <c r="H20" s="34">
        <f>IF(COUNT(K20:AG20)=0,"",(U20*6+V20*6+W20*4+X20*3+Y20*3+Z20*3)/3)</f>
        <v/>
      </c>
      <c r="I20" s="34">
        <f>IF(COUNT(K20:AG20)=0,"",AB20*3+AC20*2+AD20*2+AE20*1)</f>
        <v/>
      </c>
      <c r="J20" s="34">
        <f>IF(COUNT(K20:AG20)=0,"",(AF20*5+AG20*5)/3)</f>
        <v/>
      </c>
      <c r="K20" s="41" t="n"/>
      <c r="L20" s="41" t="n"/>
      <c r="M20" s="41" t="n"/>
      <c r="N20" s="41" t="n"/>
      <c r="P20" s="41" t="n"/>
      <c r="Q20" s="41" t="n"/>
      <c r="R20" s="41" t="n"/>
      <c r="S20" s="41" t="n"/>
      <c r="U20" s="41" t="n"/>
      <c r="V20" s="41" t="n"/>
      <c r="W20" s="41" t="n"/>
      <c r="X20" s="41" t="n"/>
      <c r="Y20" s="41" t="n"/>
      <c r="Z20" s="41" t="n"/>
      <c r="AB20" s="41" t="n"/>
      <c r="AC20" s="41" t="n"/>
      <c r="AD20" s="41" t="n"/>
      <c r="AE20" s="41" t="n"/>
      <c r="AF20" s="41" t="n">
        <v>2</v>
      </c>
      <c r="AG20" s="41" t="n">
        <v>2</v>
      </c>
      <c r="AI20" s="30" t="inlineStr">
        <is>
          <t>2/3 Gmat. Mano esse cara é a definição de estar na média</t>
        </is>
      </c>
    </row>
    <row r="21" ht="14.25" customHeight="1" s="60">
      <c r="B21" s="38" t="inlineStr">
        <is>
          <t>rickfilho2007@gmail.com</t>
        </is>
      </c>
      <c r="C21" s="30" t="inlineStr">
        <is>
          <t>Ricardo Augusto Schmitt Filho</t>
        </is>
      </c>
      <c r="D21" s="30" t="inlineStr">
        <is>
          <t>Ferro</t>
        </is>
      </c>
      <c r="E21" s="33">
        <f>IF(COUNT(K21:AG21)=0,"",ROUND((F21+G21+H21+I21+J21)/10,2))</f>
        <v/>
      </c>
      <c r="F21" s="34">
        <f>IF(COUNT(K21:AG21)=0,"",(K21*10+L21*8+M21*7+N21*5)/3)</f>
        <v/>
      </c>
      <c r="G21" s="34">
        <f>IF(COUNT(K21:AG21)=0,"",(P21*8+Q21*7+R21*5+S21*5)/3)</f>
        <v/>
      </c>
      <c r="H21" s="34">
        <f>IF(COUNT(K21:AG21)=0,"",(U21*6+V21*6+W21*4+X21*3+Y21*3+Z21*3)/3)</f>
        <v/>
      </c>
      <c r="I21" s="34">
        <f>IF(COUNT(K21:AG21)=0,"",AB21*3+AC21*2+AD21*2+AE21*1)</f>
        <v/>
      </c>
      <c r="J21" s="34">
        <f>IF(COUNT(K21:AG21)=0,"",(AF21*5+AG21*5)/3)</f>
        <v/>
      </c>
      <c r="K21" s="41" t="n"/>
      <c r="L21" s="41" t="n"/>
      <c r="M21" s="41" t="n"/>
      <c r="N21" s="41" t="n"/>
      <c r="P21" s="41" t="n"/>
      <c r="Q21" s="41" t="n"/>
      <c r="R21" s="41" t="n"/>
      <c r="S21" s="41" t="n"/>
      <c r="U21" s="41" t="n"/>
      <c r="V21" s="41" t="n"/>
      <c r="W21" s="41" t="n"/>
      <c r="X21" s="41" t="n"/>
      <c r="Y21" s="41" t="n"/>
      <c r="Z21" s="41" t="n"/>
      <c r="AB21" s="41" t="n"/>
      <c r="AC21" s="41" t="n"/>
      <c r="AD21" s="41" t="n"/>
      <c r="AE21" s="41" t="n"/>
      <c r="AF21" s="41" t="n">
        <v>2</v>
      </c>
      <c r="AG21" s="41" t="n">
        <v>2</v>
      </c>
      <c r="AI21" s="30" t="inlineStr">
        <is>
          <t>2/3 Gmat, falou bem, mas parecia ler as vezes</t>
        </is>
      </c>
    </row>
    <row r="22" ht="18.75" customHeight="1" s="60">
      <c r="B22" s="42" t="inlineStr">
        <is>
          <t>m306365@dac.unicamp.br</t>
        </is>
      </c>
      <c r="C22" s="30" t="inlineStr">
        <is>
          <t>Matheus Dias Freitas</t>
        </is>
      </c>
      <c r="D22" s="30" t="inlineStr">
        <is>
          <t>Ferro</t>
        </is>
      </c>
      <c r="E22" s="33">
        <f>IF(COUNT(K22:AG22)=0,"",ROUND((F22+G22+H22+I22+J22)/10,2))</f>
        <v/>
      </c>
      <c r="F22" s="34">
        <f>IF(COUNT(K22:AG22)=0,"",(K22*10+L22*8+M22*7+N22*5)/3)</f>
        <v/>
      </c>
      <c r="G22" s="34">
        <f>IF(COUNT(K22:AG22)=0,"",(P22*8+Q22*7+R22*5+S22*5)/3)</f>
        <v/>
      </c>
      <c r="H22" s="34">
        <f>IF(COUNT(K22:AG22)=0,"",(U22*6+V22*6+W22*4+X22*3+Y22*3+Z22*3)/3)</f>
        <v/>
      </c>
      <c r="I22" s="34">
        <f>IF(COUNT(K22:AG22)=0,"",AB22*3+AC22*2+AD22*2+AE22*1)</f>
        <v/>
      </c>
      <c r="J22" s="34">
        <f>IF(COUNT(K22:AG22)=0,"",(AF22*5+AG22*5)/3)</f>
        <v/>
      </c>
      <c r="K22" s="41" t="n"/>
      <c r="L22" s="41" t="n"/>
      <c r="M22" s="41" t="n"/>
      <c r="N22" s="41" t="n"/>
      <c r="P22" s="41" t="n"/>
      <c r="Q22" s="41" t="n"/>
      <c r="R22" s="41" t="n"/>
      <c r="S22" s="41" t="n"/>
      <c r="U22" s="41" t="n"/>
      <c r="V22" s="41" t="n"/>
      <c r="W22" s="41" t="n"/>
      <c r="X22" s="41" t="n"/>
      <c r="Y22" s="41" t="n"/>
      <c r="Z22" s="41" t="n"/>
      <c r="AB22" s="41" t="n"/>
      <c r="AC22" s="41" t="n"/>
      <c r="AD22" s="41" t="n"/>
      <c r="AE22" s="41" t="n"/>
      <c r="AF22" s="41" t="n">
        <v>0</v>
      </c>
      <c r="AG22" s="41" t="n">
        <v>0</v>
      </c>
      <c r="AI22" s="30" t="inlineStr">
        <is>
          <t>(BIXO) Vídeo de toca e perguntou se o gmat era em inglês mesmo, reportado</t>
        </is>
      </c>
    </row>
    <row r="23" ht="18.75" customHeight="1" s="60">
      <c r="B23" s="38" t="inlineStr">
        <is>
          <t>k267983@dac.unicamp.br</t>
        </is>
      </c>
      <c r="C23" s="30" t="inlineStr">
        <is>
          <t>Klaus Augusto Santos da Silva</t>
        </is>
      </c>
      <c r="D23" s="30" t="inlineStr">
        <is>
          <t>Ferro</t>
        </is>
      </c>
      <c r="E23" s="33">
        <f>IF(COUNT(K23:AG23)=0,"",ROUND((F23+G23+H23+I23+J23)/10,2))</f>
        <v/>
      </c>
      <c r="F23" s="34">
        <f>IF(COUNT(K23:AG23)=0,"",(K23*10+L23*8+M23*7+N23*5)/3)</f>
        <v/>
      </c>
      <c r="G23" s="34">
        <f>IF(COUNT(K23:AG23)=0,"",(P23*8+Q23*7+R23*5+S23*5)/3)</f>
        <v/>
      </c>
      <c r="H23" s="34">
        <f>IF(COUNT(K23:AG23)=0,"",(U23*6+V23*6+W23*4+X23*3+Y23*3+Z23*3)/3)</f>
        <v/>
      </c>
      <c r="I23" s="34">
        <f>IF(COUNT(K23:AG23)=0,"",AB23*3+AC23*2+AD23*2+AE23*1)</f>
        <v/>
      </c>
      <c r="J23" s="34">
        <f>IF(COUNT(K23:AG23)=0,"",(AF23*5+AG23*5)/3)</f>
        <v/>
      </c>
      <c r="K23" s="41" t="n"/>
      <c r="L23" s="41" t="n"/>
      <c r="M23" s="41" t="n"/>
      <c r="N23" s="41" t="n"/>
      <c r="P23" s="41" t="n"/>
      <c r="Q23" s="41" t="n"/>
      <c r="R23" s="41" t="n"/>
      <c r="S23" s="41" t="n"/>
      <c r="U23" s="41" t="n"/>
      <c r="V23" s="41" t="n"/>
      <c r="W23" s="41" t="n"/>
      <c r="X23" s="41" t="n"/>
      <c r="Y23" s="41" t="n"/>
      <c r="Z23" s="41" t="n"/>
      <c r="AB23" s="41" t="n"/>
      <c r="AC23" s="41" t="n"/>
      <c r="AD23" s="41" t="n"/>
      <c r="AE23" s="41" t="n"/>
      <c r="AF23" s="41" t="n">
        <v>2</v>
      </c>
      <c r="AG23" s="41" t="n">
        <v>1</v>
      </c>
      <c r="AI23" s="30" t="inlineStr">
        <is>
          <t>Achei o vídeo meio merda, ele fala bem, mas achei q falou umas coisas nada a ver</t>
        </is>
      </c>
    </row>
    <row r="24" ht="18.75" customHeight="1" s="60">
      <c r="B24" s="38" t="inlineStr">
        <is>
          <t>r302729@dac.unicamp.br</t>
        </is>
      </c>
      <c r="C24" s="30" t="inlineStr">
        <is>
          <t>Rafael Rodrigues Moreira</t>
        </is>
      </c>
      <c r="D24" s="30" t="inlineStr">
        <is>
          <t>Ferro</t>
        </is>
      </c>
      <c r="E24" s="33">
        <f>IF(COUNT(K24:AG24)=0,"",ROUND((F24+G24+H24+I24+J24)/10,2))</f>
        <v/>
      </c>
      <c r="F24" s="34">
        <f>IF(COUNT(K24:AG24)=0,"",(K24*10+L24*8+M24*7+N24*5)/3)</f>
        <v/>
      </c>
      <c r="G24" s="34">
        <f>IF(COUNT(K24:AG24)=0,"",(P24*8+Q24*7+R24*5+S24*5)/3)</f>
        <v/>
      </c>
      <c r="H24" s="34">
        <f>IF(COUNT(K24:AG24)=0,"",(U24*6+V24*6+W24*4+X24*3+Y24*3+Z24*3)/3)</f>
        <v/>
      </c>
      <c r="I24" s="34">
        <f>IF(COUNT(K24:AG24)=0,"",AB24*3+AC24*2+AD24*2+AE24*1)</f>
        <v/>
      </c>
      <c r="J24" s="34">
        <f>IF(COUNT(K24:AG24)=0,"",(AF24*5+AG24*5)/3)</f>
        <v/>
      </c>
      <c r="K24" s="41" t="n"/>
      <c r="L24" s="41" t="n"/>
      <c r="M24" s="41" t="n"/>
      <c r="N24" s="41" t="n"/>
      <c r="P24" s="41" t="n"/>
      <c r="Q24" s="41" t="n"/>
      <c r="R24" s="41" t="n"/>
      <c r="S24" s="41" t="n"/>
      <c r="U24" s="41" t="n"/>
      <c r="V24" s="41" t="n"/>
      <c r="W24" s="41" t="n"/>
      <c r="X24" s="41" t="n"/>
      <c r="Y24" s="41" t="n"/>
      <c r="Z24" s="41" t="n"/>
      <c r="AB24" s="41" t="n"/>
      <c r="AC24" s="41" t="n"/>
      <c r="AD24" s="41" t="n"/>
      <c r="AE24" s="41" t="n"/>
      <c r="AF24" s="41" t="n">
        <v>2</v>
      </c>
      <c r="AG24" s="41" t="n">
        <v>3</v>
      </c>
      <c r="AI24" s="30" t="inlineStr">
        <is>
          <t>(BIXO) Mas falou bem, tava lendo, mas sempre cola nas palestras</t>
        </is>
      </c>
    </row>
    <row r="25" ht="18.75" customHeight="1" s="60">
      <c r="B25" s="38" t="inlineStr">
        <is>
          <t>c258388@dac.unicamp.br</t>
        </is>
      </c>
      <c r="C25" s="30" t="inlineStr">
        <is>
          <t>Caio Augusto Saab</t>
        </is>
      </c>
      <c r="D25" s="30" t="inlineStr">
        <is>
          <t>luis</t>
        </is>
      </c>
      <c r="E25" s="33">
        <f>IF(COUNT(K25:AG25)=0,"",ROUND((F25+G25+H25+I25+J25)/10,2))</f>
        <v/>
      </c>
      <c r="F25" s="34">
        <f>IF(COUNT(K25:AG25)=0,"",(K25*10+L25*8+M25*7+N25*5)/3)</f>
        <v/>
      </c>
      <c r="G25" s="34">
        <f>IF(COUNT(K25:AG25)=0,"",(P25*8+Q25*7+R25*5+S25*5)/3)</f>
        <v/>
      </c>
      <c r="H25" s="34">
        <f>IF(COUNT(K25:AG25)=0,"",(U25*6+V25*6+W25*4+X25*3+Y25*3+Z25*3)/3)</f>
        <v/>
      </c>
      <c r="I25" s="34">
        <f>IF(COUNT(K25:AG25)=0,"",AB25*3+AC25*2+AD25*2+AE25*1)</f>
        <v/>
      </c>
      <c r="J25" s="34">
        <f>IF(COUNT(K25:AG25)=0,"",(AF25*5+AG25*5)/3)</f>
        <v/>
      </c>
      <c r="K25" s="41" t="n"/>
      <c r="L25" s="41" t="n"/>
      <c r="M25" s="41" t="n"/>
      <c r="N25" s="41" t="n"/>
      <c r="P25" s="41" t="n"/>
      <c r="Q25" s="41" t="n"/>
      <c r="R25" s="41" t="n"/>
      <c r="S25" s="41" t="n"/>
      <c r="U25" s="41" t="n"/>
      <c r="V25" s="41" t="n"/>
      <c r="W25" s="41" t="n"/>
      <c r="X25" s="41" t="n"/>
      <c r="Y25" s="41" t="n"/>
      <c r="Z25" s="41" t="n"/>
      <c r="AB25" s="41" t="n"/>
      <c r="AC25" s="41" t="n"/>
      <c r="AD25" s="41" t="n"/>
      <c r="AE25" s="41" t="n"/>
      <c r="AF25" s="41" t="n">
        <v>2</v>
      </c>
      <c r="AG25" s="41" t="n">
        <v>2</v>
      </c>
      <c r="AI25" s="30" t="inlineStr">
        <is>
          <t>fala com pouca naturalidade e sem motivo concreto</t>
        </is>
      </c>
    </row>
    <row r="26" ht="18.75" customHeight="1" s="60">
      <c r="B26" s="38" t="inlineStr">
        <is>
          <t>j260826@dac.unicamp.br</t>
        </is>
      </c>
      <c r="C26" s="30" t="inlineStr">
        <is>
          <t>José Vitor Dias Tutu</t>
        </is>
      </c>
      <c r="D26" s="30" t="inlineStr">
        <is>
          <t>luis</t>
        </is>
      </c>
      <c r="E26" s="33">
        <f>IF(COUNT(K26:AG26)=0,"",ROUND((F26+G26+H26+I26+J26)/10,2))</f>
        <v/>
      </c>
      <c r="F26" s="34">
        <f>IF(COUNT(K26:AG26)=0,"",(K26*10+L26*8+M26*7+N26*5)/3)</f>
        <v/>
      </c>
      <c r="G26" s="34">
        <f>IF(COUNT(K26:AG26)=0,"",(P26*8+Q26*7+R26*5+S26*5)/3)</f>
        <v/>
      </c>
      <c r="H26" s="34">
        <f>IF(COUNT(K26:AG26)=0,"",(U26*6+V26*6+W26*4+X26*3+Y26*3+Z26*3)/3)</f>
        <v/>
      </c>
      <c r="I26" s="34">
        <f>IF(COUNT(K26:AG26)=0,"",AB26*3+AC26*2+AD26*2+AE26*1)</f>
        <v/>
      </c>
      <c r="J26" s="34">
        <f>IF(COUNT(K26:AG26)=0,"",(AF26*5+AG26*5)/3)</f>
        <v/>
      </c>
      <c r="K26" s="41" t="n"/>
      <c r="L26" s="41" t="n"/>
      <c r="M26" s="41" t="n"/>
      <c r="N26" s="41" t="n"/>
      <c r="P26" s="41" t="n"/>
      <c r="Q26" s="41" t="n"/>
      <c r="R26" s="41" t="n"/>
      <c r="S26" s="41" t="n"/>
      <c r="U26" s="41" t="n"/>
      <c r="V26" s="41" t="n"/>
      <c r="W26" s="41" t="n"/>
      <c r="X26" s="41" t="n"/>
      <c r="Y26" s="41" t="n"/>
      <c r="Z26" s="41" t="n"/>
      <c r="AB26" s="41" t="n"/>
      <c r="AC26" s="41" t="n"/>
      <c r="AD26" s="41" t="n"/>
      <c r="AE26" s="41" t="n"/>
      <c r="AF26" s="41" t="n">
        <v>3</v>
      </c>
      <c r="AG26" s="41" t="n">
        <v>2</v>
      </c>
      <c r="AI26" s="30" t="inlineStr">
        <is>
          <t>n falou nada do CCU</t>
        </is>
      </c>
    </row>
    <row r="27" ht="18.75" customHeight="1" s="60">
      <c r="B27" s="38" t="inlineStr">
        <is>
          <t xml:space="preserve">i253464@dac.unicamp.br
</t>
        </is>
      </c>
      <c r="C27" s="30" t="inlineStr">
        <is>
          <t>Isadora Kluge Dorigan</t>
        </is>
      </c>
      <c r="D27" s="30" t="inlineStr">
        <is>
          <t>Proc</t>
        </is>
      </c>
      <c r="E27" s="33">
        <f>IF(COUNT(K27:AG27)=0,"",ROUND((F27+G27+H27+I27+J27)/10,2))</f>
        <v/>
      </c>
      <c r="F27" s="34">
        <f>IF(COUNT(K27:AG27)=0,"",(K27*10+L27*8+M27*7+N27*5)/3)</f>
        <v/>
      </c>
      <c r="G27" s="34">
        <f>IF(COUNT(K27:AG27)=0,"",(P27*8+Q27*7+R27*5+S27*5)/3)</f>
        <v/>
      </c>
      <c r="H27" s="34">
        <f>IF(COUNT(K27:AG27)=0,"",(U27*6+V27*6+W27*4+X27*3+Y27*3+Z27*3)/3)</f>
        <v/>
      </c>
      <c r="I27" s="34">
        <f>IF(COUNT(K27:AG27)=0,"",AB27*3+AC27*2+AD27*2+AE27*1)</f>
        <v/>
      </c>
      <c r="J27" s="34">
        <f>IF(COUNT(K27:AG27)=0,"",(AF27*5+AG27*5)/3)</f>
        <v/>
      </c>
      <c r="K27" s="41" t="n"/>
      <c r="L27" s="41" t="n"/>
      <c r="M27" s="41" t="n"/>
      <c r="N27" s="41" t="n"/>
      <c r="P27" s="41" t="n"/>
      <c r="Q27" s="41" t="n"/>
      <c r="R27" s="41" t="n"/>
      <c r="S27" s="41" t="n"/>
      <c r="U27" s="41" t="n"/>
      <c r="V27" s="41" t="n"/>
      <c r="W27" s="41" t="n"/>
      <c r="X27" s="41" t="n"/>
      <c r="Y27" s="41" t="n"/>
      <c r="Z27" s="41" t="n"/>
      <c r="AB27" s="41" t="n"/>
      <c r="AC27" s="41" t="n"/>
      <c r="AD27" s="41" t="n"/>
      <c r="AE27" s="41" t="n"/>
      <c r="AF27" s="41" t="n">
        <v>2</v>
      </c>
      <c r="AG27" s="41" t="n">
        <v>3</v>
      </c>
      <c r="AI27" s="30" t="inlineStr">
        <is>
          <t>43% do GMAT. Senti que lia. Falou bem. Trajetória sólida.</t>
        </is>
      </c>
    </row>
    <row r="28" ht="14.25" customHeight="1" s="60">
      <c r="B28" s="47" t="inlineStr">
        <is>
          <t>SEGUNDO AVALIADOR</t>
        </is>
      </c>
      <c r="C28" s="48" t="inlineStr">
        <is>
          <t>SEGUNDO AVALIADOR</t>
        </is>
      </c>
      <c r="E28" s="33">
        <f>IF(COUNT(K28:AG28)=0,"",ROUND((F28+G28+H28+I28+J28)/10,2))</f>
        <v/>
      </c>
      <c r="F28" s="34">
        <f>IF(COUNT(K28:AG28)=0,"",(K28*10+L28*8+M28*7+N28*5)/3)</f>
        <v/>
      </c>
      <c r="G28" s="34">
        <f>IF(COUNT(K28:AG28)=0,"",(P28*8+Q28*7+R28*5+S28*5)/3)</f>
        <v/>
      </c>
      <c r="H28" s="34">
        <f>IF(COUNT(K28:AG28)=0,"",(U28*6+V28*6+W28*4+X28*3+Y28*3+Z28*3)/3)</f>
        <v/>
      </c>
      <c r="I28" s="34">
        <f>IF(COUNT(K28:AG28)=0,"",AB28*3+AC28*2+AD28*2+AE28*1)</f>
        <v/>
      </c>
      <c r="J28" s="34">
        <f>IF(COUNT(K28:AG28)=0,"",(AF28*5+AG28*5)/3)</f>
        <v/>
      </c>
      <c r="K28" s="41" t="n"/>
      <c r="L28" s="41" t="n"/>
      <c r="M28" s="41" t="n"/>
      <c r="N28" s="41" t="n"/>
      <c r="P28" s="41" t="n"/>
      <c r="Q28" s="41" t="n"/>
      <c r="R28" s="41" t="n"/>
      <c r="S28" s="41" t="n"/>
      <c r="U28" s="41" t="n"/>
      <c r="V28" s="41" t="n"/>
      <c r="W28" s="41" t="n"/>
      <c r="X28" s="41" t="n"/>
      <c r="Y28" s="41" t="n"/>
      <c r="Z28" s="41" t="n"/>
      <c r="AB28" s="41" t="n"/>
      <c r="AC28" s="41" t="n"/>
      <c r="AD28" s="41" t="n"/>
      <c r="AE28" s="41" t="n"/>
      <c r="AF28" s="41" t="n"/>
      <c r="AG28" s="41" t="n"/>
    </row>
    <row r="29" ht="14.25" customHeight="1" s="60">
      <c r="B29" s="50" t="inlineStr">
        <is>
          <t>g278083@dac.unicamp.br</t>
        </is>
      </c>
      <c r="C29" s="50" t="inlineStr">
        <is>
          <t>Gabrielle Cristofani do Rosario</t>
        </is>
      </c>
      <c r="D29" s="30" t="inlineStr">
        <is>
          <t>Fred</t>
        </is>
      </c>
      <c r="E29" s="33">
        <f>IF(COUNT(K29:AG29)=0,"",ROUND((F29+G29+H29+I29+J29)/10,2))</f>
        <v/>
      </c>
      <c r="F29" s="34">
        <f>IF(COUNT(K29:AG29)=0,"",(K29*10+L29*8+M29*7+N29*5)/3)</f>
        <v/>
      </c>
      <c r="G29" s="34">
        <f>IF(COUNT(K29:AG29)=0,"",(P29*8+Q29*7+R29*5+S29*5)/3)</f>
        <v/>
      </c>
      <c r="H29" s="34">
        <f>IF(COUNT(K29:AG29)=0,"",(U29*6+V29*6+W29*4+X29*3+Y29*3+Z29*3)/3)</f>
        <v/>
      </c>
      <c r="I29" s="34">
        <f>IF(COUNT(K29:AG29)=0,"",AB29*3+AC29*2+AD29*2+AE29*1)</f>
        <v/>
      </c>
      <c r="J29" s="34">
        <f>IF(COUNT(K29:AG29)=0,"",(AF29*5+AG29*5)/3)</f>
        <v/>
      </c>
      <c r="K29" s="41" t="n"/>
      <c r="L29" s="41" t="n"/>
      <c r="M29" s="41" t="n"/>
      <c r="N29" s="41" t="n"/>
      <c r="P29" s="41" t="n"/>
      <c r="Q29" s="41" t="n"/>
      <c r="R29" s="41" t="n"/>
      <c r="S29" s="41" t="n"/>
      <c r="U29" s="41" t="n"/>
      <c r="V29" s="41" t="n"/>
      <c r="W29" s="41" t="n"/>
      <c r="X29" s="41" t="n"/>
      <c r="Y29" s="41" t="n"/>
      <c r="Z29" s="41" t="n"/>
      <c r="AB29" s="41" t="n"/>
      <c r="AC29" s="41" t="n"/>
      <c r="AD29" s="41" t="n"/>
      <c r="AE29" s="41" t="n"/>
      <c r="AF29" s="41" t="n">
        <v>3</v>
      </c>
      <c r="AG29" s="41" t="n">
        <v>2</v>
      </c>
      <c r="AI29" s="30" t="inlineStr">
        <is>
          <t>feagri 3° ano de curso, falou bem, mas foi generica em falar de consultoria</t>
        </is>
      </c>
    </row>
    <row r="30" ht="14.25" customHeight="1" s="60">
      <c r="B30" s="50" t="inlineStr">
        <is>
          <t>b309603@dac.unicamp.br</t>
        </is>
      </c>
      <c r="C30" s="50" t="inlineStr">
        <is>
          <t>Bruno Heberth Oliveira Bastos</t>
        </is>
      </c>
      <c r="D30" s="30" t="inlineStr">
        <is>
          <t>Fred</t>
        </is>
      </c>
      <c r="E30" s="33">
        <f>IF(COUNT(K30:AG30)=0,"",ROUND((F30+G30+H30+I30+J30)/10,2))</f>
        <v/>
      </c>
      <c r="F30" s="34">
        <f>IF(COUNT(K30:AG30)=0,"",(K30*10+L30*8+M30*7+N30*5)/3)</f>
        <v/>
      </c>
      <c r="G30" s="34">
        <f>IF(COUNT(K30:AG30)=0,"",(P30*8+Q30*7+R30*5+S30*5)/3)</f>
        <v/>
      </c>
      <c r="H30" s="34">
        <f>IF(COUNT(K30:AG30)=0,"",(U30*6+V30*6+W30*4+X30*3+Y30*3+Z30*3)/3)</f>
        <v/>
      </c>
      <c r="I30" s="34">
        <f>IF(COUNT(K30:AG30)=0,"",AB30*3+AC30*2+AD30*2+AE30*1)</f>
        <v/>
      </c>
      <c r="J30" s="34">
        <f>IF(COUNT(K30:AG30)=0,"",(AF30*5+AG30*5)/3)</f>
        <v/>
      </c>
      <c r="K30" s="41" t="n"/>
      <c r="L30" s="41" t="n"/>
      <c r="M30" s="41" t="n"/>
      <c r="N30" s="41" t="n"/>
      <c r="P30" s="41" t="n"/>
      <c r="Q30" s="41" t="n"/>
      <c r="R30" s="41" t="n"/>
      <c r="S30" s="41" t="n"/>
      <c r="U30" s="41" t="n"/>
      <c r="V30" s="41" t="n"/>
      <c r="W30" s="41" t="n"/>
      <c r="X30" s="41" t="n"/>
      <c r="Y30" s="41" t="n"/>
      <c r="Z30" s="41" t="n"/>
      <c r="AB30" s="41" t="n"/>
      <c r="AC30" s="41" t="n"/>
      <c r="AD30" s="41" t="n"/>
      <c r="AE30" s="41" t="n"/>
      <c r="AF30" s="41" t="n">
        <v>3</v>
      </c>
      <c r="AG30" s="41" t="n">
        <v>1</v>
      </c>
    </row>
    <row r="31">
      <c r="B31" s="50" t="inlineStr">
        <is>
          <t>j309764@dac.unicamp.br</t>
        </is>
      </c>
      <c r="C31" s="50" t="inlineStr">
        <is>
          <t>JOÃO PEDRO STAMA</t>
        </is>
      </c>
      <c r="D31" s="30" t="inlineStr">
        <is>
          <t>Fred</t>
        </is>
      </c>
      <c r="E31" s="33">
        <f>IF(COUNT(K31:AG31)=0,"",ROUND((F31+G31+H31+I31+J31)/10,2))</f>
        <v/>
      </c>
      <c r="F31" s="34">
        <f>IF(COUNT(K31:AG31)=0,"",(K31*10+L31*8+M31*7+N31*5)/3)</f>
        <v/>
      </c>
      <c r="G31" s="34">
        <f>IF(COUNT(K31:AG31)=0,"",(P31*8+Q31*7+R31*5+S31*5)/3)</f>
        <v/>
      </c>
      <c r="H31" s="34">
        <f>IF(COUNT(K31:AG31)=0,"",(U31*6+V31*6+W31*4+X31*3+Y31*3+Z31*3)/3)</f>
        <v/>
      </c>
      <c r="I31" s="34">
        <f>IF(COUNT(K31:AG31)=0,"",AB31*3+AC31*2+AD31*2+AE31*1)</f>
        <v/>
      </c>
      <c r="J31" s="34">
        <f>IF(COUNT(K31:AG31)=0,"",(AF31*5+AG31*5)/3)</f>
        <v/>
      </c>
      <c r="K31" s="41" t="n"/>
      <c r="L31" s="41" t="n"/>
      <c r="M31" s="41" t="n"/>
      <c r="N31" s="41" t="n"/>
      <c r="P31" s="41" t="n"/>
      <c r="Q31" s="41" t="n"/>
      <c r="R31" s="41" t="n"/>
      <c r="S31" s="41" t="n"/>
      <c r="U31" s="41" t="n"/>
      <c r="V31" s="41" t="n"/>
      <c r="W31" s="41" t="n"/>
      <c r="X31" s="41" t="n"/>
      <c r="Y31" s="41" t="n"/>
      <c r="Z31" s="41" t="n"/>
      <c r="AB31" s="41" t="n"/>
      <c r="AC31" s="41" t="n"/>
      <c r="AD31" s="41" t="n"/>
      <c r="AE31" s="41" t="n"/>
      <c r="AF31" s="41" t="n">
        <v>1</v>
      </c>
      <c r="AG31" s="41" t="n">
        <v>2</v>
      </c>
      <c r="AI31" s="30" t="inlineStr">
        <is>
          <t>colou no gmat</t>
        </is>
      </c>
    </row>
    <row r="32" ht="14.25" customHeight="1" s="60">
      <c r="B32" s="50" t="inlineStr">
        <is>
          <t>r238449@dac.unicamp.br</t>
        </is>
      </c>
      <c r="C32" s="50" t="inlineStr">
        <is>
          <t>Rafael Ponciano Rodrigues dos Santos</t>
        </is>
      </c>
      <c r="D32" s="30" t="inlineStr">
        <is>
          <t>Fred</t>
        </is>
      </c>
      <c r="E32" s="33">
        <f>IF(COUNT(K32:AG32)=0,"",ROUND((F32+G32+H32+I32+J32)/10,2))</f>
        <v/>
      </c>
      <c r="F32" s="34">
        <f>IF(COUNT(K32:AG32)=0,"",(K32*10+L32*8+M32*7+N32*5)/3)</f>
        <v/>
      </c>
      <c r="G32" s="34">
        <f>IF(COUNT(K32:AG32)=0,"",(P32*8+Q32*7+R32*5+S32*5)/3)</f>
        <v/>
      </c>
      <c r="H32" s="34">
        <f>IF(COUNT(K32:AG32)=0,"",(U32*6+V32*6+W32*4+X32*3+Y32*3+Z32*3)/3)</f>
        <v/>
      </c>
      <c r="I32" s="34">
        <f>IF(COUNT(K32:AG32)=0,"",AB32*3+AC32*2+AD32*2+AE32*1)</f>
        <v/>
      </c>
      <c r="J32" s="34">
        <f>IF(COUNT(K32:AG32)=0,"",(AF32*5+AG32*5)/3)</f>
        <v/>
      </c>
      <c r="K32" s="41" t="n"/>
      <c r="L32" s="41" t="n"/>
      <c r="M32" s="41" t="n"/>
      <c r="N32" s="41" t="n"/>
      <c r="P32" s="41" t="n"/>
      <c r="Q32" s="41" t="n"/>
      <c r="R32" s="41" t="n"/>
      <c r="S32" s="41" t="n"/>
      <c r="U32" s="41" t="n"/>
      <c r="V32" s="41" t="n"/>
      <c r="W32" s="41" t="n"/>
      <c r="X32" s="41" t="n"/>
      <c r="Y32" s="41" t="n"/>
      <c r="Z32" s="41" t="n"/>
      <c r="AB32" s="41" t="n"/>
      <c r="AC32" s="41" t="n"/>
      <c r="AD32" s="41" t="n"/>
      <c r="AE32" s="41" t="n"/>
      <c r="AF32" s="41" t="n">
        <v>3</v>
      </c>
      <c r="AG32" s="41" t="n">
        <v>2</v>
      </c>
      <c r="AI32" s="30" t="inlineStr">
        <is>
          <t>Falou bem no vídeo (levemente robótico) e mandou bem no gmat</t>
        </is>
      </c>
    </row>
    <row r="33" ht="14.25" customHeight="1" s="60">
      <c r="B33" s="50" t="inlineStr">
        <is>
          <t>enzo.gag17@gmail.com</t>
        </is>
      </c>
      <c r="C33" s="50" t="inlineStr">
        <is>
          <t>Enzo Chofakian Gagliardi</t>
        </is>
      </c>
      <c r="D33" s="30" t="inlineStr">
        <is>
          <t>Ferro</t>
        </is>
      </c>
      <c r="E33" s="33">
        <f>IF(COUNT(K33:AG33)=0,"",ROUND((F33+G33+H33+I33+J33)/10,2))</f>
        <v/>
      </c>
      <c r="F33" s="34">
        <f>IF(COUNT(K33:AG33)=0,"",(K33*10+L33*8+M33*7+N33*5)/3)</f>
        <v/>
      </c>
      <c r="G33" s="34">
        <f>IF(COUNT(K33:AG33)=0,"",(P33*8+Q33*7+R33*5+S33*5)/3)</f>
        <v/>
      </c>
      <c r="H33" s="34">
        <f>IF(COUNT(K33:AG33)=0,"",(U33*6+V33*6+W33*4+X33*3+Y33*3+Z33*3)/3)</f>
        <v/>
      </c>
      <c r="I33" s="34">
        <f>IF(COUNT(K33:AG33)=0,"",AB33*3+AC33*2+AD33*2+AE33*1)</f>
        <v/>
      </c>
      <c r="J33" s="34">
        <f>IF(COUNT(K33:AG33)=0,"",(AF33*5+AG33*5)/3)</f>
        <v/>
      </c>
      <c r="K33" s="41" t="n"/>
      <c r="L33" s="41" t="n"/>
      <c r="M33" s="41" t="n"/>
      <c r="N33" s="41" t="n"/>
      <c r="P33" s="41" t="n"/>
      <c r="Q33" s="41" t="n"/>
      <c r="R33" s="41" t="n"/>
      <c r="S33" s="41" t="n"/>
      <c r="U33" s="41" t="n"/>
      <c r="V33" s="41" t="n"/>
      <c r="W33" s="41" t="n"/>
      <c r="X33" s="41" t="n"/>
      <c r="Y33" s="41" t="n"/>
      <c r="Z33" s="41" t="n"/>
      <c r="AB33" s="41" t="n"/>
      <c r="AC33" s="41" t="n"/>
      <c r="AD33" s="41" t="n"/>
      <c r="AE33" s="41" t="n"/>
      <c r="AF33" s="41" t="n">
        <v>2</v>
      </c>
      <c r="AG33" s="41" t="n">
        <v>2</v>
      </c>
      <c r="AI33" s="30" t="inlineStr">
        <is>
          <t>Acho q da pra passar, foi bem até</t>
        </is>
      </c>
    </row>
    <row r="34" ht="14.25" customHeight="1" s="60">
      <c r="B34" s="50" t="inlineStr">
        <is>
          <t>e278588@dac.unicamp.br</t>
        </is>
      </c>
      <c r="C34" s="50" t="inlineStr">
        <is>
          <t>Enrico Tristão e Mello de Oliveira</t>
        </is>
      </c>
      <c r="D34" s="30" t="inlineStr">
        <is>
          <t>Ferro</t>
        </is>
      </c>
      <c r="E34" s="33">
        <f>IF(COUNT(K34:AG34)=0,"",ROUND((F34+G34+H34+I34+J34)/10,2))</f>
        <v/>
      </c>
      <c r="F34" s="34">
        <f>IF(COUNT(K34:AG34)=0,"",(K34*10+L34*8+M34*7+N34*5)/3)</f>
        <v/>
      </c>
      <c r="G34" s="34">
        <f>IF(COUNT(K34:AG34)=0,"",(P34*8+Q34*7+R34*5+S34*5)/3)</f>
        <v/>
      </c>
      <c r="H34" s="34">
        <f>IF(COUNT(K34:AG34)=0,"",(U34*6+V34*6+W34*4+X34*3+Y34*3+Z34*3)/3)</f>
        <v/>
      </c>
      <c r="I34" s="34">
        <f>IF(COUNT(K34:AG34)=0,"",AB34*3+AC34*2+AD34*2+AE34*1)</f>
        <v/>
      </c>
      <c r="J34" s="34">
        <f>IF(COUNT(K34:AG34)=0,"",(AF34*5+AG34*5)/3)</f>
        <v/>
      </c>
      <c r="K34" s="41" t="n"/>
      <c r="L34" s="41" t="n"/>
      <c r="M34" s="41" t="n"/>
      <c r="N34" s="41" t="n"/>
      <c r="P34" s="41" t="n"/>
      <c r="Q34" s="41" t="n"/>
      <c r="R34" s="41" t="n"/>
      <c r="S34" s="41" t="n"/>
      <c r="U34" s="41" t="n"/>
      <c r="V34" s="41" t="n"/>
      <c r="W34" s="41" t="n"/>
      <c r="X34" s="41" t="n"/>
      <c r="Y34" s="41" t="n"/>
      <c r="Z34" s="41" t="n"/>
      <c r="AB34" s="41" t="n"/>
      <c r="AC34" s="41" t="n"/>
      <c r="AD34" s="41" t="n"/>
      <c r="AE34" s="41" t="n"/>
      <c r="AF34" s="41" t="n">
        <v>2</v>
      </c>
      <c r="AG34" s="41" t="n">
        <v>1</v>
      </c>
      <c r="AI34" s="30" t="inlineStr">
        <is>
          <t>Achei q falou bem até, mas n acho q falou pq quer entrar no CCU</t>
        </is>
      </c>
    </row>
    <row r="35" ht="14.25" customHeight="1" s="60">
      <c r="B35" s="50" t="inlineStr">
        <is>
          <t>e221509@dac.unicamp.br</t>
        </is>
      </c>
      <c r="C35" s="50" t="inlineStr">
        <is>
          <t>Eduardo Alves Henrique</t>
        </is>
      </c>
      <c r="D35" s="30" t="inlineStr">
        <is>
          <t>Proc</t>
        </is>
      </c>
      <c r="E35" s="33">
        <f>IF(COUNT(K35:AG35)=0,"",ROUND((F35+G35+H35+I35+J35)/10,2))</f>
        <v/>
      </c>
      <c r="F35" s="34">
        <f>IF(COUNT(K35:AG35)=0,"",(K35*10+L35*8+M35*7+N35*5)/3)</f>
        <v/>
      </c>
      <c r="G35" s="34">
        <f>IF(COUNT(K35:AG35)=0,"",(P35*8+Q35*7+R35*5+S35*5)/3)</f>
        <v/>
      </c>
      <c r="H35" s="34">
        <f>IF(COUNT(K35:AG35)=0,"",(U35*6+V35*6+W35*4+X35*3+Y35*3+Z35*3)/3)</f>
        <v/>
      </c>
      <c r="I35" s="34">
        <f>IF(COUNT(K35:AG35)=0,"",AB35*3+AC35*2+AD35*2+AE35*1)</f>
        <v/>
      </c>
      <c r="J35" s="34">
        <f>IF(COUNT(K35:AG35)=0,"",(AF35*5+AG35*5)/3)</f>
        <v/>
      </c>
      <c r="K35" s="41" t="n"/>
      <c r="L35" s="41" t="n"/>
      <c r="M35" s="41" t="n"/>
      <c r="N35" s="41" t="n"/>
      <c r="P35" s="41" t="n"/>
      <c r="Q35" s="41" t="n"/>
      <c r="R35" s="41" t="n"/>
      <c r="S35" s="41" t="n"/>
      <c r="U35" s="41" t="n"/>
      <c r="V35" s="41" t="n"/>
      <c r="W35" s="41" t="n"/>
      <c r="X35" s="41" t="n"/>
      <c r="Y35" s="41" t="n"/>
      <c r="Z35" s="41" t="n"/>
      <c r="AB35" s="41" t="n"/>
      <c r="AC35" s="41" t="n"/>
      <c r="AD35" s="41" t="n"/>
      <c r="AE35" s="41" t="n"/>
      <c r="AF35" s="41" t="n">
        <v>2</v>
      </c>
      <c r="AG35" s="41" t="n">
        <v>1</v>
      </c>
      <c r="AI35" s="30" t="inlineStr">
        <is>
          <t>80% no GMAT. Ao mesmo tempo fala que pode não se interessar pelo CCU, como pode se tornar liderança (???).</t>
        </is>
      </c>
    </row>
    <row r="36" ht="14.25" customHeight="1" s="60">
      <c r="B36" s="50" t="inlineStr">
        <is>
          <t>l304532@dac.unicamp.br</t>
        </is>
      </c>
      <c r="C36" s="50" t="inlineStr">
        <is>
          <t>Leandra Cunha de Souza</t>
        </is>
      </c>
      <c r="D36" s="30" t="inlineStr">
        <is>
          <t>Proc</t>
        </is>
      </c>
      <c r="E36" s="33">
        <f>IF(COUNT(K36:AG36)=0,"",ROUND((F36+G36+H36+I36+J36)/10,2))</f>
        <v/>
      </c>
      <c r="F36" s="34">
        <f>IF(COUNT(K36:AG36)=0,"",(K36*10+L36*8+M36*7+N36*5)/3)</f>
        <v/>
      </c>
      <c r="G36" s="34">
        <f>IF(COUNT(K36:AG36)=0,"",(P36*8+Q36*7+R36*5+S36*5)/3)</f>
        <v/>
      </c>
      <c r="H36" s="34">
        <f>IF(COUNT(K36:AG36)=0,"",(U36*6+V36*6+W36*4+X36*3+Y36*3+Z36*3)/3)</f>
        <v/>
      </c>
      <c r="I36" s="34">
        <f>IF(COUNT(K36:AG36)=0,"",AB36*3+AC36*2+AD36*2+AE36*1)</f>
        <v/>
      </c>
      <c r="J36" s="34">
        <f>IF(COUNT(K36:AG36)=0,"",(AF36*5+AG36*5)/3)</f>
        <v/>
      </c>
      <c r="K36" s="41" t="n"/>
      <c r="L36" s="41" t="n"/>
      <c r="M36" s="41" t="n"/>
      <c r="N36" s="41" t="n"/>
      <c r="P36" s="41" t="n"/>
      <c r="Q36" s="41" t="n"/>
      <c r="R36" s="41" t="n"/>
      <c r="S36" s="41" t="n"/>
      <c r="U36" s="41" t="n"/>
      <c r="V36" s="41" t="n"/>
      <c r="W36" s="41" t="n"/>
      <c r="X36" s="41" t="n"/>
      <c r="Y36" s="41" t="n"/>
      <c r="Z36" s="41" t="n"/>
      <c r="AB36" s="41" t="n"/>
      <c r="AC36" s="41" t="n"/>
      <c r="AD36" s="41" t="n"/>
      <c r="AE36" s="41" t="n"/>
      <c r="AF36" s="41" t="n">
        <v>2</v>
      </c>
      <c r="AG36" s="41" t="n">
        <v>2</v>
      </c>
      <c r="AI36" s="30" t="inlineStr">
        <is>
          <t>GMAT inconclusivo se ela colou. Nada de especial.</t>
        </is>
      </c>
    </row>
    <row r="37" ht="14.25" customHeight="1" s="60">
      <c r="B37" s="50" t="inlineStr">
        <is>
          <t>v188630@dac.unicamp.br</t>
        </is>
      </c>
      <c r="C37" s="50" t="inlineStr">
        <is>
          <t>Vagner Ássimos Gomes Carlos Filho</t>
        </is>
      </c>
      <c r="D37" s="30" t="inlineStr">
        <is>
          <t>Proc</t>
        </is>
      </c>
      <c r="E37" s="33">
        <f>IF(COUNT(K37:AG37)=0,"",ROUND((F37+G37+H37+I37+J37)/10,2))</f>
        <v/>
      </c>
      <c r="F37" s="34">
        <f>IF(COUNT(K37:AG37)=0,"",(K37*10+L37*8+M37*7+N37*5)/3)</f>
        <v/>
      </c>
      <c r="G37" s="34">
        <f>IF(COUNT(K37:AG37)=0,"",(P37*8+Q37*7+R37*5+S37*5)/3)</f>
        <v/>
      </c>
      <c r="H37" s="34">
        <f>IF(COUNT(K37:AG37)=0,"",(U37*6+V37*6+W37*4+X37*3+Y37*3+Z37*3)/3)</f>
        <v/>
      </c>
      <c r="I37" s="34">
        <f>IF(COUNT(K37:AG37)=0,"",AB37*3+AC37*2+AD37*2+AE37*1)</f>
        <v/>
      </c>
      <c r="J37" s="34">
        <f>IF(COUNT(K37:AG37)=0,"",(AF37*5+AG37*5)/3)</f>
        <v/>
      </c>
      <c r="K37" s="41" t="n"/>
      <c r="L37" s="41" t="n"/>
      <c r="M37" s="41" t="n"/>
      <c r="N37" s="41" t="n"/>
      <c r="P37" s="41" t="n"/>
      <c r="Q37" s="41" t="n"/>
      <c r="R37" s="41" t="n"/>
      <c r="S37" s="41" t="n"/>
      <c r="U37" s="41" t="n"/>
      <c r="V37" s="41" t="n"/>
      <c r="W37" s="41" t="n"/>
      <c r="X37" s="41" t="n"/>
      <c r="Y37" s="41" t="n"/>
      <c r="Z37" s="41" t="n"/>
      <c r="AB37" s="41" t="n"/>
      <c r="AC37" s="41" t="n"/>
      <c r="AD37" s="41" t="n"/>
      <c r="AE37" s="41" t="n"/>
      <c r="AF37" s="41" t="n">
        <v>3</v>
      </c>
      <c r="AG37" s="41" t="n">
        <v>1</v>
      </c>
      <c r="AI37" s="30" t="inlineStr">
        <is>
          <t>Mais de 80% no GMAT. Falou quer CCU e ia nas palestras mas NÃO falou sobre ele, haviam mais 30s para falar.</t>
        </is>
      </c>
    </row>
    <row r="38" ht="14.25" customHeight="1" s="60">
      <c r="B38" s="50" t="inlineStr">
        <is>
          <t>m277865@dac.unicamp.br</t>
        </is>
      </c>
      <c r="C38" s="50" t="inlineStr">
        <is>
          <t>Mariana Nunes Galvão Sant'Anna</t>
        </is>
      </c>
      <c r="D38" s="30" t="inlineStr">
        <is>
          <t>Proc</t>
        </is>
      </c>
      <c r="E38" s="33">
        <f>IF(COUNT(K38:AG38)=0,"",ROUND((F38+G38+H38+I38+J38)/10,2))</f>
        <v/>
      </c>
      <c r="F38" s="34">
        <f>IF(COUNT(K38:AG38)=0,"",(K38*10+L38*8+M38*7+N38*5)/3)</f>
        <v/>
      </c>
      <c r="G38" s="34">
        <f>IF(COUNT(K38:AG38)=0,"",(P38*8+Q38*7+R38*5+S38*5)/3)</f>
        <v/>
      </c>
      <c r="H38" s="34">
        <f>IF(COUNT(K38:AG38)=0,"",(U38*6+V38*6+W38*4+X38*3+Y38*3+Z38*3)/3)</f>
        <v/>
      </c>
      <c r="I38" s="34">
        <f>IF(COUNT(K38:AG38)=0,"",AB38*3+AC38*2+AD38*2+AE38*1)</f>
        <v/>
      </c>
      <c r="J38" s="34">
        <f>IF(COUNT(K38:AG38)=0,"",(AF38*5+AG38*5)/3)</f>
        <v/>
      </c>
      <c r="K38" s="41" t="n"/>
      <c r="L38" s="41" t="n"/>
      <c r="M38" s="41" t="n"/>
      <c r="N38" s="41" t="n"/>
      <c r="P38" s="41" t="n"/>
      <c r="Q38" s="41" t="n"/>
      <c r="R38" s="41" t="n"/>
      <c r="S38" s="41" t="n"/>
      <c r="U38" s="41" t="n"/>
      <c r="V38" s="41" t="n"/>
      <c r="W38" s="41" t="n"/>
      <c r="X38" s="41" t="n"/>
      <c r="Y38" s="41" t="n"/>
      <c r="Z38" s="41" t="n"/>
      <c r="AB38" s="41" t="n"/>
      <c r="AC38" s="41" t="n"/>
      <c r="AD38" s="41" t="n"/>
      <c r="AE38" s="41" t="n"/>
      <c r="AF38" s="41" t="n">
        <v>2</v>
      </c>
      <c r="AG38" s="41" t="n">
        <v>3</v>
      </c>
      <c r="AI38" s="30" t="inlineStr">
        <is>
          <t>Foi bem no GMAT. Falou muito rápido, mas trouxe ótima história. Se mostrou engajada.</t>
        </is>
      </c>
    </row>
    <row r="39" ht="14.25" customHeight="1" s="60">
      <c r="B39" s="50" t="inlineStr">
        <is>
          <t>a266739@dac.unicamp.br</t>
        </is>
      </c>
      <c r="C39" s="50" t="inlineStr">
        <is>
          <t>Aslan Rodrigues Maia</t>
        </is>
      </c>
      <c r="D39" s="30" t="inlineStr">
        <is>
          <t>Proc</t>
        </is>
      </c>
      <c r="E39" s="33">
        <f>IF(COUNT(K39:AG39)=0,"",ROUND((F39+G39+H39+I39+J39)/10,2))</f>
        <v/>
      </c>
      <c r="F39" s="34">
        <f>IF(COUNT(K39:AG39)=0,"",(K39*10+L39*8+M39*7+N39*5)/3)</f>
        <v/>
      </c>
      <c r="G39" s="34">
        <f>IF(COUNT(K39:AG39)=0,"",(P39*8+Q39*7+R39*5+S39*5)/3)</f>
        <v/>
      </c>
      <c r="H39" s="34">
        <f>IF(COUNT(K39:AG39)=0,"",(U39*6+V39*6+W39*4+X39*3+Y39*3+Z39*3)/3)</f>
        <v/>
      </c>
      <c r="I39" s="34">
        <f>IF(COUNT(K39:AG39)=0,"",AB39*3+AC39*2+AD39*2+AE39*1)</f>
        <v/>
      </c>
      <c r="J39" s="34">
        <f>IF(COUNT(K39:AG39)=0,"",(AF39*5+AG39*5)/3)</f>
        <v/>
      </c>
      <c r="K39" s="41" t="n"/>
      <c r="L39" s="41" t="n"/>
      <c r="M39" s="41" t="n"/>
      <c r="N39" s="41" t="n"/>
      <c r="P39" s="41" t="n"/>
      <c r="Q39" s="41" t="n"/>
      <c r="R39" s="41" t="n"/>
      <c r="S39" s="41" t="n"/>
      <c r="U39" s="41" t="n"/>
      <c r="V39" s="41" t="n"/>
      <c r="W39" s="41" t="n"/>
      <c r="X39" s="41" t="n"/>
      <c r="Y39" s="41" t="n"/>
      <c r="Z39" s="41" t="n"/>
      <c r="AB39" s="41" t="n"/>
      <c r="AC39" s="41" t="n"/>
      <c r="AD39" s="41" t="n"/>
      <c r="AE39" s="41" t="n"/>
      <c r="AF39" s="41" t="n">
        <v>2</v>
      </c>
      <c r="AG39" s="41" t="n">
        <v>3</v>
      </c>
      <c r="AI39" s="30" t="inlineStr">
        <is>
          <t xml:space="preserve">quase 70% do GMAT. Vídeo parece que lia um teleprompter, mas fala bem. </t>
        </is>
      </c>
    </row>
    <row r="40" ht="14.25" customHeight="1" s="60">
      <c r="B40" s="50" t="inlineStr">
        <is>
          <t>j278641@dac.unicamp.br</t>
        </is>
      </c>
      <c r="C40" s="50" t="inlineStr">
        <is>
          <t>João Gabriel de Oliveira Morcelli</t>
        </is>
      </c>
      <c r="D40" s="30" t="inlineStr">
        <is>
          <t>victor</t>
        </is>
      </c>
      <c r="E40" s="33">
        <f>IF(COUNT(K40:AG40)=0,"",ROUND((F40+G40+H40+I40+J40)/10,2))</f>
        <v/>
      </c>
      <c r="F40" s="34">
        <f>IF(COUNT(K40:AG40)=0,"",(K40*10+L40*8+M40*7+N40*5)/3)</f>
        <v/>
      </c>
      <c r="G40" s="34">
        <f>IF(COUNT(K40:AG40)=0,"",(P40*8+Q40*7+R40*5+S40*5)/3)</f>
        <v/>
      </c>
      <c r="H40" s="34">
        <f>IF(COUNT(K40:AG40)=0,"",(U40*6+V40*6+W40*4+X40*3+Y40*3+Z40*3)/3)</f>
        <v/>
      </c>
      <c r="I40" s="34">
        <f>IF(COUNT(K40:AG40)=0,"",AB40*3+AC40*2+AD40*2+AE40*1)</f>
        <v/>
      </c>
      <c r="J40" s="34">
        <f>IF(COUNT(K40:AG40)=0,"",(AF40*5+AG40*5)/3)</f>
        <v/>
      </c>
      <c r="K40" s="41" t="n"/>
      <c r="L40" s="41" t="n"/>
      <c r="M40" s="41" t="n"/>
      <c r="N40" s="41" t="n"/>
      <c r="P40" s="41" t="n"/>
      <c r="Q40" s="41" t="n"/>
      <c r="R40" s="41" t="n"/>
      <c r="S40" s="41" t="n"/>
      <c r="U40" s="41" t="n"/>
      <c r="V40" s="41" t="n"/>
      <c r="W40" s="41" t="n"/>
      <c r="X40" s="41" t="n"/>
      <c r="Y40" s="41" t="n"/>
      <c r="Z40" s="41" t="n"/>
      <c r="AB40" s="41" t="n"/>
      <c r="AC40" s="41" t="n"/>
      <c r="AD40" s="41" t="n"/>
      <c r="AE40" s="41" t="n"/>
      <c r="AF40" s="41" t="n">
        <v>2</v>
      </c>
      <c r="AG40" s="41" t="n">
        <v>2</v>
      </c>
      <c r="AI40" s="30" t="inlineStr">
        <is>
          <t xml:space="preserve">motivos bons mas não falou do clube, tinha roteiro claramente no vídeo </t>
        </is>
      </c>
    </row>
    <row r="41" ht="14.25" customHeight="1" s="60">
      <c r="B41" s="50" t="inlineStr">
        <is>
          <t>r278709@dac.unicamp.br</t>
        </is>
      </c>
      <c r="C41" s="50" t="inlineStr">
        <is>
          <t>Raphael Negrini Saggioro</t>
        </is>
      </c>
      <c r="D41" s="30" t="inlineStr">
        <is>
          <t>victor</t>
        </is>
      </c>
      <c r="E41" s="33">
        <f>IF(COUNT(K41:AG41)=0,"",ROUND((F41+G41+H41+I41+J41)/10,2))</f>
        <v/>
      </c>
      <c r="F41" s="34">
        <f>IF(COUNT(K41:AG41)=0,"",(K41*10+L41*8+M41*7+N41*5)/3)</f>
        <v/>
      </c>
      <c r="G41" s="34">
        <f>IF(COUNT(K41:AG41)=0,"",(P41*8+Q41*7+R41*5+S41*5)/3)</f>
        <v/>
      </c>
      <c r="H41" s="34">
        <f>IF(COUNT(K41:AG41)=0,"",(U41*6+V41*6+W41*4+X41*3+Y41*3+Z41*3)/3)</f>
        <v/>
      </c>
      <c r="I41" s="34">
        <f>IF(COUNT(K41:AG41)=0,"",AB41*3+AC41*2+AD41*2+AE41*1)</f>
        <v/>
      </c>
      <c r="J41" s="34">
        <f>IF(COUNT(K41:AG41)=0,"",(AF41*5+AG41*5)/3)</f>
        <v/>
      </c>
      <c r="K41" s="41" t="n"/>
      <c r="L41" s="41" t="n"/>
      <c r="M41" s="41" t="n"/>
      <c r="N41" s="41" t="n"/>
      <c r="P41" s="41" t="n"/>
      <c r="Q41" s="41" t="n"/>
      <c r="R41" s="41" t="n"/>
      <c r="S41" s="41" t="n"/>
      <c r="U41" s="41" t="n"/>
      <c r="V41" s="41" t="n"/>
      <c r="W41" s="41" t="n"/>
      <c r="X41" s="41" t="n"/>
      <c r="Y41" s="41" t="n"/>
      <c r="Z41" s="41" t="n"/>
      <c r="AB41" s="41" t="n"/>
      <c r="AC41" s="41" t="n"/>
      <c r="AD41" s="41" t="n"/>
      <c r="AE41" s="41" t="n"/>
      <c r="AF41" s="41" t="n">
        <v>3</v>
      </c>
      <c r="AG41" s="41" t="n">
        <v>2</v>
      </c>
      <c r="AI41" s="30" t="inlineStr">
        <is>
          <t xml:space="preserve">N respondeu diretamente a segunda pergunta mas meio q falou pq era bom e falou de todos os projetos, leu sobre </t>
        </is>
      </c>
    </row>
    <row r="42" ht="14.25" customHeight="1" s="60">
      <c r="B42" s="50" t="inlineStr">
        <is>
          <t>g278107@dac.unicamp.br</t>
        </is>
      </c>
      <c r="C42" s="50" t="inlineStr">
        <is>
          <t>Gustavo Daher Pereira</t>
        </is>
      </c>
      <c r="D42" s="30" t="inlineStr">
        <is>
          <t>victor</t>
        </is>
      </c>
      <c r="E42" s="33">
        <f>IF(COUNT(K42:AG42)=0,"",ROUND((F42+G42+H42+I42+J42)/10,2))</f>
        <v/>
      </c>
      <c r="F42" s="34">
        <f>IF(COUNT(K42:AG42)=0,"",(K42*10+L42*8+M42*7+N42*5)/3)</f>
        <v/>
      </c>
      <c r="G42" s="34">
        <f>IF(COUNT(K42:AG42)=0,"",(P42*8+Q42*7+R42*5+S42*5)/3)</f>
        <v/>
      </c>
      <c r="H42" s="34">
        <f>IF(COUNT(K42:AG42)=0,"",(U42*6+V42*6+W42*4+X42*3+Y42*3+Z42*3)/3)</f>
        <v/>
      </c>
      <c r="I42" s="34">
        <f>IF(COUNT(K42:AG42)=0,"",AB42*3+AC42*2+AD42*2+AE42*1)</f>
        <v/>
      </c>
      <c r="J42" s="34">
        <f>IF(COUNT(K42:AG42)=0,"",(AF42*5+AG42*5)/3)</f>
        <v/>
      </c>
      <c r="K42" s="41" t="n"/>
      <c r="L42" s="41" t="n"/>
      <c r="M42" s="41" t="n"/>
      <c r="N42" s="41" t="n"/>
      <c r="P42" s="41" t="n"/>
      <c r="Q42" s="41" t="n"/>
      <c r="R42" s="41" t="n"/>
      <c r="S42" s="41" t="n"/>
      <c r="U42" s="41" t="n"/>
      <c r="V42" s="41" t="n"/>
      <c r="W42" s="41" t="n"/>
      <c r="X42" s="41" t="n"/>
      <c r="Y42" s="41" t="n"/>
      <c r="Z42" s="41" t="n"/>
      <c r="AB42" s="41" t="n"/>
      <c r="AC42" s="41" t="n"/>
      <c r="AD42" s="41" t="n"/>
      <c r="AE42" s="41" t="n"/>
      <c r="AF42" s="41" t="n">
        <v>2</v>
      </c>
      <c r="AG42" s="41" t="n">
        <v>2</v>
      </c>
      <c r="AI42" s="30" t="inlineStr">
        <is>
          <t>Falou de palestras, achei prolixo e video demorado</t>
        </is>
      </c>
    </row>
    <row r="43" ht="14.25" customHeight="1" s="60">
      <c r="B43" s="50" t="inlineStr">
        <is>
          <t>rickfilho2007@gmail.com</t>
        </is>
      </c>
      <c r="C43" s="50" t="inlineStr">
        <is>
          <t>Ricardo Augusto Schmitt Filho</t>
        </is>
      </c>
      <c r="D43" s="30" t="inlineStr">
        <is>
          <t>victor</t>
        </is>
      </c>
      <c r="E43" s="33">
        <f>IF(COUNT(K43:AG43)=0,"",ROUND((F43+G43+H43+I43+J43)/10,2))</f>
        <v/>
      </c>
      <c r="F43" s="34">
        <f>IF(COUNT(K43:AG43)=0,"",(K43*10+L43*8+M43*7+N43*5)/3)</f>
        <v/>
      </c>
      <c r="G43" s="34">
        <f>IF(COUNT(K43:AG43)=0,"",(P43*8+Q43*7+R43*5+S43*5)/3)</f>
        <v/>
      </c>
      <c r="H43" s="34">
        <f>IF(COUNT(K43:AG43)=0,"",(U43*6+V43*6+W43*4+X43*3+Y43*3+Z43*3)/3)</f>
        <v/>
      </c>
      <c r="I43" s="34">
        <f>IF(COUNT(K43:AG43)=0,"",AB43*3+AC43*2+AD43*2+AE43*1)</f>
        <v/>
      </c>
      <c r="J43" s="34">
        <f>IF(COUNT(K43:AG43)=0,"",(AF43*5+AG43*5)/3)</f>
        <v/>
      </c>
      <c r="K43" s="41" t="n"/>
      <c r="L43" s="41" t="n"/>
      <c r="M43" s="41" t="n"/>
      <c r="N43" s="41" t="n"/>
      <c r="P43" s="41" t="n"/>
      <c r="Q43" s="41" t="n"/>
      <c r="R43" s="41" t="n"/>
      <c r="S43" s="41" t="n"/>
      <c r="U43" s="41" t="n"/>
      <c r="V43" s="41" t="n"/>
      <c r="W43" s="41" t="n"/>
      <c r="X43" s="41" t="n"/>
      <c r="Y43" s="41" t="n"/>
      <c r="Z43" s="41" t="n"/>
      <c r="AB43" s="41" t="n"/>
      <c r="AC43" s="41" t="n"/>
      <c r="AD43" s="41" t="n"/>
      <c r="AE43" s="41" t="n"/>
      <c r="AF43" s="41" t="n">
        <v>2</v>
      </c>
      <c r="AG43" s="41" t="n">
        <v>2</v>
      </c>
      <c r="AI43" s="30" t="inlineStr">
        <is>
          <t>Fez u  desafio foda mas n falou nada do ccu</t>
        </is>
      </c>
    </row>
    <row r="44" ht="14.25" customHeight="1" s="60">
      <c r="B44" s="50" t="inlineStr">
        <is>
          <t>m306365@dac.unicamp.br</t>
        </is>
      </c>
      <c r="C44" s="50" t="inlineStr">
        <is>
          <t>Matheus Dias Freitas</t>
        </is>
      </c>
      <c r="D44" s="30" t="inlineStr">
        <is>
          <t>victor</t>
        </is>
      </c>
      <c r="E44" s="33">
        <f>IF(COUNT(K44:AG44)=0,"",ROUND((F44+G44+H44+I44+J44)/10,2))</f>
        <v/>
      </c>
      <c r="F44" s="34">
        <f>IF(COUNT(K44:AG44)=0,"",(K44*10+L44*8+M44*7+N44*5)/3)</f>
        <v/>
      </c>
      <c r="G44" s="34">
        <f>IF(COUNT(K44:AG44)=0,"",(P44*8+Q44*7+R44*5+S44*5)/3)</f>
        <v/>
      </c>
      <c r="H44" s="34">
        <f>IF(COUNT(K44:AG44)=0,"",(U44*6+V44*6+W44*4+X44*3+Y44*3+Z44*3)/3)</f>
        <v/>
      </c>
      <c r="I44" s="34">
        <f>IF(COUNT(K44:AG44)=0,"",AB44*3+AC44*2+AD44*2+AE44*1)</f>
        <v/>
      </c>
      <c r="J44" s="34">
        <f>IF(COUNT(K44:AG44)=0,"",(AF44*5+AG44*5)/3)</f>
        <v/>
      </c>
      <c r="K44" s="41" t="n"/>
      <c r="L44" s="41" t="n"/>
      <c r="M44" s="41" t="n"/>
      <c r="N44" s="41" t="n"/>
      <c r="P44" s="41" t="n"/>
      <c r="Q44" s="41" t="n"/>
      <c r="R44" s="41" t="n"/>
      <c r="S44" s="41" t="n"/>
      <c r="U44" s="41" t="n"/>
      <c r="V44" s="41" t="n"/>
      <c r="W44" s="41" t="n"/>
      <c r="X44" s="41" t="n"/>
      <c r="Y44" s="41" t="n"/>
      <c r="Z44" s="41" t="n"/>
      <c r="AB44" s="41" t="n"/>
      <c r="AC44" s="41" t="n"/>
      <c r="AD44" s="41" t="n"/>
      <c r="AE44" s="41" t="n"/>
      <c r="AF44" s="41" t="n">
        <v>2</v>
      </c>
      <c r="AG44" s="41" t="n">
        <v>1</v>
      </c>
      <c r="AI44" s="30" t="inlineStr">
        <is>
          <t>fez o video de touca, falou tudo muito genérico</t>
        </is>
      </c>
    </row>
    <row r="45" ht="14.25" customHeight="1" s="60">
      <c r="B45" s="50" t="inlineStr">
        <is>
          <t>k267983@dac.unicamp.br</t>
        </is>
      </c>
      <c r="C45" s="50" t="inlineStr">
        <is>
          <t>Klaus Augusto Santos da Silva</t>
        </is>
      </c>
      <c r="D45" s="30" t="inlineStr">
        <is>
          <t>victor</t>
        </is>
      </c>
      <c r="E45" s="33">
        <f>IF(COUNT(K45:AG45)=0,"",ROUND((F45+G45+H45+I45+J45)/10,2))</f>
        <v/>
      </c>
      <c r="F45" s="34">
        <f>IF(COUNT(K45:AG45)=0,"",(K45*10+L45*8+M45*7+N45*5)/3)</f>
        <v/>
      </c>
      <c r="G45" s="34">
        <f>IF(COUNT(K45:AG45)=0,"",(P45*8+Q45*7+R45*5+S45*5)/3)</f>
        <v/>
      </c>
      <c r="H45" s="34">
        <f>IF(COUNT(K45:AG45)=0,"",(U45*6+V45*6+W45*4+X45*3+Y45*3+Z45*3)/3)</f>
        <v/>
      </c>
      <c r="I45" s="34">
        <f>IF(COUNT(K45:AG45)=0,"",AB45*3+AC45*2+AD45*2+AE45*1)</f>
        <v/>
      </c>
      <c r="J45" s="34">
        <f>IF(COUNT(K45:AG45)=0,"",(AF45*5+AG45*5)/3)</f>
        <v/>
      </c>
      <c r="K45" s="41" t="n"/>
      <c r="L45" s="41" t="n"/>
      <c r="M45" s="41" t="n"/>
      <c r="N45" s="41" t="n"/>
      <c r="P45" s="41" t="n"/>
      <c r="Q45" s="41" t="n"/>
      <c r="R45" s="41" t="n"/>
      <c r="S45" s="41" t="n"/>
      <c r="U45" s="41" t="n"/>
      <c r="V45" s="41" t="n"/>
      <c r="W45" s="41" t="n"/>
      <c r="X45" s="41" t="n"/>
      <c r="Y45" s="41" t="n"/>
      <c r="Z45" s="41" t="n"/>
      <c r="AB45" s="41" t="n"/>
      <c r="AC45" s="41" t="n"/>
      <c r="AD45" s="41" t="n"/>
      <c r="AE45" s="41" t="n"/>
      <c r="AF45" s="41" t="n">
        <v>2</v>
      </c>
      <c r="AG45" s="41" t="n">
        <v>1</v>
      </c>
      <c r="AI45" s="30" t="inlineStr">
        <is>
          <t xml:space="preserve">Foi um dos unicos que falou q queria entrar pra ajudar o clube e falou q queria fazer amigo kkkkkkk, mas n achei q sabe muito de consultoria ou o q quer com o clube </t>
        </is>
      </c>
    </row>
    <row r="46" ht="14.25" customHeight="1" s="60">
      <c r="B46" s="50" t="inlineStr">
        <is>
          <t>r302729@dac.unicamp.br</t>
        </is>
      </c>
      <c r="C46" s="50" t="inlineStr">
        <is>
          <t>Rafael Rodrigues Moreira</t>
        </is>
      </c>
      <c r="D46" s="30" t="inlineStr">
        <is>
          <t>Proc</t>
        </is>
      </c>
      <c r="E46" s="33">
        <f>IF(COUNT(K46:AG46)=0,"",ROUND((F46+G46+H46+I46+J46)/10,2))</f>
        <v/>
      </c>
      <c r="F46" s="34">
        <f>IF(COUNT(K46:AG46)=0,"",(K46*10+L46*8+M46*7+N46*5)/3)</f>
        <v/>
      </c>
      <c r="G46" s="34">
        <f>IF(COUNT(K46:AG46)=0,"",(P46*8+Q46*7+R46*5+S46*5)/3)</f>
        <v/>
      </c>
      <c r="H46" s="34">
        <f>IF(COUNT(K46:AG46)=0,"",(U46*6+V46*6+W46*4+X46*3+Y46*3+Z46*3)/3)</f>
        <v/>
      </c>
      <c r="I46" s="34">
        <f>IF(COUNT(K46:AG46)=0,"",AB46*3+AC46*2+AD46*2+AE46*1)</f>
        <v/>
      </c>
      <c r="J46" s="34">
        <f>IF(COUNT(K46:AG46)=0,"",(AF46*5+AG46*5)/3)</f>
        <v/>
      </c>
      <c r="K46" s="41" t="n"/>
      <c r="L46" s="41" t="n"/>
      <c r="M46" s="41" t="n"/>
      <c r="N46" s="41" t="n"/>
      <c r="P46" s="41" t="n"/>
      <c r="Q46" s="41" t="n"/>
      <c r="R46" s="41" t="n"/>
      <c r="S46" s="41" t="n"/>
      <c r="U46" s="41" t="n"/>
      <c r="V46" s="41" t="n"/>
      <c r="W46" s="41" t="n"/>
      <c r="X46" s="41" t="n"/>
      <c r="Y46" s="41" t="n"/>
      <c r="Z46" s="41" t="n"/>
      <c r="AB46" s="41" t="n"/>
      <c r="AC46" s="41" t="n"/>
      <c r="AD46" s="41" t="n"/>
      <c r="AE46" s="41" t="n"/>
      <c r="AF46" s="41" t="n">
        <v>0</v>
      </c>
      <c r="AG46" s="41" t="n">
        <v>1</v>
      </c>
      <c r="AI46" s="30" t="inlineStr">
        <is>
          <t>60% no GMAT; falou bem do nosso instagram, falou pouco sobre ele. 1min30 de vídeo.</t>
        </is>
      </c>
    </row>
    <row r="47" ht="14.25" customHeight="1" s="60">
      <c r="B47" s="50" t="inlineStr">
        <is>
          <t>c258388@dac.unicamp.br</t>
        </is>
      </c>
      <c r="C47" s="50" t="inlineStr">
        <is>
          <t>Caio Augusto Saab</t>
        </is>
      </c>
      <c r="D47" s="30" t="inlineStr">
        <is>
          <t>victor</t>
        </is>
      </c>
      <c r="E47" s="33">
        <f>IF(COUNT(K47:AG47)=0,"",ROUND((F47+G47+H47+I47+J47)/10,2))</f>
        <v/>
      </c>
      <c r="F47" s="34">
        <f>IF(COUNT(K47:AG47)=0,"",(K47*10+L47*8+M47*7+N47*5)/3)</f>
        <v/>
      </c>
      <c r="G47" s="34">
        <f>IF(COUNT(K47:AG47)=0,"",(P47*8+Q47*7+R47*5+S47*5)/3)</f>
        <v/>
      </c>
      <c r="H47" s="34">
        <f>IF(COUNT(K47:AG47)=0,"",(U47*6+V47*6+W47*4+X47*3+Y47*3+Z47*3)/3)</f>
        <v/>
      </c>
      <c r="I47" s="34">
        <f>IF(COUNT(K47:AG47)=0,"",AB47*3+AC47*2+AD47*2+AE47*1)</f>
        <v/>
      </c>
      <c r="J47" s="34">
        <f>IF(COUNT(K47:AG47)=0,"",(AF47*5+AG47*5)/3)</f>
        <v/>
      </c>
      <c r="K47" s="41" t="n"/>
      <c r="L47" s="41" t="n"/>
      <c r="M47" s="41" t="n"/>
      <c r="N47" s="41" t="n"/>
      <c r="P47" s="41" t="n"/>
      <c r="Q47" s="41" t="n"/>
      <c r="R47" s="41" t="n"/>
      <c r="S47" s="41" t="n"/>
      <c r="U47" s="41" t="n"/>
      <c r="V47" s="41" t="n"/>
      <c r="W47" s="41" t="n"/>
      <c r="X47" s="41" t="n"/>
      <c r="Y47" s="41" t="n"/>
      <c r="Z47" s="41" t="n"/>
      <c r="AB47" s="41" t="n"/>
      <c r="AC47" s="41" t="n"/>
      <c r="AD47" s="41" t="n"/>
      <c r="AE47" s="41" t="n"/>
      <c r="AF47" s="41" t="n">
        <v>2</v>
      </c>
      <c r="AG47" s="41" t="n">
        <v>1</v>
      </c>
      <c r="AI47" s="30" t="inlineStr">
        <is>
          <t xml:space="preserve">muito generico </t>
        </is>
      </c>
    </row>
    <row r="48" ht="14.25" customHeight="1" s="60">
      <c r="B48" s="50" t="inlineStr">
        <is>
          <t>j260826@dac.unicamp.br</t>
        </is>
      </c>
      <c r="C48" s="50" t="inlineStr">
        <is>
          <t>José Vitor Dias Tutu</t>
        </is>
      </c>
      <c r="D48" s="30" t="inlineStr">
        <is>
          <t>Proc</t>
        </is>
      </c>
      <c r="E48" s="33">
        <f>IF(COUNT(K48:AG48)=0,"",ROUND((F48+G48+H48+I48+J48)/10,2))</f>
        <v/>
      </c>
      <c r="F48" s="34">
        <f>IF(COUNT(K48:AG48)=0,"",(K48*10+L48*8+M48*7+N48*5)/3)</f>
        <v/>
      </c>
      <c r="G48" s="34">
        <f>IF(COUNT(K48:AG48)=0,"",(P48*8+Q48*7+R48*5+S48*5)/3)</f>
        <v/>
      </c>
      <c r="H48" s="34">
        <f>IF(COUNT(K48:AG48)=0,"",(U48*6+V48*6+W48*4+X48*3+Y48*3+Z48*3)/3)</f>
        <v/>
      </c>
      <c r="I48" s="34">
        <f>IF(COUNT(K48:AG48)=0,"",AB48*3+AC48*2+AD48*2+AE48*1)</f>
        <v/>
      </c>
      <c r="J48" s="34">
        <f>IF(COUNT(K48:AG48)=0,"",(AF48*5+AG48*5)/3)</f>
        <v/>
      </c>
      <c r="K48" s="41" t="n"/>
      <c r="L48" s="41" t="n"/>
      <c r="M48" s="41" t="n"/>
      <c r="N48" s="41" t="n"/>
      <c r="P48" s="41" t="n"/>
      <c r="Q48" s="41" t="n"/>
      <c r="R48" s="41" t="n"/>
      <c r="S48" s="41" t="n"/>
      <c r="U48" s="41" t="n"/>
      <c r="V48" s="41" t="n"/>
      <c r="W48" s="41" t="n"/>
      <c r="X48" s="41" t="n"/>
      <c r="Y48" s="41" t="n"/>
      <c r="Z48" s="41" t="n"/>
      <c r="AB48" s="41" t="n"/>
      <c r="AC48" s="41" t="n"/>
      <c r="AD48" s="41" t="n"/>
      <c r="AE48" s="41" t="n"/>
      <c r="AF48" s="41" t="n">
        <v>2</v>
      </c>
      <c r="AG48" s="41" t="n">
        <v>1</v>
      </c>
      <c r="AI48" s="30" t="inlineStr">
        <is>
          <t>Tentou traduzir a página e foi mal no GMAT. Vídeo ruim. Motivos ruins.</t>
        </is>
      </c>
    </row>
    <row r="49" ht="14.25" customHeight="1" s="60">
      <c r="B49" s="50" t="inlineStr">
        <is>
          <t xml:space="preserve">i253464@dac.unicamp.br
</t>
        </is>
      </c>
      <c r="C49" s="50" t="inlineStr">
        <is>
          <t>Isadora Kluge Dorigan</t>
        </is>
      </c>
      <c r="D49" s="30" t="inlineStr">
        <is>
          <t>Fred</t>
        </is>
      </c>
      <c r="E49" s="33">
        <f>IF(COUNT(K49:AG49)=0,"",ROUND((F49+G49+H49+I49+J49)/10,2))</f>
        <v/>
      </c>
      <c r="F49" s="34">
        <f>IF(COUNT(K49:AG49)=0,"",(K49*10+L49*8+M49*7+N49*5)/3)</f>
        <v/>
      </c>
      <c r="G49" s="34">
        <f>IF(COUNT(K49:AG49)=0,"",(P49*8+Q49*7+R49*5+S49*5)/3)</f>
        <v/>
      </c>
      <c r="H49" s="34">
        <f>IF(COUNT(K49:AG49)=0,"",(U49*6+V49*6+W49*4+X49*3+Y49*3+Z49*3)/3)</f>
        <v/>
      </c>
      <c r="I49" s="34">
        <f>IF(COUNT(K49:AG49)=0,"",AB49*3+AC49*2+AD49*2+AE49*1)</f>
        <v/>
      </c>
      <c r="J49" s="34">
        <f>IF(COUNT(K49:AG49)=0,"",(AF49*5+AG49*5)/3)</f>
        <v/>
      </c>
      <c r="K49" s="41" t="n"/>
      <c r="L49" s="41" t="n"/>
      <c r="M49" s="41" t="n"/>
      <c r="N49" s="41" t="n"/>
      <c r="P49" s="41" t="n"/>
      <c r="Q49" s="41" t="n"/>
      <c r="R49" s="41" t="n"/>
      <c r="S49" s="41" t="n"/>
      <c r="U49" s="41" t="n"/>
      <c r="V49" s="41" t="n"/>
      <c r="W49" s="41" t="n"/>
      <c r="X49" s="41" t="n"/>
      <c r="Y49" s="41" t="n"/>
      <c r="Z49" s="41" t="n"/>
      <c r="AB49" s="41" t="n"/>
      <c r="AC49" s="41" t="n"/>
      <c r="AD49" s="41" t="n"/>
      <c r="AE49" s="41" t="n"/>
      <c r="AF49" s="41" t="n">
        <v>3</v>
      </c>
      <c r="AG49" s="41" t="n">
        <v>3</v>
      </c>
      <c r="AI49" s="30" t="inlineStr">
        <is>
          <t>Mandou bem no vídeo e vai ser a próxima ana bia + verena</t>
        </is>
      </c>
    </row>
    <row r="50" ht="14.25" customHeight="1" s="60">
      <c r="B50" s="38" t="inlineStr">
        <is>
          <t>01</t>
        </is>
      </c>
      <c r="C50" s="30" t="inlineStr">
        <is>
          <t>Candidato 01 — pasta entregas-candidatos/01 (case BagHub 2026.2)</t>
        </is>
      </c>
      <c r="D50" s="30" t="inlineStr">
        <is>
          <t>Avaliador 1</t>
        </is>
      </c>
      <c r="E50" s="33">
        <f>IF(COUNT(K50:AG50)=0,"",ROUND((F50+G50+H50+I50+J50)/10,2))</f>
        <v/>
      </c>
      <c r="F50" s="34">
        <f>IF(COUNT(K50:AG50)=0,"",(K50*10+L50*8+M50*7+N50*5)/3)</f>
        <v/>
      </c>
      <c r="G50" s="34">
        <f>IF(COUNT(K50:AG50)=0,"",(P50*8+Q50*7+R50*5+S50*5)/3)</f>
        <v/>
      </c>
      <c r="H50" s="34">
        <f>IF(COUNT(K50:AG50)=0,"",(U50*6+V50*6+W50*4+X50*3+Y50*3+Z50*3)/3)</f>
        <v/>
      </c>
      <c r="I50" s="34">
        <f>IF(COUNT(K50:AG50)=0,"",AB50*3+AC50*2+AD50*2+AE50*1)</f>
        <v/>
      </c>
      <c r="J50" s="34">
        <f>IF(COUNT(K50:AG50)=0,"",(AF50*5+AG50*5)/3)</f>
        <v/>
      </c>
      <c r="K50" s="41" t="n">
        <v>3</v>
      </c>
      <c r="L50" s="41" t="n">
        <v>2</v>
      </c>
      <c r="M50" s="41" t="n">
        <v>3</v>
      </c>
      <c r="N50" s="41" t="n">
        <v>3</v>
      </c>
      <c r="O50" s="37" t="inlineStr">
        <is>
          <t>C1=3: a recomendação está em uma frase, com R$ 27,84M e margem de 77,3%, na primeira página do relatório e no slide 2. C2=2: o slide 7 mostra seis dos oito cenários, faltam Noite Alta e Arena no modelo de armários, mesmo com o título dizendo "por Bairro e Modelo"; o relatório está completo. C3=3: lendo só os títulos a história fecha, de tese a riscos. C4=3: fonte, cor e tabelas seguem o mesmo padrão nos dois arquivos.</t>
        </is>
      </c>
      <c r="P50" s="41" t="n">
        <v>3</v>
      </c>
      <c r="Q50" s="41" t="n">
        <v>3</v>
      </c>
      <c r="R50" s="41" t="n">
        <v>2</v>
      </c>
      <c r="S50" s="41" t="n">
        <v>3</v>
      </c>
      <c r="T50" s="37" t="inlineStr">
        <is>
          <t>R1=3: na p.4 o número está amarrado à razão de negócio, caixa absoluto para financiar a expansão mais o zero de CAPEX; tapando o número ou o argumento a recomendação continua de pé. R2=3: a DRE da p.3 compara os quatro bairros nos dois modelos e ele justifica por escrito por que descartou o Centro Histórico, R$ 3,34M a menos em absoluto apesar dos 90,7% de margem. R3=2: o giro por posição é análise extra e ligada à decisão, mas não muda a conclusão, e não há sensibilidade nem payback. R4=3: na p.2 ele explica a causa da ociosidade, os picos concentrados inflando o custo fixo unitário, e não só repete o número.</t>
        </is>
      </c>
      <c r="U50" s="41" t="n">
        <v>3</v>
      </c>
      <c r="V50" s="41" t="n">
        <v>3</v>
      </c>
      <c r="W50" s="41" t="n">
        <v>3</v>
      </c>
      <c r="X50" s="41" t="n">
        <v>3</v>
      </c>
      <c r="Y50" s="41" t="n">
        <v>3</v>
      </c>
      <c r="Z50" s="41" t="n">
        <v>1</v>
      </c>
      <c r="AA50" s="37" t="inlineStr">
        <is>
          <t>A1 e A2=3: refiz os oito cenários pelos Anexos C e E e todos conferem, Estação Central 27,84M e 25,08M, Centro Histórico 24,5M e 23,15M, Noite Alta 19,2M e 18,57M, Arena 14,94M e 13,87M. Acertou o arredondamento da Arena, 900 dividido por 40 dá 22,5 e ele usou 23 bancos, R$ 1,61M. A memória de cálculo está visível na p.2, com as cinco equações, e na p.3. A3=3: o roadmap das quatro fases fecha com a própria DRE dele; vale notar que este case não declara meta numérica, então essa parte do descritor não dá para testar. A4=3: quantificou o trade-off entre Estação Central e Centro Histórico. A5=3: os quatro riscos são específicos do modelo de parceiros e todos têm mitigação, com prazo aparecendo no piloto de 30 dias. A6=1: o case não trouxe um erro plantado explícito, mas existe uma tensão nos dados de utilização, porque 33% da semana na Noite Alta dá 55h ocupadas por posição e a janela dela é de 19h às 2h, ou seja 49h. Ele passou pelo ponto sem errar, não descontou transações, mas nunca nomeou a inconsistência. Se a diretoria entender que não havia erro plantado, melhor neutralizar o item para todos.</t>
        </is>
      </c>
      <c r="AB50" s="41" t="n">
        <v>0</v>
      </c>
      <c r="AC50" s="41" t="n">
        <v>1</v>
      </c>
      <c r="AD50" s="41" t="n">
        <v>0</v>
      </c>
      <c r="AE50" s="41" t="n">
        <v>3</v>
      </c>
      <c r="AF50" s="41" t="n"/>
      <c r="AG50" s="41" t="n"/>
      <c r="AH50" s="37" t="inlineStr">
        <is>
          <t>V1 e V2 ficaram em branco porque as notas da etapa de vídeo não vieram junto com a pasta 01, que está anônima. Precisa transcrever da etapa anterior: valem 10 pontos e hoje entram como zero, puxando a nota final para baixo. E1 e E3 ficaram zero porque não há planilha nem vídeo de entrega na pasta, mas o enunciado deste semestre não pediu esses entregáveis. O mais justo é neutralizar os dois itens para todos os candidatos ou passar a exigi-los no próximo case.</t>
        </is>
      </c>
      <c r="AI50" s="30" t="inlineStr">
        <is>
          <t>Deu pra ver que usou IA. O deck inteiro é imagem, não tem um texto selecionável, e o relatório é um HTML exportado em PDF; o nome do arquivo veio até com "McKinsey Style". As quatro seções têm exatamente a mesma profundidade, o que não acontece com quem resolve num fim de semana e precisa cortar coisa, e a memória de cálculo aparece detalhada só em um dos quatro bairros. Fora isso, a entrega é boa. Os oito cenários fecham, incluindo o arredondamento dos bancos na Arena, que é onde a maioria escorrega, e a recomendação está na primeira página e no slide 2 já com o número. O que me incomodou foi o critério do rollout mudar no meio: começa priorizando caixa absoluto, na fase 2 justifica pela maior margem e nas fases 3 e 4 volta para o absoluto, colocando Noite Alta com 64% de margem na frente da Arena com 83%. Também não fez nenhuma sensibilidade nem mostrou a partir de que ponto um modelo passa o outro. Na entrevista eu levaria duas perguntas: a partir de qual custo de operação por posição nos pontos parceiros o modelo de armários passa a ser melhor na Estação Central, e por que Noite Alta vem antes da Arena se a margem da Arena é maior. Quem montou o modelo responde rápido. A nota saiu 7,87 com V1 e V2 em branco; considerando só o que dá para avaliar de fato, equivale a 8,74.</t>
        </is>
      </c>
    </row>
    <row r="51" ht="14.25" customHeight="1" s="60">
      <c r="B51" s="0" t="inlineStr">
        <is>
          <t>02</t>
        </is>
      </c>
      <c r="C51" s="0" t="inlineStr">
        <is>
          <t>02 · Aslan Rodrigues Maia (pasta entregas-candidatos/02, case BagHub 2026.2)</t>
        </is>
      </c>
      <c r="D51" s="0" t="inlineStr">
        <is>
          <t>Avaliador 1</t>
        </is>
      </c>
      <c r="E51" s="33">
        <f>IF(COUNT(K51:AG51)=0,"",ROUND((F51+G51+H51+I51+J51)/10,2))</f>
        <v/>
      </c>
      <c r="F51" s="34">
        <f>IF(COUNT(K51:AG51)=0,"",(K51*10+L51*8+M51*7+N51*5)/3)</f>
        <v/>
      </c>
      <c r="G51" s="34">
        <f>IF(COUNT(K51:AG51)=0,"",(P51*8+Q51*7+R51*5+S51*5)/3)</f>
        <v/>
      </c>
      <c r="H51" s="34">
        <f>IF(COUNT(K51:AG51)=0,"",(U51*6+V51*6+W51*4+X51*3+Y51*3+Z51*3)/3)</f>
        <v/>
      </c>
      <c r="I51" s="34">
        <f>IF(COUNT(K51:AG51)=0,"",AB51*3+AC51*2+AD51*2+AE51*1)</f>
        <v/>
      </c>
      <c r="J51" s="34">
        <f>IF(COUNT(K51:AG51)=0,"",(AF51*5+AG51*5)/3)</f>
        <v/>
      </c>
      <c r="K51" s="41" t="n">
        <v>3</v>
      </c>
      <c r="L51" s="41" t="n">
        <v>3</v>
      </c>
      <c r="M51" s="41" t="n">
        <v>3</v>
      </c>
      <c r="N51" s="41" t="n">
        <v>3</v>
      </c>
      <c r="O51" s="68" t="inlineStr">
        <is>
          <t>C1=3: pag. 2, uma frase, "A BagHub deve lançar na Estação Central operando por pontos parceiros, com lucro operacional projetado de R$ 27,8 milhões no primeiro ano", com o número na própria frase. C2=3: dois documentos fechados, capa, rodapé numerado nas 12 páginas e anexo de bases de cálculo paginado 1/5 a 5/5; enviaria ao cliente sem editar. C3=3: lendo só os títulos a história fecha sozinha, recomendação, custo decide, parceiros custam menos, decisão passa a ser de bairro, giro explica a margem, Estação lidera, riscos, piloto. C4=3: padrão único de fonte, cor e tabela nos dois arquivos, nenhuma página com parágrafo corrido.</t>
        </is>
      </c>
      <c r="P51" s="41" t="n">
        <v>3</v>
      </c>
      <c r="Q51" s="41" t="n">
        <v>3</v>
      </c>
      <c r="R51" s="41" t="n">
        <v>3</v>
      </c>
      <c r="S51" s="41" t="n">
        <v>3</v>
      </c>
      <c r="T51" s="68" t="inlineStr">
        <is>
          <t>R1=3: pag. 2 e 7 amarram R$ 27,8M à razão de negócio (prioridade declarada é rentabilidade anual, margem de 77,3% como colchão, capacidade contratável em qualquer bairro); tapando o número o argumento continua, tapando o argumento o 27,8M continua sendo o máximo dos oito. R2=3: pag. 5 compara Estação Central e Centro Histórico em cinco métricas lado a lado, pag. 7 justifica por escrito por que descartou o Centro Histórico apesar dos 90,7% de margem, e pag. 9 ordena os quatro explicando por que Noite Alta vem antes da Arena. R3=3: trouxe giro semanal por posição, lucro por posição e a prova de dominância da seção 5.1, o prêmio do parceiro (R$ 400 a R$ 1.400 por posição) é sempre menor que o banco rateado (R$ 1.750), o que generaliza a escolha do modelo para além dos oito casos e fortalece a recomendação. R4=3: pag. 6 explica a causa, a Estação precisa de 2,4x mais posições para 1,33x mais transações porque cada posição gira 10 vezes por semana contra 18 no Centro Histórico, e liga isso à ocasião de uso.</t>
        </is>
      </c>
      <c r="U51" s="41" t="n">
        <v>3</v>
      </c>
      <c r="V51" s="41" t="n">
        <v>3</v>
      </c>
      <c r="W51" s="41" t="n">
        <v>3</v>
      </c>
      <c r="X51" s="41" t="n">
        <v>3</v>
      </c>
      <c r="Y51" s="41" t="n">
        <v>3</v>
      </c>
      <c r="Z51" s="41" t="n">
        <v>1</v>
      </c>
      <c r="AA51" s="68" t="inlineStr">
        <is>
          <t>A1 e A2=3: refiz os oito cenários pelos Anexos C e E e todos conferem, Estação Central 27,84M e 25,08M, Centro Histórico 24,5M e 23,15M, Noite Alta 19,2M e 18,57M, Arena 14,94M e 13,87M. Bancos 60/25/23/45, com a Arena correta (900/40 = 22,5 arredondado para 23, R$ 1,61M). Memória visível na seção 4 do anexo, cálculo por extenso da Estação Central, e na tabela de composição da seção 5. A3=3: a ordem de expansão da pag. 9 fecha com a própria tabela dele; ressalva de que este case não declara meta numérica, então essa parte do descritor não é testável. A4=3: quantificou o trade-off Estação Central x Centro Histórico (R$ 3,3M a mais em absoluto contra R$ 24.500 x R$ 11.600 de lucro por posição). A5=3: quatro riscos na pag. 10, todos específicos do modelo de parceiros, cada um com mitigação contratual (teto de participação, contratos plurianuais com preço travado, lista de suplentes, horário mínimo com desconto) e a contratação em etapas travada em dado real. Prazo aparece como termo contratual ("preço travado por prazo definido", contratos plurianuais) mas sem duração fixada, ponto mais fraco do 3, contestável por um 2º avaliador. A6=1: o case não traz erro plantado. Ele declarou a premissa P3 citando o Anexo C e não descontou transações, ou seja, passou pelo ponto certo sem nomear inconsistência nenhuma, mesma situação da pasta 01.</t>
        </is>
      </c>
      <c r="AB51" s="41" t="n">
        <v>0</v>
      </c>
      <c r="AC51" s="41" t="n">
        <v>1</v>
      </c>
      <c r="AD51" s="41" t="n">
        <v>0</v>
      </c>
      <c r="AE51" s="41" t="n">
        <v>3</v>
      </c>
      <c r="AF51" s="41" t="n"/>
      <c r="AG51" s="41" t="n"/>
      <c r="AH51" s="68" t="inlineStr">
        <is>
          <t>V1 e V2 em branco: as notas da etapa de vídeo não vieram com a pasta. O nome está no arquivo (Aslan Rodrigues Maia), então dá para transcrever das linhas 17 e 39. Enquanto ficarem em branco, entram como zero e puxam 10 pontos. E1=0 e E3=0 porque não há planilha nem vídeo de entrega na pasta, mas o enunciado deste semestre não pediu esses entregáveis, e o anexo de bases de cálculo cumpre a função de memória de cálculo. Recomendo neutralizar E1 e E3 para todos.</t>
        </is>
      </c>
      <c r="AI51" s="68"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Nota 8,30 com vídeo em branco. Considerando só o que dá para avaliar, 9,22.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IDENTIFICAÇÃO: Aslan Rodrigues Maia, a266739@dac.unicamp.br. Confiança alta. Como cheguei nisso: nome no nome dos dois arquivos e no titulo interno do PDF ("Apresentação - Aslan Maia - Case CCU"). As notas de vídeo dele estão nas linhas 17 e 39 desta aba e precisam ser transcritas para cá, porque valem 10 pontos e hoje entram como zero.</t>
        </is>
      </c>
    </row>
    <row r="52" ht="14.25" customHeight="1" s="60">
      <c r="B52" s="0" t="inlineStr">
        <is>
          <t>03</t>
        </is>
      </c>
      <c r="C52" s="0" t="inlineStr">
        <is>
          <t>03 · Bruno Heberth Oliveira Bastos (pasta entregas-candidatos/03, case BagHub 2026.2)</t>
        </is>
      </c>
      <c r="D52" s="0" t="inlineStr">
        <is>
          <t>Avaliador 1</t>
        </is>
      </c>
      <c r="E52" s="33">
        <f>IF(COUNT(K52:AG52)=0,"",ROUND((F52+G52+H52+I52+J52)/10,2))</f>
        <v/>
      </c>
      <c r="F52" s="34">
        <f>IF(COUNT(K52:AG52)=0,"",(K52*10+L52*8+M52*7+N52*5)/3)</f>
        <v/>
      </c>
      <c r="G52" s="34">
        <f>IF(COUNT(K52:AG52)=0,"",(P52*8+Q52*7+R52*5+S52*5)/3)</f>
        <v/>
      </c>
      <c r="H52" s="34">
        <f>IF(COUNT(K52:AG52)=0,"",(U52*6+V52*6+W52*4+X52*3+Y52*3+Z52*3)/3)</f>
        <v/>
      </c>
      <c r="I52" s="34">
        <f>IF(COUNT(K52:AG52)=0,"",AB52*3+AC52*2+AD52*2+AE52*1)</f>
        <v/>
      </c>
      <c r="J52" s="34">
        <f>IF(COUNT(K52:AG52)=0,"",(AF52*5+AG52*5)/3)</f>
        <v/>
      </c>
      <c r="K52" s="41" t="n">
        <v>3</v>
      </c>
      <c r="L52" s="41" t="n">
        <v>2</v>
      </c>
      <c r="M52" s="41" t="n">
        <v>1</v>
      </c>
      <c r="N52" s="41" t="n">
        <v>3</v>
      </c>
      <c r="O52" s="68" t="inlineStr">
        <is>
          <t>C1=3: pag. 1, em destaque, "eu começaria pela Estação Central usando Pontos parceiros. O principal motivo é o resultado operacional anual de R$ 27,84 milhões", com o número na frase e na primeira página. C2=2: o documento é completo e tem seções numeradas, rodapé e citação da fonte, mas é escrito inteiro em primeira pessoa com hedge constante ("Eu não diria que isso prova", "não achei correto", "Para mim"), é um relatório de reflexão pessoal, não um documento que um cliente receberia como está. C3=1: aplicando o teste operacional, os títulos são rótulos genéricos ("4. Cálculo da rentabilidade", "6. Minha escolha para o lançamento") e a recomendação não aparece em nenhum deles; lendo só os títulos você sabe que existe uma escolha, não qual é. A sequência interna é lógica, o que torna este 1 o item mais contestável da minha correção. C4=3: fonte, tabelas e rodapé no mesmo padrão nas 10 páginas, nenhuma fora do padrão.</t>
        </is>
      </c>
      <c r="P52" s="41" t="n">
        <v>3</v>
      </c>
      <c r="Q52" s="41" t="n">
        <v>3</v>
      </c>
      <c r="R52" s="41" t="n">
        <v>1</v>
      </c>
      <c r="S52" s="41" t="n">
        <v>2</v>
      </c>
      <c r="T52" s="68" t="inlineStr">
        <is>
          <t>R1=3: pag. 7 dá três motivos amarrados, R$ 27,84M, escala de 24 mil transações/semana e a âncora do terminal, mais o argumento de que o modelo parceiro não exige comprar bancos, o que simplifica a estrutura de quem está começando; tapando o número os motivos de escala e capex continuam, tapando o argumento o 27,84M continua sendo o máximo. R2=3: pag. 5 traz os oito cenários, pag. 6 compara os dois modelos com a conta da diferença (operação R$ 1,44M a mais contra R$ 4,20M de bancos), e pag. 7 descarta por escrito Arena (concentração em eventos) e Noite Alta (horário e complexidade), com o Centro Histórico nomeado como segunda opção a R$ 24,50M. R3=1: entregou as quatro tarefas de forma completa e correta, mas não trouxe nada de fato além do pedido, a única métrica derivada (posições ocupadas em média, pag. 4) está dentro da tarefa de demanda e capacidade e ele mesmo a neutraliza como indicador, sem sensibilidade, breakeven ou economia por posição. R4=2: pag. 4 compara a utilização entre os quatro bairros e tira conclusão metodológica correta (separar volume de ocupação, misturar distorceria a receita), mas a causa que ele dá é a que o próprio case já informa (capacidade dimensionada para picos); não explica por que a utilização do Centro Histórico é maior nem por que a Estação precisa de 2,4x mais posições para 1,33x mais transações.</t>
        </is>
      </c>
      <c r="U52" s="41" t="n">
        <v>3</v>
      </c>
      <c r="V52" s="41" t="n">
        <v>3</v>
      </c>
      <c r="W52" s="41" t="n">
        <v>2</v>
      </c>
      <c r="X52" s="41" t="n">
        <v>3</v>
      </c>
      <c r="Y52" s="41" t="n">
        <v>2</v>
      </c>
      <c r="Z52" s="41" t="n">
        <v>1</v>
      </c>
      <c r="AA52" s="68" t="inlineStr">
        <is>
          <t>A1 e A2=3: os oito cenários conferem com o meu recálculo. A memória de cálculo é a melhor do conjunto, planilha real com fórmulas vivas, ROUNDUP(C/40) gerando 60/25/23/45 bancos e referências entre abas (Resumo puxa de Premissas e Cálculos), mais o exemplo por extenso da Estação Central na pag. 5. Arena com 23 bancos correta. A3=2: a ordem de expansão tem número (Centro Histórico a R$ 24,50M como segundo, pag. 7), mas o plano da pag. 9 é narrativo em cinco passos sem nenhum número e sem ponte entre períodos; o case não declara meta numérica, então a parte do descritor que compara com a meta não é testável. A4=3: Centro Histórico proposto como alternativa com impacto quantificado em R$ 24,50M e a razão da baixa complexidade. A5=2: os cinco pontos de validação da pag. 8 são específicos da recomendação dele (disponibilidade real de parceiros é específica do modelo parceiro, picos da Estação são específicos do bairro escolhido) e a pag. 9 traz mitigação real em cinco passos travados no piloto, mas não há prazo em lugar nenhum, nem duração do piloto. Fica entre os descritores: supera o 2 na mitigação e não alcança o 3 por falta de prazo; registro para o 2º avaliador contestar. A6=1: o case não traz erro plantado. Ele nomeia e justifica o único ponto ambíguo, pag. 2 e aba Notas, "a utilização não deve ser aplicada como desconto", citando o material, mas o que nomeou é a instrução do próprio case, não uma inconsistência. Mesma situação de todas as pastas.</t>
        </is>
      </c>
      <c r="AB52" s="41" t="n">
        <v>1</v>
      </c>
      <c r="AC52" s="41" t="n">
        <v>1</v>
      </c>
      <c r="AD52" s="41" t="n">
        <v>0</v>
      </c>
      <c r="AE52" s="41" t="n">
        <v>3</v>
      </c>
      <c r="AF52" s="41" t="n"/>
      <c r="AG52" s="41" t="n"/>
      <c r="AH52" s="68" t="inlineStr">
        <is>
          <t>V1 e V2 em branco: notas da etapa de vídeo não vieram com a pasta; o nome está no arquivo (Bruno Heberth), então dá para transcrever das linhas 8 e 30. E1=1: é o único do conjunto até aqui com planilha de verdade.xlsx com cinco abas e fórmulas vivas. E3=0, sem vídeo de entrega, item que o enunciado não pediu e que recomendo neutralizar para todos.</t>
        </is>
      </c>
      <c r="AI52" s="68"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Nota 7,13 com vídeo em branco. Considerando só o que dá para avaliar, 7,93.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IDENTIFICAÇÃO: Bruno Heberth Oliveira Bastos, b309603@dac.unicamp.br. Confiança alta. Como cheguei nisso: nome no nome dos dois arquivos dele. As notas de vídeo dele estão nas linhas 8 e 30 desta aba e precisam ser transcritas para cá, porque valem 10 pontos e hoje entram como zero.</t>
        </is>
      </c>
    </row>
    <row r="53" ht="14.25" customHeight="1" s="60">
      <c r="B53" s="0" t="inlineStr">
        <is>
          <t>04</t>
        </is>
      </c>
      <c r="C53" s="0" t="inlineStr">
        <is>
          <t>04 · Caio Augusto Saab (pasta entregas-candidatos/04, case BagHub 2026.2)</t>
        </is>
      </c>
      <c r="D53" s="0" t="inlineStr">
        <is>
          <t>Avaliador 1</t>
        </is>
      </c>
      <c r="E53" s="33">
        <f>IF(COUNT(K53:AG53)=0,"",ROUND((F53+G53+H53+I53+J53)/10,2))</f>
        <v/>
      </c>
      <c r="F53" s="34">
        <f>IF(COUNT(K53:AG53)=0,"",(K53*10+L53*8+M53*7+N53*5)/3)</f>
        <v/>
      </c>
      <c r="G53" s="34">
        <f>IF(COUNT(K53:AG53)=0,"",(P53*8+Q53*7+R53*5+S53*5)/3)</f>
        <v/>
      </c>
      <c r="H53" s="34">
        <f>IF(COUNT(K53:AG53)=0,"",(U53*6+V53*6+W53*4+X53*3+Y53*3+Z53*3)/3)</f>
        <v/>
      </c>
      <c r="I53" s="34">
        <f>IF(COUNT(K53:AG53)=0,"",AB53*3+AC53*2+AD53*2+AE53*1)</f>
        <v/>
      </c>
      <c r="J53" s="34">
        <f>IF(COUNT(K53:AG53)=0,"",(AF53*5+AG53*5)/3)</f>
        <v/>
      </c>
      <c r="K53" s="41" t="n">
        <v>2</v>
      </c>
      <c r="L53" s="41" t="n">
        <v>1</v>
      </c>
      <c r="M53" s="41" t="n">
        <v>1</v>
      </c>
      <c r="N53" s="41" t="n">
        <v>1</v>
      </c>
      <c r="O53" s="68" t="inlineStr">
        <is>
          <t>C1=2: a recomendação é explícita e clara, "minha indicação é de que a BagHub deve ser implantada no Centro Histórico adotando o modelo de armários inteligentes", mas está na última frase da pag. 5 de 5, e a introdução ainda anuncia "ao final recomendaremos", ou seja, o leitor precisa chegar ao fim. Sem número na frase. C2=1: texto corrido sem capa, sem rodapé, sem numeração de página e sem uma única tabela; os dados aparecem como listas "Dados:" e "Cálculos:" embutidas no texto, e o bloco de dados da Estação Central quebra no meio da pag. 1 para a 2. É formato de rascunho. C3=1: teste operacional, os títulos são Introdução, Desenvolvimento, 1. Estação central, 2. Centro histórico, 3. Arena, 4. Noite Alta, Conclusão; a recomendação não aparece em nenhum, e as quatro seções de bairro são paralelas e independentes, nenhuma puxa a seguinte. C4=1: formatação improvisada mas legível, fonte única, porém nenhum recurso visual, nenhuma numeração, nenhum cabeçalho.</t>
        </is>
      </c>
      <c r="P53" s="41" t="n">
        <v>0</v>
      </c>
      <c r="Q53" s="41" t="n">
        <v>2</v>
      </c>
      <c r="R53" s="41" t="n">
        <v>0</v>
      </c>
      <c r="S53" s="41" t="n">
        <v>1</v>
      </c>
      <c r="T53" s="68" t="inlineStr">
        <is>
          <t>R1=0: a recomendação contraria os próprios números. Ele declara na pag. 4 que "a principal métrica será a margem bruta" e, dentro do Centro Histórico, escolhe armários (85,7%) em vez de parceiros (90,7%), que também é o de maior resultado absoluto (R$ 24,50M contra R$ 23,15M). Ou seja, escolheu a pior opção pela própria métrica que declarou, e justifica com argumentos qualitativos (operação 24h, escalabilidade, inovação) sem reconhecer que está sacrificando R$ 1,35M por ano. Além disso a métrica escolhida contraria a prioridade declarada no case, que é rentabilidade anual. R2=2: ele elimina bairros por escrito e com critério, mas a comparação não se sustenta, descarta a Estação Central alegando "alta complexidade operacional" quando ele mesmo escreveu "complexidade operacional moderada" na pag. 1, e afirma que a Arena tem margem abaixo de 80% "tanto no modelo de armários quanto de pontos parceiros" quando parceiros dá 83,0%. Na escolha do modelo calcula a diferença de R$ 1.350.000 (5% da receita) e a descarta como "não tão alta" sem ponderar o trade-off. R3=0: o pedido ficou incompleto, o enunciado pede riscos e próximos passos de forma qualitativa na tarefa 04 e não há nenhuma das duas coisas no documento. R4=1: lê as margens do Centro Histórico corretamente, mas erra o driver, atribui o custo alto da Estação Central à complexidade (que é moderada) quando a causa é ter 2.400 posições, e usa a utilização de 54% como se fosse sinal de qualidade do bairro ("isso confirma nossa escolha"), leitura que o próprio case adverte contra.</t>
        </is>
      </c>
      <c r="U53" s="41" t="n">
        <v>2</v>
      </c>
      <c r="V53" s="41" t="n">
        <v>1</v>
      </c>
      <c r="W53" s="41" t="n">
        <v>0</v>
      </c>
      <c r="X53" s="41" t="n">
        <v>1</v>
      </c>
      <c r="Y53" s="41" t="n">
        <v>0</v>
      </c>
      <c r="Z53" s="41" t="n">
        <v>1</v>
      </c>
      <c r="AA53" s="68" t="inlineStr">
        <is>
          <t>A1=2: sete dos oito resultados conferem (Estação 36M/25,08M/27,84M, Centro 27M/23,15M/24,5M, Noite Alta 30M/18,57M/19,2M). A receita tem memória visível (24.000 x 50 x 30), mas os custos aparecem só como totais, em nenhum lugar do documento há a decomposição em equipamento, operação e bancos, então o teto de A1 é 2 por memória de cálculo ausente. A2=1: identificou a lógica correta do custo na pag. 1 (somatório das despesas por posição x posições) mas não fechou o número dos bancos, na Arena usou 22,5 bancos em vez de arredondar para 23, chegando a custo de R$ 4.095.000 contra R$ 4.130.000 e resultado de R$ 13.905.000 contra R$ 13.870.000. O erro de R$ 35.000 cai dentro da tolerância de ±2% por ser pequeno, mas o método contraria instrução explícita do Anexo E; um 2º avaliador pode defender 2 em vez de 1 justamente porque o valor ficou na tolerância. A3=0: não fez, não há projeção, plano de expansão, fasemento nem próximos passos. A4=1: o mais próximo de alternativa é o argumento de que os armários têm "maior potencial de crescimento e maior escalabilidade, além de ser um negócio inovador", que serviria para qualquer empresa e não cita nada que só exista neste case. A5=0: não fez, nenhum risco e nenhum próximo passo, embora o enunciado peça explicitamente. A6=1: o case não traz erro plantado. Ele não descontou as transações pela utilização, então passou pelo ponto certo, mas não nomeou nada, e de fato usou a utilização de forma equivocada na conclusão.</t>
        </is>
      </c>
      <c r="AB53" s="41" t="n">
        <v>0</v>
      </c>
      <c r="AC53" s="41" t="n">
        <v>1</v>
      </c>
      <c r="AD53" s="41" t="n">
        <v>0</v>
      </c>
      <c r="AE53" s="41" t="n">
        <v>0</v>
      </c>
      <c r="AF53" s="41" t="n"/>
      <c r="AG53" s="41" t="n"/>
      <c r="AH53" s="68" t="inlineStr">
        <is>
          <t>V1 e V2 em branco: notas da etapa de vídeo não vieram com a pasta e a pasta é anônima, sem nome no arquivo, então não dá para transcrever sem o mapa número-candidato. E1=0, sem planilha. E3=0, sem vídeo de entrega. Os dois itens não foram pedidos no enunciado e recomendo neutralizar para todos. E4=0: nenhum gráfico e nenhuma tabela no documento inteiro, este zero é de mérito, o material existe e não atende ao descritor.</t>
        </is>
      </c>
      <c r="AI53" s="68"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Nota 2,97 com vídeo em branco. Considerando só o que dá para avaliar, 3,30.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IDENTIFICAÇÃO: Caio Augusto Saab, c258388@dac.unicamp.br. Confiança media, confirmar. Como cheguei nisso: campo Author do metadado do PDF, gerado no Microsoft Word. O arquivo nao traz o nome no texto nem no nome do arquivo. As notas de vídeo dele estão nas linhas 25 e 47 desta aba e precisam ser transcritas para cá, porque valem 10 pontos e hoje entram como zero. Atenção: esta identificação vem só do metadado, não do conteúdo. Metadado pode vir de computador compartilhado ou de modelo reaproveitado, então confirmem com o registro de envio antes de usar numa decisão.</t>
        </is>
      </c>
    </row>
    <row r="54" ht="14.25" customHeight="1" s="60">
      <c r="B54" s="0" t="inlineStr">
        <is>
          <t>05</t>
        </is>
      </c>
      <c r="C54" s="0" t="inlineStr">
        <is>
          <t>05 · Eduardo Alves Henrique (pasta entregas-candidatos/05, case BagHub 2026.2)</t>
        </is>
      </c>
      <c r="D54" s="0" t="inlineStr">
        <is>
          <t>Avaliador 1</t>
        </is>
      </c>
      <c r="E54" s="33">
        <f>IF(COUNT(K54:AG54)=0,"",ROUND((F54+G54+H54+I54+J54)/10,2))</f>
        <v/>
      </c>
      <c r="F54" s="34">
        <f>IF(COUNT(K54:AG54)=0,"",(K54*10+L54*8+M54*7+N54*5)/3)</f>
        <v/>
      </c>
      <c r="G54" s="34">
        <f>IF(COUNT(K54:AG54)=0,"",(P54*8+Q54*7+R54*5+S54*5)/3)</f>
        <v/>
      </c>
      <c r="H54" s="34">
        <f>IF(COUNT(K54:AG54)=0,"",(U54*6+V54*6+W54*4+X54*3+Y54*3+Z54*3)/3)</f>
        <v/>
      </c>
      <c r="I54" s="34">
        <f>IF(COUNT(K54:AG54)=0,"",AB54*3+AC54*2+AD54*2+AE54*1)</f>
        <v/>
      </c>
      <c r="J54" s="34">
        <f>IF(COUNT(K54:AG54)=0,"",(AF54*5+AG54*5)/3)</f>
        <v/>
      </c>
      <c r="K54" s="41" t="n">
        <v>2</v>
      </c>
      <c r="L54" s="41" t="n">
        <v>2</v>
      </c>
      <c r="M54" s="41" t="n">
        <v>2</v>
      </c>
      <c r="N54" s="41" t="n">
        <v>2</v>
      </c>
      <c r="O54" s="68" t="inlineStr">
        <is>
          <t>C1=2: o slide 2 é só "DECISÃO, Centro Histórico, Ponto Parceiro" com a justificativa "mitigação de risco e eficiência do capital investido", está nos dois primeiros slides e é uma frase, mas sem nenhum número na frase, e o descritor de 3 exige o número que a sustenta. Um 2º avaliador pode defender 3 pela clareza e posição; registro a divergência. C2=2: deck fechado com capa, seções nomeadas e nome do autor, mas com pontas soltas, o bairro "Noite Alta" aparece como "Alta Noite" em todas as tabelas, há os typos "tursita" (slide 15) e "esturura" (slide 15), a tabela do slide 5 tem coluna desalinhada e falta a observação do Centro Histórico. C3=2: a recomendação aparece nos títulos (slides 2 e 13) e a sequência fecha, mas há dois saltos, os slides 3 e 4 são o Anexo A e B do próprio case colados sem adaptação e nunca referenciados em nenhum argumento, e os slides 7 a 10 repetem um bairro por slide o que o slide 11 já consolida inteiro. C4=2: template próprio consistente, exceto exatamente 2 slides fora do padrão (3 e 4, que trazem a identidade visual vermelha do CCU do material original).</t>
        </is>
      </c>
      <c r="P54" s="41" t="n">
        <v>2</v>
      </c>
      <c r="Q54" s="41" t="n">
        <v>2</v>
      </c>
      <c r="R54" s="41" t="n">
        <v>2</v>
      </c>
      <c r="S54" s="41" t="n">
        <v>2</v>
      </c>
      <c r="T54" s="68" t="inlineStr">
        <is>
          <t>R1=2: cita as duas partes mas o número é decorativo, e nesse caso ele até joga contra, a escolha é Centro Histórico com parceiros a R$ 24,50M quando a Estação Central com parceiros dá R$ 27,84M. Ele reconhece isso por escrito no slide 13 ("menor custo inicial seguido do 2° maior lucro anual") e sustenta a decisão na razão de negócio (baixa complexidade, demanda turística sem sazonalidade, eficiência de capital). Tapando o argumento, o número sozinho não sustenta a escolha. Não é contradição, é um desvio declarado da prioridade do case, então não é 0. R2=2: calcula os oito cenários (slide 11) e compara os dois modelos, mas não justifica em lugar nenhum o descarte da Estação Central, que é o descarte que importa neste case, R$ 3,34M a mais de lucro e o bairro nunca é nomeado como rejeitado. R3=2: o breakeven do slide 12 é análise não pedida, aritmeticamente correta nos quatro bairros e ligada à decisão, porque é o lastro quantitativo da "eficiência do capital investido" que ele alega. O que impede o 3 é a premissa: o cálculo trata os R$ 70.000 por banco como investimento só do 1º ano, quando o Anexo E diz que todos os valores são anuais, e essa reinterpretação não é declarada em nenhum slide (ela aparece só à mão, anotada como "1º ano", na foto 33(3)). R4=2: compara densidade, complexidade e utilização entre os quatro bairros (slide 5) e tira conclusão, mas não explica a causa de nada, não diz por que a utilização do Centro Histórico é maior nem por que a razão posições/transações varia entre bairros.</t>
        </is>
      </c>
      <c r="U54" s="41" t="n">
        <v>3</v>
      </c>
      <c r="V54" s="41" t="n">
        <v>3</v>
      </c>
      <c r="W54" s="41" t="n">
        <v>2</v>
      </c>
      <c r="X54" s="41" t="n">
        <v>3</v>
      </c>
      <c r="Y54" s="41" t="n">
        <v>1</v>
      </c>
      <c r="Z54" s="41" t="n">
        <v>1</v>
      </c>
      <c r="AA54" s="68" t="inlineStr">
        <is>
          <t>A1=3: os oito resultados dos slides 7 a 11 conferem integralmente com o meu recálculo (25,08M/27,84M, 23,15M/24,5M, 13,87M/14,94M, 18,57M/19,2M). Memória de cálculo visível em dois lugares: as fórmulas no slide 6 e as nove fotos do caderno, onde a conta de Noite Alta está feita passo a passo à mão (1800÷40=45 bancos, AI 1º ano 11,43M, receita 30M, lucro 18,57M, PP 10,8M, lucro 19,2M) e tudo fecha. A2=3: bancos 60/25/23/45 corretos, incluindo a Arena com 23 (o caderno mostra a divisão à mão). Ressalva para o 2º avaliador: a fórmula genérica do slide 6, [(Manutenção×40)+(Operação×40)+70.000]×Bancos, daria R$ 4.186.000 na Arena porque assume 920 posições, e não os R$ 4.130.000 que ele corretamente reporta na tabela usando 900; a tabela está certa e a fórmula publicada tem falha no caso não divisível. A3=2: o slide 14 traz um rollout concreto dos quatro bairros com modelo atribuído a cada um, o que é mais que narrativo, mas sem nenhum número e sem ponte entre períodos; e a atribuição de armários aos bairros 2 a 4 contraria a própria tabela dele (parceiros ganham nos quatro) sem nenhuma explicação no slide, embora seja coerente com o breakeven do slide 12. O case não declara meta numérica, então a comparação com a meta não é testável. A4=3: os armários nas fases 2 a 4 são o caminho alternativo e o breakeven quantifica exatamente quando ele passa a valer (2a11m na Estação, 4a5m no Centro, 3a na Arena, 1a3m em Noite Alta). A5=1: não há seção de riscos. O que existe são razões pelas quais a escolha dele é segura ("mitigação de risco", "menor risco operacional", "reduzindo risco de sazonalidade") e o slide 15 lista quatro pontos que são todos upside. Sazonalidade e risco operacional aparecem como dimensões genéricas de risco, nunca como riscos da recomendação dele, e não há mitigação nem prazo. O enunciado pede riscos na tarefa 04. A6=1: o case não traz erro plantado e ele não descontou transações pela utilização, então passou pelo ponto certo sem nomear. Vale registrar que a anotação "1º ano" no caderno mostra que ele questionou o enquadramento anual do custo do banco, é o engajamento mais crítico com os dados que vi no conjunto, mas ficou fora do entregável.</t>
        </is>
      </c>
      <c r="AB54" s="41" t="n">
        <v>0</v>
      </c>
      <c r="AC54" s="41" t="n">
        <v>1</v>
      </c>
      <c r="AD54" s="41" t="n">
        <v>0</v>
      </c>
      <c r="AE54" s="41" t="n">
        <v>2</v>
      </c>
      <c r="AF54" s="41" t="n"/>
      <c r="AG54" s="41" t="n"/>
      <c r="AH54" s="68" t="inlineStr">
        <is>
          <t>V1 e V2 em branco: notas da etapa de vídeo não vieram com a pasta; o nome está na capa (Eduardo Alves Henrique), então dá para transcrever das linhas 13 e 35. E1=0 pela letra do item, que pede planilha: não há .xlsx. ATENÇÃO para a diretoria, ele entregou memória de cálculo de fato, em 9 fotos de caderno com a aritmética feita à mão, o que é mais do que a maioria entregou. Se o comitê contar qualquer artefato de memória de cálculo e não só planilha, este item vira 1. Como recomendo neutralizar E1 para todos, o efeito se anula. E3=0, sem vídeo de entrega.</t>
        </is>
      </c>
      <c r="AI54" s="68"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Nota 6,03 com vídeo em branco. Considerando só o que dá para avaliar, 6,70.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IDENTIFICAÇÃO: Eduardo Alves Henrique, e221509@dac.unicamp.br. Confiança alta. Como cheguei nisso: nome escrito na capa do deck. As notas de vídeo dele estão nas linhas 13 e 35 desta aba e precisam ser transcritas para cá, porque valem 10 pontos e hoje entram como zero.</t>
        </is>
      </c>
    </row>
    <row r="55" ht="14.25" customHeight="1" s="60">
      <c r="B55" s="0" t="inlineStr">
        <is>
          <t>06</t>
        </is>
      </c>
      <c r="C55" s="0" t="inlineStr">
        <is>
          <t>06 · Enrico Tristão e Mello de Oliveira (pasta entregas-candidatos/06, case BagHub 2026.2)</t>
        </is>
      </c>
      <c r="D55" s="0" t="inlineStr">
        <is>
          <t>Avaliador 1</t>
        </is>
      </c>
      <c r="E55" s="33">
        <f>IF(COUNT(K55:AG55)=0,"",ROUND((F55+G55+H55+I55+J55)/10,2))</f>
        <v/>
      </c>
      <c r="F55" s="34">
        <f>IF(COUNT(K55:AG55)=0,"",(K55*10+L55*8+M55*7+N55*5)/3)</f>
        <v/>
      </c>
      <c r="G55" s="34">
        <f>IF(COUNT(K55:AG55)=0,"",(P55*8+Q55*7+R55*5+S55*5)/3)</f>
        <v/>
      </c>
      <c r="H55" s="34">
        <f>IF(COUNT(K55:AG55)=0,"",(U55*6+V55*6+W55*4+X55*3+Y55*3+Z55*3)/3)</f>
        <v/>
      </c>
      <c r="I55" s="34">
        <f>IF(COUNT(K55:AG55)=0,"",AB55*3+AC55*2+AD55*2+AE55*1)</f>
        <v/>
      </c>
      <c r="J55" s="34">
        <f>IF(COUNT(K55:AG55)=0,"",(AF55*5+AG55*5)/3)</f>
        <v/>
      </c>
      <c r="K55" s="41" t="n">
        <v>3</v>
      </c>
      <c r="L55" s="41" t="n">
        <v>2</v>
      </c>
      <c r="M55" s="41" t="n">
        <v>3</v>
      </c>
      <c r="N55" s="41" t="n">
        <v>3</v>
      </c>
      <c r="O55" s="68" t="inlineStr">
        <is>
          <t>C1=3: slide 2, uma linha, "ESTAÇÃO CENTRAL + PONTOS PARCEIROS / Maior resultado operacional absoluto com economia de modelo robusta", com R$ 27,84 mi/ano no próprio slide. C2=2: o deck é de nível cliente, com capa, marcadores de seção e rodapé nos 10 slides, e a aba Resumo da planilha declara rastreabilidade de todos os números. Duas pontas soltas impedem o 3: o arquivo foi entregue como "Apresentacao_BagHub_Enrico hhh.pptx" e a numeração interna das seções está trocada, com o slide 7 (Sensibilidade) marcado 07 e o slide 8 (Portfólio) marcado 06. C3=3: a recomendação está no título do slide 2 e o arco fecha lendo só os títulos, recomendação, atratividade, quantificação, sensibilidade, portfólio, riscos, piloto, sem obrigar o leitor a voltar. C4=3: template único de fonte, cor e alinhamento nos 10 slides, gráficos no mesmo padrão, nenhum slide com parágrafo corrido.</t>
        </is>
      </c>
      <c r="P55" s="41" t="n">
        <v>3</v>
      </c>
      <c r="Q55" s="41" t="n">
        <v>3</v>
      </c>
      <c r="R55" s="41" t="n">
        <v>3</v>
      </c>
      <c r="S55" s="41" t="n">
        <v>3</v>
      </c>
      <c r="T55" s="68" t="inlineStr">
        <is>
          <t>R1=3: slide 2 traz três pilares amarrados, caixa de R$ 27,84 mi "maximiza recursos para financiar a expansão", demanda de 24 mil tx/sem "menos sazonal e ancorada nos terminais" e economia de modelo de R$ 2,76 mi "permanece ampla na sensibilidade". Tapando o número, a tese de estabilidade de demanda e financiamento da expansão continua; tapando o argumento, R$ 27,84 mi continua sendo o máximo dos oito. R2=3: o slide 8 sequencia os quatro bairros com papel explícito (LANÇAR, ESCALAR, TESTAR, OPORTUNÍSTICO), cada um com resultado, R$/posição, margem, complexidade e os prós e contras por escrito; trata a tensão do Centro Histórico de frente, reconhecendo maior resultado por posição e menor complexidade como razões para ser o segundo e não o primeiro. O slide 6 mostra por que parceiros ganham com a reconciliação (R$ 4,20 mi de banco evitado menos R$ 1,44 mi de operação a mais = R$ 2,76 mi líquidos). R3=3: é o melhor R3 do conjunto. O slide 7 responde uma pergunta que ninguém fez, quanto o custo do banco teria de cair para os armários empatarem, com a fórmula publicada e os quatro valores corretos (R$ 24 mil na Estação, R$ 16 mil no Centro, R$ 23,5 mil na Arena, R$ 56 mil em Noite Alta). Mais importante: ele percebeu que o case não modela custo de coordenação, calculou exatamente quanto de overhead apagaria a vantagem dos parceiros (R$ 1,15 mil por posição por ano na Estação) e transformou isso em KPI de risco no slide 9 e em decision gate no slide 10. Isso converte a resposta estática em condicional e fortalece a recomendação. R4=3: slide 5 dá a causa e a consequência, "Estação gera volume; Centro usa melhor cada posição", e usa essa leitura para atribuir papéis estratégicos diferentes no slide 8, além de explicar no slide 6 a causa de os parceiros ganharem.</t>
        </is>
      </c>
      <c r="U55" s="41" t="n">
        <v>3</v>
      </c>
      <c r="V55" s="41" t="n">
        <v>3</v>
      </c>
      <c r="W55" s="41" t="n">
        <v>3</v>
      </c>
      <c r="X55" s="41" t="n">
        <v>3</v>
      </c>
      <c r="Y55" s="41" t="n">
        <v>3</v>
      </c>
      <c r="Z55" s="41" t="n">
        <v>1</v>
      </c>
      <c r="AA55" s="68" t="inlineStr">
        <is>
          <t>A1=3: os oito resultados conferem com o meu recálculo. Memória de cálculo é a mais completa do conjunto: planilha de 5 abas com fórmulas vivas, receita em dois passos (tx/ano depois receita), custos decompostos em equipamento, operação e bancos, e a aba Resumo afirmando rastreabilidade. A2=3: bancos por ROUNDUP dando 60/25/23/45, Arena correta com 23, e a operação por complexidade resolvida por IF encadeado lendo a aba Dados. Tem ainda uma coluna de reconciliação (Z = bancos evitados menos operação adicional) que confere de forma independente a economia de cada bairro, conferência que ele montou para checar o próprio modelo. A3=3: o slide 8 sequencia os quatro bairros com números que batem com a planilha e o slide 10 traz piloto em quatro estágios com quatro decision gates quantificados; o case não declara meta numérica, então essa parte do descritor não é testável, mas a ponte com o próprio modelo existe e fecha. A4=3: a alternativa dos armários está quantificada com precisão pelo break-even do banco, e ele nota que Noite Alta precisa de só 20% de redução, ou seja, é onde o modelo alternativo está mais perto de virar. A5=3: cinco riscos no slide 9, todos específicos da combinação Estação Central mais parceiros (cadeia de custódia num modelo terceirizado, ruptura de capacidade no pico, overhead de coordenação, dependência do terminal, horário dos parceiros), cada um com mitigação e com KPI ou gatilho mensurável, e priorizados em Alta e Média. Não há prazo em dias, mas o gatilho por KPI é no mínimo tão exigente quanto prazo; registro para o 2º avaliador que quiser cobrar data. A6=1: o case não traz erro plantado e ele não descontou transações pela utilização. Vale registrar que foi o único a apontar o que falta no material, "custos de gestão não estão considerados e podem reduzir a vantagem", e a dimensionar essa lacuna, que é o engajamento crítico mais próximo do que o item A6 pretende medir.</t>
        </is>
      </c>
      <c r="AB55" s="41" t="n">
        <v>1</v>
      </c>
      <c r="AC55" s="41" t="n">
        <v>1</v>
      </c>
      <c r="AD55" s="41" t="n">
        <v>0</v>
      </c>
      <c r="AE55" s="41" t="n">
        <v>3</v>
      </c>
      <c r="AF55" s="41" t="n"/>
      <c r="AG55" s="41" t="n"/>
      <c r="AH55" s="68" t="inlineStr">
        <is>
          <t>V1 e V2 em branco: notas da etapa de vídeo não vieram com a pasta; o nome está no arquivo (Enrico), então dá para transcrever das linhas 12 e 34. E1=1, planilha real com fórmulas vivas em 5 abas. E3=0, sem vídeo de entrega, item que o enunciado não pediu.</t>
        </is>
      </c>
      <c r="AI55" s="68"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Nota 8,33 com vídeo em branco. Considerando só o que dá para avaliar, 9,26.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IDENTIFICAÇÃO: Enrico Tristão e Mello de Oliveira, e278588@dac.unicamp.br. Confiança alta. Como cheguei nisso: nome no nome do arquivo e campo lastModifiedBy do pptx e do xlsx ("Enrico Mello"). As notas de vídeo dele estão nas linhas 12 e 34 desta aba e precisam ser transcritas para cá, porque valem 10 pontos e hoje entram como zero.</t>
        </is>
      </c>
    </row>
    <row r="56" ht="14.25" customHeight="1" s="60">
      <c r="B56" s="0" t="inlineStr">
        <is>
          <t>07</t>
        </is>
      </c>
      <c r="C56" s="0" t="inlineStr">
        <is>
          <t>07 · não identificado (pasta entregas-candidatos/07, case BagHub 2026.2)</t>
        </is>
      </c>
      <c r="D56" s="0" t="inlineStr">
        <is>
          <t>Avaliador 1</t>
        </is>
      </c>
      <c r="E56" s="33">
        <f>IF(COUNT(K56:AG56)=0,"",ROUND((F56+G56+H56+I56+J56)/10,2))</f>
        <v/>
      </c>
      <c r="F56" s="34">
        <f>IF(COUNT(K56:AG56)=0,"",(K56*10+L56*8+M56*7+N56*5)/3)</f>
        <v/>
      </c>
      <c r="G56" s="34">
        <f>IF(COUNT(K56:AG56)=0,"",(P56*8+Q56*7+R56*5+S56*5)/3)</f>
        <v/>
      </c>
      <c r="H56" s="34">
        <f>IF(COUNT(K56:AG56)=0,"",(U56*6+V56*6+W56*4+X56*3+Y56*3+Z56*3)/3)</f>
        <v/>
      </c>
      <c r="I56" s="34">
        <f>IF(COUNT(K56:AG56)=0,"",AB56*3+AC56*2+AD56*2+AE56*1)</f>
        <v/>
      </c>
      <c r="J56" s="34">
        <f>IF(COUNT(K56:AG56)=0,"",(AF56*5+AG56*5)/3)</f>
        <v/>
      </c>
      <c r="K56" s="41" t="n">
        <v>3</v>
      </c>
      <c r="L56" s="41" t="n">
        <v>3</v>
      </c>
      <c r="M56" s="41" t="n">
        <v>3</v>
      </c>
      <c r="N56" s="41" t="n">
        <v>3</v>
      </c>
      <c r="O56" s="68" t="inlineStr">
        <is>
          <t>C1=3: slide 2, uma linha, "Lançar na Estação Central com pontos parceiros | R$ 27,84 mi de resultado operacional anual", com o número no próprio título. C2=3: deck fechado com capa, rodapé numerado nos 10 slides, apêndice com o demonstrativo completo dos oito cenários e slide de encerramento; a planilha vem com legenda de cores documentando o modelo (azul = dado editável, verde = vínculo entre abas, preto = fórmula local). Enviaria ao cliente sem editar. C3=3: são action titles de verdade, frases completas que carregam a mensagem, "Pontos parceiros rendem mais nos quatro bairros: a economia com bancos supera o maior custo de operação", "A recomendação tem folga: a Estação suporta grande queda de demanda antes de perder atratividade". Lendo só os títulos a história fecha inteira. C4=3: template único, rodapé e numeração em todos os slides, tabelas no mesmo padrão.</t>
        </is>
      </c>
      <c r="P56" s="41" t="n">
        <v>3</v>
      </c>
      <c r="Q56" s="41" t="n">
        <v>3</v>
      </c>
      <c r="R56" s="41" t="n">
        <v>3</v>
      </c>
      <c r="S56" s="41" t="n">
        <v>3</v>
      </c>
      <c r="T56" s="68" t="inlineStr">
        <is>
          <t>R1=3: slide 2 amarra R$ 27,84 mi à razão de negócio e à prioridade declarada do case, "é o resultado que melhor sustenta a expansão, sendo prioridade declarada, apoiado em demanda diária recorrente de transporte, não dependente de eventos". Tapando o número, a tese de recorrência e financiamento da expansão fica; tapando o argumento, o 27,84 continua sendo o máximo. R2=3: o slide 6 ranqueia os quatro com a coluna "Por que nesta posição" e traz uma caixa dedicada à comparação Estação x Centro que nomeia o trade-off com números (+R$ 3,34 mi absolutos contra margem de 90,7% x 77,3% e resultado por posição de R$ 24,5 mil x R$ 11,6 mil) e conclui explicitamente por que o Centro é o passo seguinte e não o primeiro. R3=3: o slide 7 traz robustez em dois níveis e o segundo é a pergunta certa, não só os ~77% de queda de demanda até o resultado zerar, mas os ~9,3% de queda que já fariam a Estação perder a liderança para o Centro. Recalculei: receita teria de cair para R$ 32,66 mi, o que dá 9,28%, e confere. Medir a fragilidade do ranking, e não só a distância da falência, é análise que ninguém pediu e que sustenta diretamente a recomendação. R4=3: slide 5 explica a causa de os parceiros ganharem (o banco rateado a ~R$ 1.750 por posição supera a economia de operação), slide 4 explica que a média semanal esconde os picos que ditam a capacidade, e a aba Bairros registra que "utilização baixa não indica capacidade dispensável: as posições foram dimensionadas para os picos".</t>
        </is>
      </c>
      <c r="U56" s="41" t="n">
        <v>3</v>
      </c>
      <c r="V56" s="41" t="n">
        <v>3</v>
      </c>
      <c r="W56" s="41" t="n">
        <v>3</v>
      </c>
      <c r="X56" s="41" t="n">
        <v>3</v>
      </c>
      <c r="Y56" s="41" t="n">
        <v>3</v>
      </c>
      <c r="Z56" s="41" t="n">
        <v>1</v>
      </c>
      <c r="AA56" s="68" t="inlineStr">
        <is>
          <t>A1=3: os oito resultados conferem. Memória de cálculo completa e rastreável, receita em dois passos, custos decompostos em ESM, operação e bancos, tudo puxando da aba Premissas, mais o apêndice do slide 10 com o demonstrativo por componente. A2=3: bancos por ROUNDUP dando 60/25/23/45, Arena correta com 23, operação por complexidade via VLOOKUP. É o tratamento mais preciso do arredondamento no conjunto: ele modela "posições físicas disponíveis" (920 na Arena) e "posições adicionais por arredondamento" (20), documenta na aba Premissas que os custos por posição usam as posições necessárias mesmo com sobra física, e ainda valida por IF se a capacidade física atende à necessária, retornando OK ou REVER. A3=3: o slide 2 traz a sequência de expansão com os quatro resultados, o slide 8 os próximos passos, e a aba Bairros um próximo passo específico por bairro; todos os números batem com o modelo dele. O case não declara meta numérica, então essa parte do descritor não é testável. A4=3: propõe os armários 24h como alternativa em Noite Alta caso falte cobertura noturna de parceiros, e quantifica por que é justamente ali que a alternativa importa, a vantagem dos parceiros naquele bairro é de só R$ 630 mil, a menor dos quatro. A5=3: quatro riscos no slide 8, todos específicos do modelo de parceiros no bairro escolhido (horários compatíveis com as conexões, filas e simultaneidade nos picos, disponibilidade de comércios junto às âncoras, identificação e suporte noturno), cada um com próximo passo que o endereça, e um deles com prazo declarado, "testar a retirada nos horários críticos antes da abertura ao público". A6=1: o case não traz erro plantado. Ele foi o único a preencher a aba Premissas com 11 regras de interpretação e a antecipar por escrito as duas armadilhas, "não aplicar utilização" e "todos os custos informados são anuais, o custo dos bancos não é tratado como CAPEX", resolvendo as duas corretamente. Nomeou as ambiguidades, mas inconsistência plantada não existe neste case.</t>
        </is>
      </c>
      <c r="AB56" s="41" t="n">
        <v>1</v>
      </c>
      <c r="AC56" s="41" t="n">
        <v>1</v>
      </c>
      <c r="AD56" s="41" t="n">
        <v>0</v>
      </c>
      <c r="AE56" s="41" t="n">
        <v>3</v>
      </c>
      <c r="AF56" s="41" t="n"/>
      <c r="AG56" s="41" t="n"/>
      <c r="AH56" s="68" t="inlineStr">
        <is>
          <t>V1 e V2 em branco e a pasta é anônima: os arquivos não trazem nome, então não dá para transcrever as notas de vídeo sem o mapa número-candidato. E1=1, planilha real de 4 abas com fórmulas vivas. E3=0, sem vídeo de entrega, item que o enunciado não pediu.</t>
        </is>
      </c>
      <c r="AI56" s="68" t="inlineStr">
        <is>
          <t>Maior nota do conjunto. O que decide é disciplina de modelagem somada à pergunta certa de robustez.
Os oito cenários fecham e a planilha tem autoconferência: um bloco de Conferências com três checagens que têm de dar zero, mais um validador que responde OK ou REVER se a capacidade física não cobrir a necessária. É o único que modela a sobra do arredondamento, porque 23 bancos na Arena dão 920 posições físicas para 900 necessárias, e ele registra as 20 de sobra sem deixar isso contaminar o custo. E é o único que antecipou por escrito a armadilha em que a pasta 05 caiu: a aba de premissas diz, em letras claras, que todos os custos são anuais e que o banco não é CAPEX.
O melhor da entrega está no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Tenho um contraponto que levaria à entrevista. Os 9,3% de folga não são obviamente "risco baixo" como ele afirma no slide. É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pergunto: por que a queda admissível até zerar, 77,3%, é exatamente igual à sua margem operacional? Quem entendeu que todo custo do case é fixo responde na hora. Quem só preencheu a planilha trava.
Nota 8,60 com vídeo em branco. Considerando só o que dá para avaliar, 9,56.
Indício de IA: Baixo (consultivo, não afeta nota). A disciplina do modelo é o indício. Bloco de Conferências com três identidades que devem zerar e um validador condicional de capacidade. A aba de premissas documenta convenção de cores e deixa nota de manutenção para quem usar o modelo depois, escrita para um leitor futuro e não para um avaliador. Ele marca sistematicamente o que não pode saber: distâncias não informadas, hipótese a validar, médias diárias como normalização. Esse hábito é o oposto de texto gerado.
IDENTIFICAÇÃO: pasta anônima. Nenhum arquivo traz nome no texto, no nome do arquivo ou no metadado. Rastro de ferramenta que pode ajudar a estreitar: metadados completamente vazios nos dois arquivos. A planilha foi feita no Excel Online. Sem o mapa número para candidato, V1 e V2 não podem ser transcritos e o bloco Vídeo fica valendo zero. Candidatos inscritos ainda não pareados a nenhuma pasta: João Pedro Mendes Stama, Rafael Ponciano Rodrigues dos Santos, Enzo Chofakian Gagliardi, João Gabriel de Oliveira Morcelli, Raphael Negrini Saggioro, Gustavo Daher Pereira, Ricardo Augusto Schmitt Filho, Matheus Dias Freitas, Klaus Augusto Santos da Silva, José Vitor Dias Tutu, Isadora Kluge Dorigan.</t>
        </is>
      </c>
    </row>
    <row r="57" ht="14.25" customHeight="1" s="60">
      <c r="B57" s="0" t="inlineStr">
        <is>
          <t>08</t>
        </is>
      </c>
      <c r="C57" s="0" t="inlineStr">
        <is>
          <t>08 · Gabrielle Cristofani do Rosario (pasta entregas-candidatos/08, case BagHub 2026.2)</t>
        </is>
      </c>
      <c r="D57" s="0" t="inlineStr">
        <is>
          <t>Avaliador 1</t>
        </is>
      </c>
      <c r="E57" s="33">
        <f>IF(COUNT(K57:AG57)=0,"",ROUND((F57+G57+H57+I57+J57)/10,2))</f>
        <v/>
      </c>
      <c r="F57" s="34">
        <f>IF(COUNT(K57:AG57)=0,"",(K57*10+L57*8+M57*7+N57*5)/3)</f>
        <v/>
      </c>
      <c r="G57" s="34">
        <f>IF(COUNT(K57:AG57)=0,"",(P57*8+Q57*7+R57*5+S57*5)/3)</f>
        <v/>
      </c>
      <c r="H57" s="34">
        <f>IF(COUNT(K57:AG57)=0,"",(U57*6+V57*6+W57*4+X57*3+Y57*3+Z57*3)/3)</f>
        <v/>
      </c>
      <c r="I57" s="34">
        <f>IF(COUNT(K57:AG57)=0,"",AB57*3+AC57*2+AD57*2+AE57*1)</f>
        <v/>
      </c>
      <c r="J57" s="34">
        <f>IF(COUNT(K57:AG57)=0,"",(AF57*5+AG57*5)/3)</f>
        <v/>
      </c>
      <c r="K57" s="41" t="n">
        <v>2</v>
      </c>
      <c r="L57" s="41" t="n">
        <v>2</v>
      </c>
      <c r="M57" s="41" t="n">
        <v>3</v>
      </c>
      <c r="N57" s="41" t="n">
        <v>3</v>
      </c>
      <c r="O57" s="68" t="inlineStr">
        <is>
          <t>C1=2: a recomendação é explícita e clara, "Lançar em Estação Central, modelo Pontos parceiros", com R$ 27,8M, mas aparece no slide 8 de 10, depois da metade; os slides 2 e 3 são contexto e metodologia, sem antecipar a resposta. C2=2: deck fechado, com capa, numeração nos 10 slides e slide de encerramento, mas três pontas soltas, o slide 4 traz a complexidade invertida (Centro Histórico como Alta e Noite Alta como Baixa, quando o Anexo B diz o contrário), o slide 9 remete a "detalhes completos no relatório escrito, disponível como material de apoio" e não existe relatório escrito na pasta, e há um arquivo pessoal sem relação com a entrega no meio dos anexos. C3=3: a recomendação aparece nos títulos ("Pontos parceiros vence nos 4 bairros", "Lançar em Estação Central") e o arco fecha na ordem, contexto, metodologia, comparação, demanda, rentabilidade, resultado, recomendação, riscos, sem obrigar o leitor a voltar. C4=3: template consistente, numeração em todos os slides, cards e gráficos no mesmo padrão.</t>
        </is>
      </c>
      <c r="P57" s="41" t="n">
        <v>3</v>
      </c>
      <c r="Q57" s="41" t="n">
        <v>3</v>
      </c>
      <c r="R57" s="41" t="n">
        <v>2</v>
      </c>
      <c r="S57" s="41" t="n">
        <v>3</v>
      </c>
      <c r="T57" s="68" t="inlineStr">
        <is>
          <t>R1=3: slide 8 amarra R$ 27,8M às razões de negócio (maior demanda absoluta com 24 mil tx/semana, complexidade apenas moderada mesmo com o maior volume) e trata a tensão de frente, "Centro Histórico tem margem maior (90,7%), mas resultado absoluto menor, bom candidato à 2ª onda". Tapando o número a tese de escala e complexidade controlada fica; tapando o argumento, 27,8M continua sendo o máximo. R2=3: ranqueia os quatro no slide 8 com resultado e margem, justifica por escrito por que o Centro é o segundo e não o primeiro, e no slide 7 justifica a escolha do modelo pela causa estrutural. R3=2: o slide 7 traz uma derivação própria não pedida, o banco de 40 posições equivale a R$ 1.750 por posição e isso supera a economia de operação dos armários, correta e diretamente ligada à decisão de modelo, mas que não altera a conclusão. Não há sensibilidade, break-even nem economia por posição. R4=3: explica a causa por trás do indicador e o que fazer com ela, que é exatamente o R$ 1.750 por posição do slide 7, derivação dela e não do case; no slide 5 lê a utilização baixa como concentração em picos, leitura coerente com a capacidade dimensionada para pico.</t>
        </is>
      </c>
      <c r="U57" s="41" t="n">
        <v>3</v>
      </c>
      <c r="V57" s="41" t="n">
        <v>3</v>
      </c>
      <c r="W57" s="41" t="n">
        <v>3</v>
      </c>
      <c r="X57" s="41" t="n">
        <v>3</v>
      </c>
      <c r="Y57" s="41" t="n">
        <v>2</v>
      </c>
      <c r="Z57" s="41" t="n">
        <v>1</v>
      </c>
      <c r="AA57" s="68" t="inlineStr">
        <is>
          <t>A1=3: os resultados conferem, 27,8M/24,5M/19,2M/14,9M com margens 77,3%/90,7%/64,0%/83,0%, todos corretos. A memória de cálculo está na imagem IMG_2424, manuscrita, com premissas, fórmulas gerais, a tabela do Anexo E transcrita e a conta desenvolvida bairro por bairro (Estação: 36.000.000 − 10.920.000 = 25.080.000; parceiros 8.160.000 → 27.840.000, margem 77,3%; Centro: 27.000.000 − 3.850.000 = 23.150.000; parceiros 2.500.000 → 24.500.000, margem 90,7%). A2=3: bancos corretos e com o arredondamento explicitado à mão, "2400:40 = 60", "1000:40 = 25" e "900:40 = 22,5 ≈ 23". Importante: na memória de cálculo ela usa "Operação (baixa)" para o Centro Histórico, ou seja, o valor correto; o erro do slide 4 é só de transcrição e não contaminou nenhuma conta. A3=3: o slide 8 traz a sequência de expansão com os quatro resultados batendo com o modelo dela, e o slide 9 sequencia (Centro Histórico como 2ª onda, reavaliar Arena e Noite Alta "após os primeiros meses"). O case não declara meta numérica, então essa parte do descritor não é testável. A4=3: Centro Histórico como alternativa de 2ª onda com impacto quantificado em R$ 24,5M e a margem de 90,7% nomeada como o motivo. A5=2: dois dos três riscos são específicos da recomendação dela (concentração em picos na Estação citando os 42%, dependência da qualidade dos parceiros "fora do controle direto da BagHub"); o terceiro, sazonalidade na Arena, não é risco da escolha dela. O slide apresenta riscos e próximos passos com uma seta sugerindo par a par, mas o conteúdo não corresponde, "negociar parcerias" não mitiga "concentração em picos" e "planejar Centro Histórico" não mitiga "dependência de parceiros". Riscos específicos sem mitigação que os endereça. A6=1: o case não traz erro plantado; a fórmula de receita na memória de cálculo está correta e ela não descontou transações pela utilização, mas não nomeou inconsistência nenhuma.</t>
        </is>
      </c>
      <c r="AB57" s="41" t="n">
        <v>0</v>
      </c>
      <c r="AC57" s="41" t="n">
        <v>1</v>
      </c>
      <c r="AD57" s="41" t="n">
        <v>0</v>
      </c>
      <c r="AE57" s="41" t="n">
        <v>2</v>
      </c>
      <c r="AF57" s="41" t="n"/>
      <c r="AG57" s="41" t="n"/>
      <c r="AH57" s="68" t="inlineStr">
        <is>
          <t>V1 e V2 em branco: notas da etapa de vídeo não vieram com a pasta; o nome está na capa (Gabrielle Cristofani do Rosario), então dá para transcrever das linhas 7 e 29. E1=0 pela letra do item, que pede planilha: não há .xlsx. Mesma ressalva da pasta 05, ela entregou memória de cálculo de fato, manuscrita e completa, e se o comitê contar qualquer artefato de memória de cálculo este item vira 1. E3=0, sem vídeo de entrega.</t>
        </is>
      </c>
      <c r="AI57" s="68"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Nota 7,33 com vídeo em branco. Considerando só o que dá para avaliar, 8,15.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ATENÇÃO: URGENTE, o arquivo IMG-20260918-WA0254.jpg não tem relação com o case: é a captura de tela de um comprovante de compra parcelada, com valores, datas de vencimento e dados financeiros pessoais. Foi anexado por engano. Recomendo remover do repositório antes de qualquer coisa, porque o repositório chegou a ficar público. Não avaliei esse arquivo e não reproduzi seu conteúdo.
IDENTIFICAÇÃO: Gabrielle Cristofani do Rosario, g278083@dac.unicamp.br. Confiança alta. Como cheguei nisso: nome na capa, no nome do arquivo e no campo Author do metadado. As notas de vídeo dele estão nas linhas 7 e 29 desta aba e precisam ser transcritas para cá, porque valem 10 pontos e hoje entram como zero.</t>
        </is>
      </c>
    </row>
    <row r="58" ht="14.25" customHeight="1" s="60">
      <c r="B58" s="0" t="inlineStr">
        <is>
          <t>09</t>
        </is>
      </c>
      <c r="C58" s="0" t="inlineStr">
        <is>
          <t>09 · não identificado (pasta entregas-candidatos/09, case BagHub 2026.2)</t>
        </is>
      </c>
      <c r="D58" s="0" t="inlineStr">
        <is>
          <t>Avaliador 1</t>
        </is>
      </c>
      <c r="E58" s="33">
        <f>IF(COUNT(K58:AG58)=0,"",ROUND((F58+G58+H58+I58+J58)/10,2))</f>
        <v/>
      </c>
      <c r="F58" s="34">
        <f>IF(COUNT(K58:AG58)=0,"",(K58*10+L58*8+M58*7+N58*5)/3)</f>
        <v/>
      </c>
      <c r="G58" s="34">
        <f>IF(COUNT(K58:AG58)=0,"",(P58*8+Q58*7+R58*5+S58*5)/3)</f>
        <v/>
      </c>
      <c r="H58" s="34">
        <f>IF(COUNT(K58:AG58)=0,"",(U58*6+V58*6+W58*4+X58*3+Y58*3+Z58*3)/3)</f>
        <v/>
      </c>
      <c r="I58" s="34">
        <f>IF(COUNT(K58:AG58)=0,"",AB58*3+AC58*2+AD58*2+AE58*1)</f>
        <v/>
      </c>
      <c r="J58" s="34">
        <f>IF(COUNT(K58:AG58)=0,"",(AF58*5+AG58*5)/3)</f>
        <v/>
      </c>
      <c r="K58" s="41" t="n">
        <v>3</v>
      </c>
      <c r="L58" s="41" t="n">
        <v>3</v>
      </c>
      <c r="M58" s="41" t="n">
        <v>3</v>
      </c>
      <c r="N58" s="41" t="n">
        <v>3</v>
      </c>
      <c r="O58" s="68" t="inlineStr">
        <is>
          <t>C1=3: a recomendação está na própria capa ("Centro Histórico com parceiros maximiza a rentabilidade do lançamento") e o slide 2 a repete com os números que a sustentam, score 4,66, margem 90,7%, R$ 24,5 mi. C2=3: deck fechado com capa, rodapé e numeração nos 10 slides, seções nomeadas, mais planilha que documenta o método do score. C3=3: são action titles de verdade e o arco fecha lendo só os títulos, incluindo o contra-argumento, "Centro lidera a margem no Ano 1, apesar de abrir mão de R$ 3,34 mi em resultado", "Estação Central + armários se destaca após o primeiro ano". C4=3: template único, numeração e gráficos no mesmo padrão nos 10 slides.</t>
        </is>
      </c>
      <c r="P58" s="41" t="n">
        <v>3</v>
      </c>
      <c r="Q58" s="41" t="n">
        <v>3</v>
      </c>
      <c r="R58" s="41" t="n">
        <v>2</v>
      </c>
      <c r="S58" s="41" t="n">
        <v>3</v>
      </c>
      <c r="T58" s="68" t="inlineStr">
        <is>
          <t>R1=3: o slide 2 amarra número e razão de negócio, score 4,66, margem 90,7%, 54% de utilização e complexidade baixa, com a tese de que "a operação gera caixa e aprendizado antes de uma expansão mais intensiva em capital". Ele declara abertamente o sacrifício no slide 4 e justifica no slide 6 por que margem pesa 35% e resultado 25%. Registro a leitura contestável: ele interpreta a "prioridade de rentabilidade anual" do case como margem, quando o complemento da frase ("que deverá sustentar a expansão") aponta para caixa absoluto, é leitura defensável em português e está declarada, mas um 2º avaliador pode cobrar. R2=3: é a comparação mais sistemática do conjunto, o score confronta as oito alternativas com pesos e método publicados, o slide 6 compara os dois modelos dentro do Centro em quatro indicadores, e o slide 8 mostra como o ranking muda no Ano 2. Descarta por escrito e com critério. R3=2: trouxe muita coisa não pedida e diretamente ligada à decisão, score multicritério normalizado (conferi a interpolação: Arena parceiros dá 1,31 na escala 1 a 5 e fecha), evolução Ano 2 a 5, e a constatação de que o ranking se inverte. Isso chega a mudar a estrutura da recomendação, que vira bifásica. O que impede o 3 é a premissa, igual à pasta 05: todo o Ano 2 em diante remove o custo do banco, tratando os R$ 70.000 como investimento inicial, quando o Anexo E diz que "os valores abaixo são anuais". A reinterpretação não é declarada em nenhum slide nem na planilha. R4=3: slide 9 dá causa e consequência ("o investimento inicial nos bancos não se repete a partir do segundo ano" e a Estação é a mais beneficiada porque exige 60 bancos), e o slide 10 traz uma leitura qualitativa própria e boa, na Estação parte da demanda é imediata, e o autosserviço 24h atende sem depender do horário de um parceiro.</t>
        </is>
      </c>
      <c r="U58" s="41" t="n">
        <v>3</v>
      </c>
      <c r="V58" s="41" t="n">
        <v>3</v>
      </c>
      <c r="W58" s="41" t="n">
        <v>2</v>
      </c>
      <c r="X58" s="41" t="n">
        <v>3</v>
      </c>
      <c r="Y58" s="41" t="n">
        <v>3</v>
      </c>
      <c r="Z58" s="41" t="n">
        <v>1</v>
      </c>
      <c r="AA58" s="68" t="inlineStr">
        <is>
          <t>A1=3: os oito resultados de Ano 1 conferem integralmente (25,08/23,15/13,87/18,57 e 27,84/24,50/14,94/19,20). Memória de cálculo completa na planilha, com fórmulas vivas decompondo equipamento, bancos e operação. A2=3: bancos 60/25/23/45 corretos. Detalhe relevante: na Arena ele fixou 23 à mão em vez de usar a fórmula B/C que daria 22,5, ou seja, percebeu o arredondamento e corrigiu deliberadamente, enquanto os outros três bairros seguem por fórmula. A3=2: a ponte entre anos é estruturalmente a melhor do conjunto, com projeção acumulada de 5 anos e o ano de cruzamento calculado por bairro (1,92 ano na Estação, 3,38 no Centro, 1,98 na Arena, 0,25 em Noite Alta), e tudo bate com o modelo dele. Mas a ponte inteira depende de remover um custo que o case declara anual, então a projeção não é a grandeza do case, e os números de manchete (R$ 29,28 mi recorrentes, R$ 142,20 mi em cinco anos) não sobrevivem à premissa correta. O case não declara meta numérica, então a outra metade do descritor não é testável. A4=3: propõe os armários na Estação a partir do Ano 2 com impacto quantificado (R$ 29,28 mi recorrentes, +0,85 de score) e é alternativa que só existe neste case. A5=3: quatro riscos no slide 7, todos específicos do modelo de parceiros (horário limitado, experiência inconsistente, segurança dos itens, demanda de 18 mil ainda não validada), cada um com mitigação concreta (horário amplo e complementar, treinar/auditar/SLA, rastrear entrega e retirada, piloto ampliado por evidência), mais riscos próprios da Estação no slide 10; o roadmap de quatro estágios ancorado em Ano 1 e Ano 2 dá a dimensão temporal. A6=1: o case não traz erro plantado e ele não descontou transações pela utilização. Registro em separado, porque não cabe neste item: é a única pasta cuja metade da análise foi construída sobre a leitura equivocada de um dado explícito do material.</t>
        </is>
      </c>
      <c r="AB58" s="41" t="n">
        <v>1</v>
      </c>
      <c r="AC58" s="41" t="n">
        <v>1</v>
      </c>
      <c r="AD58" s="41" t="n">
        <v>0</v>
      </c>
      <c r="AE58" s="41" t="n">
        <v>3</v>
      </c>
      <c r="AF58" s="41" t="n"/>
      <c r="AG58" s="41" t="n"/>
      <c r="AH58" s="68" t="inlineStr">
        <is>
          <t>V1 e V2 em branco e a pasta é anônima: os arquivos não trazem nome, então não dá para transcrever as notas de vídeo sem o mapa número-candidato. E1=1, planilha real com fórmulas vivas. E3=0, sem vídeo de entrega.</t>
        </is>
      </c>
      <c r="AI58" s="68" t="inlineStr">
        <is>
          <t>Entrega de alto nível com um erro de leitura que atravessa metade dela. As duas coisas precisam ser ditas juntas.
O que está muito bom: o score multicritério é o método mais transparente do conjunto, com pesos publicados, normalização coerente e as oito alternativas comparadas na mesma régua. Conferi a interpolação do resultado operacional e fecha. Os action titles são exemplares, inclusive o do slide 4, que assume o contra-argumento em vez de esconder.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milhões recorrente, o R$ 142,20 milhões de cinco anos e o roadmap bifásico inteiro. Que é justamente a parte mais original da entrega. A pasta 05 cometeu o mesmo erro, mas confinado a um slide e anotado à mão como decisão consciente. Aqui ele é a espinha dorsal e não está declarado em lugar nenhum.
Segundo ponto, menor. Ele lê a prioridade de rentabilidade anual como margem, quando o resto da frase no case, que fala em sustentar a expansão, aponta para caixa absoluto. É leitura defensável e está declarada, mas é o que o faz escolher a segunda melhor opção.
Na entrevista eu faço uma pergunta só, e ela vale a etapa toda. O Anexo E diz que todos os custos são anuais, inclusive os R$ 70.000 por banco. Seu modelo remove esse custo a partir do Ano 2, por quê, e o que acontece com a sua recomendação se ele for mesmo anual? Quem entendeu o próprio modelo reconhece na hora que o roadmap cai.
Nota 8,30 com vídeo em branco. Considerando só o que dá para avaliar, 9,22.
Indício de IA: Baixo (consultivo, não afeta nota). O mais claro é a Arena com 23 bancos digitados à mão enquanto os outros três usam fórmula. É alguém que rodou o modelo, viu 22,5 aparecer e corrigiu pontualmente. A planilha tem marcas de trabalho manual, com células escritas como "IDEM" e "Noite alta" em minúscula contra "Noite Alta" no deck. E o erro central, tratar custo anual como investimento, é falha de interpretação de quem leu rápido, não artefato de geração.
IDENTIFICAÇÃO: pasta anônima. Nenhum arquivo traz nome no texto, no nome do arquivo ou no metadado. Rastro de ferramenta que pode ajudar a estreitar: pptx exportado por "Walnut Exporter" e planilha no Excel Online. Criado em 17/09/2026 as 23:17 UTC. Sem o mapa número para candidato, V1 e V2 não podem ser transcritos e o bloco Vídeo fica valendo zero. Candidatos inscritos ainda não pareados a nenhuma pasta: João Pedro Mendes Stama, Rafael Ponciano Rodrigues dos Santos, Enzo Chofakian Gagliardi, João Gabriel de Oliveira Morcelli, Raphael Negrini Saggioro, Gustavo Daher Pereira, Ricardo Augusto Schmitt Filho, Matheus Dias Freitas, Klaus Augusto Santos da Silva, José Vitor Dias Tutu, Isadora Kluge Dorigan.</t>
        </is>
      </c>
    </row>
    <row r="59" ht="14.25" customHeight="1" s="60">
      <c r="B59" s="0" t="inlineStr">
        <is>
          <t>10</t>
        </is>
      </c>
      <c r="C59" s="0" t="inlineStr">
        <is>
          <t>10 · não identificado (pasta entregas-candidatos/10, case BagHub 2026.2)</t>
        </is>
      </c>
      <c r="D59" s="0" t="inlineStr">
        <is>
          <t>Avaliador 1</t>
        </is>
      </c>
      <c r="E59" s="33">
        <f>IF(COUNT(K59:AG59)=0,"",ROUND((F59+G59+H59+I59+J59)/10,2))</f>
        <v/>
      </c>
      <c r="F59" s="34">
        <f>IF(COUNT(K59:AG59)=0,"",(K59*10+L59*8+M59*7+N59*5)/3)</f>
        <v/>
      </c>
      <c r="G59" s="34">
        <f>IF(COUNT(K59:AG59)=0,"",(P59*8+Q59*7+R59*5+S59*5)/3)</f>
        <v/>
      </c>
      <c r="H59" s="34">
        <f>IF(COUNT(K59:AG59)=0,"",(U59*6+V59*6+W59*4+X59*3+Y59*3+Z59*3)/3)</f>
        <v/>
      </c>
      <c r="I59" s="34">
        <f>IF(COUNT(K59:AG59)=0,"",AB59*3+AC59*2+AD59*2+AE59*1)</f>
        <v/>
      </c>
      <c r="J59" s="34">
        <f>IF(COUNT(K59:AG59)=0,"",(AF59*5+AG59*5)/3)</f>
        <v/>
      </c>
      <c r="K59" s="41" t="n">
        <v>2</v>
      </c>
      <c r="L59" s="41" t="n">
        <v>2</v>
      </c>
      <c r="M59" s="41" t="n">
        <v>1</v>
      </c>
      <c r="N59" s="41" t="n">
        <v>3</v>
      </c>
      <c r="O59" s="68" t="inlineStr">
        <is>
          <t>C1=2: a recomendação é explícita e clara ("Estação Central, em formato de armários inteligentes, com resultado operacional anual de R$ 25.080.000") mas está na seção 6 de 7; o sumário executivo da seção 1 anuncia que "a recomendação final ajusta o modelo por praça" sem dizer qual é, então o leitor precisa chegar ao fim. C2=2: o relatório final é de nível cliente, título, sete seções numeradas, nove tabelas e nota de procedência no fechamento. O que impede o 3 é ele ter entregue junto um arquivo chamado "(Relatório Rascunho).pdf" com anotações cruas separadas por linhas de "######"; o descritor de 3 exige nenhum rascunho visível, e o rascunho foi enviado. C3=1: teste operacional, os títulos são rótulos de seção ("4. Rentabilidade: comparação dos dois modelos", "6. Recomendação de lançamento") e a recomendação não aparece em nenhum deles. A sequência interna é lógica e a seção 7 é uma boa adição, o que torna este 1 contestável, mas o teste é objetivo. C4=3: hierarquia de títulos consistente, nove tabelas no mesmo padrão, nenhuma seção fora do padrão no documento final.</t>
        </is>
      </c>
      <c r="P59" s="41" t="n">
        <v>2</v>
      </c>
      <c r="Q59" s="41" t="n">
        <v>3</v>
      </c>
      <c r="R59" s="41" t="n">
        <v>2</v>
      </c>
      <c r="S59" s="41" t="n">
        <v>3</v>
      </c>
      <c r="T59" s="68" t="inlineStr">
        <is>
          <t>R1=2: cita as duas partes, mas o número é decorativo e nesse caso joga contra, ele escolhe armários na Estação a R$ 25,08M quando parceiros dão R$ 27,84M no mesmo bairro. O que sustenta a decisão é o argumento, e ele é bom e ancorado no Anexo D: os parceiros têm "horários variáveis" e a estação opera 24h, além do risco de superlotação do comércio local atrasar embarque e desembarque. Tapando o argumento, o número sozinho não sustenta a escolha. R2=3: calcula os dois modelos nos quatro bairros, apresenta a ordem puramente financeira, e então ajusta praça por praça com justificativa escrita para cada uma, descartando explicitamente a resposta financeira pura e dizendo por quê. Ponto fraco registrado: na Arena ele identifica os armários como solução para a dependência de suporte 24h em dias de evento e mesmo assim fica com parceiros, apoiado numa suposição que ele próprio marca como tal ("supõe-se que o comércio local já se anteciparia"). R3=2: a seção 7, "Custo da decisão", é a boa ideia da entrega, ele precifica o que está abdicando ao trocar rentabilidade máxima por mitigação de risco, R$ 3.390.000, e deixa o trade-off auditável em vez de escondido atrás de argumento qualitativo. O que impede o 3 é a agregação: ele soma os quatro bairros como se fossem lançados juntos (R$ 83,09M contra R$ 86,48M), quando o case pede um bairro prioritário e uma sequência de expansão. Restrito à decisão que ele de fato toma, na Estação, o valor abdicado é R$ 2,76M. R4=3: explica a causa por trás do indicador e o que fazer com ela, e a melhor passagem é Noite Alta, ele pega a "complexidade alta" do Anexo B e explicita o mecanismo concreto (confusão de itens, perda de comprovante de retirada, disputa sobre se o item saiu antes ou depois do estado alcoólico do cliente, má-fé do comerciante) e prescreve a troca de modelo. É raciocínio dele, não do case.</t>
        </is>
      </c>
      <c r="U59" s="41" t="n">
        <v>3</v>
      </c>
      <c r="V59" s="41" t="n">
        <v>3</v>
      </c>
      <c r="W59" s="41" t="n">
        <v>2</v>
      </c>
      <c r="X59" s="41" t="n">
        <v>3</v>
      </c>
      <c r="Y59" s="41" t="n">
        <v>2</v>
      </c>
      <c r="Z59" s="41" t="n">
        <v>1</v>
      </c>
      <c r="AA59" s="68" t="inlineStr">
        <is>
          <t>A1=3: os oito resultados conferem integralmente. A memória de cálculo é completa e visível nos dois arquivos, com as quatro tabelas de custo decompostas por categoria e a receita desenvolvida por semana e por ano. A2=3: bancos 60/25/23/45 corretos, e na Arena ele escreve "~23", sinalizando que percebeu o arredondamento de 22,5. Custo por complexidade correto nos dois modelos e nos quatro bairros. A3=2: a tabela 9 traz a ordem com modelo e resultado por bairro, então há número, mas não existe fasemento, cronograma nem ponte entre períodos, e não há seção de próximos passos em nenhum dos dois arquivos, embora a tarefa 04 do enunciado peça. O case não declara meta numérica, então a outra metade do descritor não é testável. A4=3: a recomendação inteira é a alternativa à resposta financeira pura, com impacto quantificado em R$ 3,39M, mais a alternativa de modelo por bairro com o resultado de cada uma. A5=2: os riscos da seção 5 são muito específicos e por praça, e têm mitigação estrutural, a mitigação é a própria troca para armários, que ele implementa na recomendação. Duas lacunas impedem o 3: os riscos listados são riscos da opção que ele descartou (parceiros), e ele nunca trata os riscos da escolha que fez (intensidade de capital, 60 bancos para instalar e manter, dependência tecnológica); e não há prazo nem próximos passos em lugar nenhum. A6=1: o case não traz erro plantado. Ele não descontou transações pela utilização e faz a leitura literal correta dos 54% como mais da metade das horas da semana, mas não nomeia inconsistência nenhuma.</t>
        </is>
      </c>
      <c r="AB59" s="41" t="n">
        <v>0</v>
      </c>
      <c r="AC59" s="41" t="n">
        <v>1</v>
      </c>
      <c r="AD59" s="41" t="n">
        <v>0</v>
      </c>
      <c r="AE59" s="41" t="n">
        <v>3</v>
      </c>
      <c r="AF59" s="41" t="n"/>
      <c r="AG59" s="41" t="n"/>
      <c r="AH59" s="68" t="inlineStr">
        <is>
          <t>V1 e V2 em branco e a pasta é anônima: os arquivos não trazem nome, então não dá para transcrever as notas de vídeo sem o mapa número-candidato. E1=0 pela letra do item: não há planilha, embora a memória de cálculo esteja detalhada nas tabelas do relatório. E3=0, sem vídeo de entrega.</t>
        </is>
      </c>
      <c r="AI59" s="68"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o que se espera de consultoria.
O argumento por trás também é sólido e ancorado no material. O Anexo D diz que parceiros têm horários variáveis e que armários operam 24h, e uma estação com 110 mil embarques por 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 milhões, mas o case pede um bairro prioritário e uma sequência, não quatro lançamentos simultâneos. Restrita à decisão real, a abdicação é R$ 2,76 milhões, não R$ 3,39 milhões. A ideia está certa e a conta está na base errada.
O segundo é que ele lista apenas os riscos da opção que descartou. Escolheu armários e não diz uma palavra sobre os riscos de armários: 60 bancos para instalar, capital imobilizado, dependência tecnológica. Falta também qualquer próximo passo, que a tarefa 04 pede. E enviar o rascunho junto, com os separadores de "######", custou ponto de forma sem necessidade.
Na entrevista eu faço as duas perguntas que fecham os buracos. Se a decisão é só sobre a Estação, quanto você está abdicando de fato? E quais são os riscos de escolher armários, já que você só listou os de parceiros?
Nota 6,57 com vídeo em branco. Considerando só o que dá para avaliar, 7,30.
Indício de IA: Baixo (consultivo, não afeta nota). O rascunho enviado junto é material de trabalho pessoal, com anotações em caixa alta separadas por linhas de "######". Ninguém gera isso, e a progressão rascunho para relatório final deixa o processo de escrita visível. O raciocínio de Noite Alta é idiossincrático e coloquial de um jeito que texto gerado raramente é. Ele marca a própria suposição na Arena com "supõe-se" em vez de afirmar.
IDENTIFICAÇÃO: pasta anônima. Nenhum arquivo traz nome no texto, no nome do arquivo ou no metadado. Rastro de ferramenta que pode ajudar a estreitar: rascunho impresso pelo Google Docs Renderer. No docx, o campo de autor foi preenchido com o titulo do documento e o lastModifiedBy esta como "Un-named". Sem o mapa número para candidato, V1 e V2 não podem ser transcritos e o bloco Vídeo fica valendo zero. Candidatos inscritos ainda não pareados a nenhuma pasta: João Pedro Mendes Stama, Rafael Ponciano Rodrigues dos Santos, Enzo Chofakian Gagliardi, João Gabriel de Oliveira Morcelli, Raphael Negrini Saggioro, Gustavo Daher Pereira, Ricardo Augusto Schmitt Filho, Matheus Dias Freitas, Klaus Augusto Santos da Silva, José Vitor Dias Tutu, Isadora Kluge Dorigan.</t>
        </is>
      </c>
    </row>
    <row r="60" ht="14.25" customHeight="1" s="60">
      <c r="B60" s="0" t="inlineStr">
        <is>
          <t>11</t>
        </is>
      </c>
      <c r="C60" s="0" t="inlineStr">
        <is>
          <t>11 · Leandra Cunha de Souza (pasta entregas-candidatos/11, case BagHub 2026.2)</t>
        </is>
      </c>
      <c r="D60" s="0" t="inlineStr">
        <is>
          <t>Avaliador 1</t>
        </is>
      </c>
      <c r="E60" s="33">
        <f>IF(COUNT(K60:AG60)=0,"",ROUND((F60+G60+H60+I60+J60)/10,2))</f>
        <v/>
      </c>
      <c r="F60" s="34">
        <f>IF(COUNT(K60:AG60)=0,"",(K60*10+L60*8+M60*7+N60*5)/3)</f>
        <v/>
      </c>
      <c r="G60" s="34">
        <f>IF(COUNT(K60:AG60)=0,"",(P60*8+Q60*7+R60*5+S60*5)/3)</f>
        <v/>
      </c>
      <c r="H60" s="34">
        <f>IF(COUNT(K60:AG60)=0,"",(U60*6+V60*6+W60*4+X60*3+Y60*3+Z60*3)/3)</f>
        <v/>
      </c>
      <c r="I60" s="34">
        <f>IF(COUNT(K60:AG60)=0,"",AB60*3+AC60*2+AD60*2+AE60*1)</f>
        <v/>
      </c>
      <c r="J60" s="34">
        <f>IF(COUNT(K60:AG60)=0,"",(AF60*5+AG60*5)/3)</f>
        <v/>
      </c>
      <c r="K60" s="41" t="n">
        <v>2</v>
      </c>
      <c r="L60" s="41" t="n">
        <v>2</v>
      </c>
      <c r="M60" s="41" t="n">
        <v>1</v>
      </c>
      <c r="N60" s="41" t="n">
        <v>1</v>
      </c>
      <c r="O60" s="68" t="inlineStr">
        <is>
          <t>C1=2: a recomendação é explícita, clara e com números quando chega, mas está no slide 11 de 13; a capa não a antecipa e os dez slides anteriores são análise. C2=2: deck estruturado e completo, com capa, tabelas de rentabilidade por bairro e slide de contato, mas com pontas soltas em volume, "Bag Huby" na capa, "Armários inteligententes" repetido nas quatro tabelas, "Central Histórico" e "calcúlos" no slide 5, a utilização de Noite Alta e Arena trocada no slide 3 (31% e 33%, quando é 33% e 31%) contradizendo o slide 12, "110 embarques diários" no slide 4 quando são 110 mil, e o texto de template "BACK TO AGENDA" esquecido no slide 4. C3=1: teste operacional, os títulos são rótulos e a recomendação não aparece em nenhum deles; além disso os slides 2 e 4 têm o título idêntico ("Comparação qualitativa dos Bairros") com o slide 3 no meio, o que obriga o leitor a voltar para entender o que mudou. C4=1: contagem de slides fora do padrão passa de dois, o slide 4 carrega texto de template, o slide 10 quebra os números no meio da célula ("R$23.150.00 0") e o slide 11 é um paredão de texto em duas colunas muito mais denso que o resto. As tabelas de rentabilidade (6 a 9) são limpas e uniformes, o que torna este 1 contestável.</t>
        </is>
      </c>
      <c r="P60" s="41" t="n">
        <v>3</v>
      </c>
      <c r="Q60" s="41" t="n">
        <v>3</v>
      </c>
      <c r="R60" s="41" t="n">
        <v>1</v>
      </c>
      <c r="S60" s="41" t="n">
        <v>2</v>
      </c>
      <c r="T60" s="68" t="inlineStr">
        <is>
          <t>R1=3: cita o número que sustenta a escolha dela (margem de 90,7%) e a razão de negócio (baixa complexidade, menor capacidade ociosa, demanda consistente), e as duas partes se apoiam. Mais importante, ela enfrenta o contra-argumento por escrito no slide 11: "embora o bairro Estação Central tenha o maior resultado operacional nos dois modelos, a baixa complexidade da região torna essa opção preferível". Não esconde que está escolhendo o segundo maior resultado. R2=3: o slide 10 ranqueia os quatro com os dois modelos lado a lado, o slide 11 separa a justificativa do bairro da justificativa do modelo, e o slide 12 justifica individualmente as posições 2, 3 e 4 com critério (margem, volatilidade, utilização, custo de operação). Descarta a Estação Central por escrito e com razão declarada. R3=1: entregou o pedido de forma essencialmente completa e correta, mas sem nada de fato além dele. O 2x2 de demanda estável x volátil do slide 2 é a única construção própria e fica subdesenvolvida, sem posicionamento visível dos bairros nos quadrantes. Não há sensibilidade, break-even, giro por posição nem economia por posição, e os próximos passos praticamente não existem, só um gesto no slide 12 sobre investir em Noite Alta "quando a operação já estiver madura". R4=2: compara a utilização entre os bairros e tira conclusão (a Arena fica ociosa a maior parte da semana por depender do calendário de eventos; Noite Alta é a mais custosa pelo custo de operação por posição mais alto). Mas a interpretação central, 54% de utilização como prova de "demanda consistente", não é justificada causalmente e o próprio case adverte que a capacidade foi dimensionada para picos, então a utilização reflete tempo de permanência e concentração, não regularidade.</t>
        </is>
      </c>
      <c r="U60" s="41" t="n">
        <v>3</v>
      </c>
      <c r="V60" s="41" t="n">
        <v>3</v>
      </c>
      <c r="W60" s="41" t="n">
        <v>2</v>
      </c>
      <c r="X60" s="41" t="n">
        <v>3</v>
      </c>
      <c r="Y60" s="41" t="n">
        <v>2</v>
      </c>
      <c r="Z60" s="41" t="n">
        <v>1</v>
      </c>
      <c r="AA60" s="68" t="inlineStr">
        <is>
          <t>A1=3: os oito resultados conferem integralmente, com as margens todas corretas (69,7%/77,3%, 85,7%/90,7%, 61,9%/64,0%, 77,1%/83,0%). A memória de cálculo é boa e visível: o slide 5 traz as fórmulas e os slides 6 a 9 decompõem, bairro por bairro e modelo por modelo, equipamento, bancos, operação, custo total, resultado e margem. A2=3: os custos de banco estão todos corretos, R$ 4.200.000, R$ 1.750.000, R$ 1.610.000 e R$ 3.150.000, e o valor da Arena só fecha com 23 bancos, então o arredondamento de 22,5 foi feito, ainda que ela não mostre a contagem de bancos explicitamente. Custo por complexidade correto nos oito cenários. A3=2: o slide 12 traz uma lógica de sequenciamento com número e papel para cada posição ("após priorizar o bairro mais eficiente, o segundo lançamento deve maximizar volume em resultado operacional para garantir a capacidade de expansão"), mas não há fasemento, cronograma nem ponte entre períodos. O case não declara meta numérica, então a outra metade do descritor não é testável. A4=3: a Estação Central entra como segundo lançamento com impacto quantificado em R$ 27.840.000 e papel definido, alternativa que só existe neste case. A5=2: os dois riscos do slide 11 são específicos da recomendação dela e do modelo que escolheu (dependência de terceiros, com qualidade e disponibilidade fora do controle direto da BagHub; padronização da experiência, porque parceiros têm horário variável contra o padrão 24h dos armários). Nenhum dos dois tem mitigação, e não há prazo nem próximos passos. Riscos específicos sem mitigação é exatamente o descritor de 2. A6=1: o case não traz erro plantado; a fórmula de receita do slide 5 está correta e ela não descontou transações pela utilização, mas não nomeia inconsistência nenhuma.</t>
        </is>
      </c>
      <c r="AB60" s="41" t="n">
        <v>0</v>
      </c>
      <c r="AC60" s="41" t="n">
        <v>1</v>
      </c>
      <c r="AD60" s="41" t="n">
        <v>0</v>
      </c>
      <c r="AE60" s="41" t="n">
        <v>2</v>
      </c>
      <c r="AF60" s="41" t="n"/>
      <c r="AG60" s="41" t="n"/>
      <c r="AH60" s="68" t="inlineStr">
        <is>
          <t>V1 e V2 em branco: notas da etapa de vídeo não vieram com a pasta; o nome está na capa e o e-mail no último slide (l304532@dac.unicamp.br), então dá para transcrever das linhas 14 e 36. E1=0, sem planilha. E3=0, sem vídeo de entrega.</t>
        </is>
      </c>
      <c r="AI60" s="68"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Nota 6,07 com vídeo em branco. Considerando só o que dá para avaliar, 6,74.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IDENTIFICAÇÃO: Leandra Cunha de Souza, l304532@dac.unicamp.br. Confiança alta. Como cheguei nisso: nome na capa, e-mail no ultimo slide e campo Author do metadado ("Leandra Cunha"). As notas de vídeo dele estão nas linhas 14 e 36 desta aba e precisam ser transcritas para cá, porque valem 10 pontos e hoje entram como zero.</t>
        </is>
      </c>
    </row>
    <row r="61" ht="14.25" customHeight="1" s="60">
      <c r="B61" s="0" t="inlineStr">
        <is>
          <t>12</t>
        </is>
      </c>
      <c r="C61" s="0" t="inlineStr">
        <is>
          <t>12 · Mariana Nunes Galvão Sant'Anna (pasta entregas-candidatos/12, case BagHub 2026.2)</t>
        </is>
      </c>
      <c r="D61" s="0" t="inlineStr">
        <is>
          <t>Avaliador 1</t>
        </is>
      </c>
      <c r="E61" s="33">
        <f>IF(COUNT(K61:AG61)=0,"",ROUND((F61+G61+H61+I61+J61)/10,2))</f>
        <v/>
      </c>
      <c r="F61" s="34">
        <f>IF(COUNT(K61:AG61)=0,"",(K61*10+L61*8+M61*7+N61*5)/3)</f>
        <v/>
      </c>
      <c r="G61" s="34">
        <f>IF(COUNT(K61:AG61)=0,"",(P61*8+Q61*7+R61*5+S61*5)/3)</f>
        <v/>
      </c>
      <c r="H61" s="34">
        <f>IF(COUNT(K61:AG61)=0,"",(U61*6+V61*6+W61*4+X61*3+Y61*3+Z61*3)/3)</f>
        <v/>
      </c>
      <c r="I61" s="34">
        <f>IF(COUNT(K61:AG61)=0,"",AB61*3+AC61*2+AD61*2+AE61*1)</f>
        <v/>
      </c>
      <c r="J61" s="34">
        <f>IF(COUNT(K61:AG61)=0,"",(AF61*5+AG61*5)/3)</f>
        <v/>
      </c>
      <c r="K61" s="41" t="n">
        <v>3</v>
      </c>
      <c r="L61" s="41" t="n">
        <v>2</v>
      </c>
      <c r="M61" s="41" t="n">
        <v>2</v>
      </c>
      <c r="N61" s="41" t="n">
        <v>3</v>
      </c>
      <c r="O61" s="68" t="inlineStr">
        <is>
          <t>C1=3: o deck abre pela recomendação, o slide 3 é o divisor "Recomendação de investimento" e o slide 4 traz a resposta completa com o número (Estação Central, pontos parceiros, R$ 27.840.000). Contando capa, sumário e divisor, ela chega na 4ª página de 18, ou seja, a primeira página de conteúdo é a resposta. Ressalva para o 2º avaliador: não é literalmente uma frase, está distribuída em três colunas. C2=2: deck de nível cliente com capa, sumário, divisores de seção e slide de fechamento, mais planilha de 5 abas. O que impede o 3 são títulos duplicados: os slides 9, 10 e 11 têm título e subtítulo idênticos ("Cenários de investimento: projeções anuais de lucro") e os slides 6 e 7 repetem "Mapeamento da cidade", quatro slides em que o leitor não sabe o que mudou. C3=2: a recomendação aparece no título ("O futuro da BagHub em Estação Central, Porto Claro") e o arco fecha, recomendação, comparação, rentabilidade, conclusões, matriz, modelo de negócios, riscos e próximos passos. O salto que impede o 3 é justamente o título triplicado dos slides 9 a 11. C4=3: template consistente com divisores de seção, gráficos no mesmo padrão e nenhum slide com parágrafo corrido.</t>
        </is>
      </c>
      <c r="P61" s="41" t="n">
        <v>3</v>
      </c>
      <c r="Q61" s="41" t="n">
        <v>3</v>
      </c>
      <c r="R61" s="41" t="n">
        <v>3</v>
      </c>
      <c r="S61" s="41" t="n">
        <v>2</v>
      </c>
      <c r="T61" s="68" t="inlineStr">
        <is>
          <t>R1=3: o slide 4 amarra R$ 27.840.000 a razões de negócio próprias e verificáveis, infraestrutura ferroviária e rodoviária, e o fato de a Estação Central fazer fronteira com 5 bairros, sendo passagem para diversos trajetos, com sazonalidade "homogênea e previsível" e potencial de fidelização. Conferi no mapa do Anexo A e a contagem de 5 bairros vizinhos está correta. Tapando o número, o argumento de fronteira e recorrência fica; tapando o argumento, 27,84M é o máximo dos oito. R2=3: o slide 13 ordena as OITO combinações numa matriz esforço-resultado, e a ordem está correta por lucro absoluto (27,84 &gt; 25,08 &gt; 24,50 &gt; 23,15 &gt; 19,20 &gt; 18,57 &gt; 14,94 &gt; 13,87), incluindo o detalhe de colocar Estação-armários à frente de Centro-parceiros. Marca Noite Alta como 5/6 com asterisco, declarando que a posição depende de pesquisa sobre disponibilidade horária dos parceiros, reconhece a incerteza em vez de fingir precisão. R3=3: três adições reais. Primeiro, o critério "potencial de fronteira" (aba diagramas, notas 3/2/1/2), construído a partir da leitura do mapa do Anexo A, foi a única candidata a usar o mapa analiticamente, e isso sustenta diretamente a recomendação. Segundo, a aba comparação calcula a vantagem percentual dos parceiros por bairro (11,0% / 5,8% / 7,7% / 3,4%) e ela usa isso no slide 12 para argumentar que a diferença não é grande o bastante para ignorar fatores qualitativos, apontando Noite Alta (3,4%, a menor) como onde a vantagem pode virar, é o mesmo achado das melhores entregas, por outro caminho. Terceiro, um Business Model Canvas completo no slide 15, não pedido. R4=2: acerta em dois indicadores e erra no que promove a primeiro lugar. Acerta ao interpretar os percentuais de vantagem e ao derivar consequência de negócio do mapa. Erra no slide 17, onde lista como oportunidade nº 1 que "apenas 42% das horas semanais disponíveis são utilizadas na estação central, um maior aproveitamento teria impacto direto no lucro", o case diz que a capacidade foi dimensionada para os picos e que a demanda já está dada em transações, então horas ociosas não são alavanca de receita.</t>
        </is>
      </c>
      <c r="U61" s="41" t="n">
        <v>3</v>
      </c>
      <c r="V61" s="41" t="n">
        <v>3</v>
      </c>
      <c r="W61" s="41" t="n">
        <v>3</v>
      </c>
      <c r="X61" s="41" t="n">
        <v>3</v>
      </c>
      <c r="Y61" s="41" t="n">
        <v>3</v>
      </c>
      <c r="Z61" s="41" t="n">
        <v>1</v>
      </c>
      <c r="AA61" s="68" t="inlineStr">
        <is>
          <t>A1=3: os oito resultados conferem integralmente. Memória de cálculo em planilha real, com as abas modelo 1 e modelo 2 puxando os parâmetros da aba Rascunho por referência ((C22+C25)*2400+70000*60, e assim por diante). A2=3: contagens de banco corretas nas fórmulas, 60, 25, 23 e 45, com a Arena em 23, ou seja, o arredondamento de 22,5 foi feito. Custo por complexidade correto nos oito cenários, com os três níveis parametrizados na aba Rascunho. A3=3: o slide 17 traz quatro próximos passos concretos, com prazo declarado ("piloto de 3 meses na Estação Central... comparando os dados projetados e os reais") e definição de KPIs e OKRs; a expansão está nomeada com razão (Centro Histórico, por alto lucro, baixa complexidade e proximidade geográfica) e a ordem completa está no slide 13. O case não declara meta numérica, então essa parte do descritor não é testável. A4=3: alternativa quantificada por dois caminhos, Estação-armários em 2º na matriz e a vantagem percentual dos parceiros por bairro, que dimensiona quanto se perderia ao trocar de modelo. A5=3: quatro riscos no slide 17, todos específicos da recomendação dela (dependência dos parceiros comerciais; horários de pico do transporte público superando a capacidade estipulada; manutenção maior por proximidade ao transporte público; e uma observação afiada e própria, baixa conversão porque a pressa é característica do público-alvo de conexões). Mitigação vem via os próximos passos (mapeamento da rede de parceiros, piloto com dados em tempo real) e o prazo de 3 meses está escrito. A6=1: o case não traz erro plantado. Ela não descontou transações pela utilização nas contas, que estão todas certas, mas não nomeou inconsistência nenhuma.</t>
        </is>
      </c>
      <c r="AB61" s="41" t="n">
        <v>1</v>
      </c>
      <c r="AC61" s="41" t="n">
        <v>1</v>
      </c>
      <c r="AD61" s="41" t="n">
        <v>0</v>
      </c>
      <c r="AE61" s="41" t="n">
        <v>3</v>
      </c>
      <c r="AF61" s="41" t="n"/>
      <c r="AG61" s="41" t="n"/>
      <c r="AH61" s="68" t="inlineStr">
        <is>
          <t>V1 e V2 em branco: notas da etapa de vídeo não vieram com a pasta; o nome está no arquivo e no slide de fechamento, então dá para transcrever das linhas 16 e 38. E1=1, planilha real de 5 abas com fórmulas vivas e parâmetros centralizados. E3=0, sem vídeo de entrega. Ressalva de método: os slides 7, 9, 10, 11 e 13 são gráficos e eu avaliei o E4 pelo conteúdo que os alimenta (abas diagramas e comparação) e pelos títulos, sem inspecionar o visual de cada gráfico.</t>
        </is>
      </c>
      <c r="AI61" s="68"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Nota 7,93 com vídeo em branco. Considerando só o que dá para avaliar, 8,81.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IDENTIFICAÇÃO: Mariana Nunes Galvão Sant'Anna, m277865@dac.unicamp.br. Confiança alta. Como cheguei nisso: nome no nome do arquivo, no slide de fechamento e no campo Author do metadado. As notas de vídeo dele estão nas linhas 16 e 38 desta aba e precisam ser transcritas para cá, porque valem 10 pontos e hoje entram como zero.</t>
        </is>
      </c>
    </row>
    <row r="62" ht="14.25" customHeight="1" s="60">
      <c r="B62" s="0" t="inlineStr">
        <is>
          <t>13</t>
        </is>
      </c>
      <c r="C62" s="0" t="inlineStr">
        <is>
          <t>13 · não identificado (pasta entregas-candidatos/13, case BagHub 2026.2)</t>
        </is>
      </c>
      <c r="D62" s="0" t="inlineStr">
        <is>
          <t>Avaliador 1</t>
        </is>
      </c>
      <c r="E62" s="33">
        <f>IF(COUNT(K62:AG62)=0,"",ROUND((F62+G62+H62+I62+J62)/10,2))</f>
        <v/>
      </c>
      <c r="F62" s="34">
        <f>IF(COUNT(K62:AG62)=0,"",(K62*10+L62*8+M62*7+N62*5)/3)</f>
        <v/>
      </c>
      <c r="G62" s="34">
        <f>IF(COUNT(K62:AG62)=0,"",(P62*8+Q62*7+R62*5+S62*5)/3)</f>
        <v/>
      </c>
      <c r="H62" s="34">
        <f>IF(COUNT(K62:AG62)=0,"",(U62*6+V62*6+W62*4+X62*3+Y62*3+Z62*3)/3)</f>
        <v/>
      </c>
      <c r="I62" s="34">
        <f>IF(COUNT(K62:AG62)=0,"",AB62*3+AC62*2+AD62*2+AE62*1)</f>
        <v/>
      </c>
      <c r="J62" s="34">
        <f>IF(COUNT(K62:AG62)=0,"",(AF62*5+AG62*5)/3)</f>
        <v/>
      </c>
      <c r="K62" s="41" t="n">
        <v>1</v>
      </c>
      <c r="L62" s="41" t="n">
        <v>0</v>
      </c>
      <c r="M62" s="41" t="n">
        <v>1</v>
      </c>
      <c r="N62" s="41" t="n">
        <v>1</v>
      </c>
      <c r="O62" s="68" t="inlineStr">
        <is>
          <t>C1=1: não há recomendação escrita em lugar nenhum dos dois arquivos. Ele cumpre as tarefas 01 a 03 (comparar bairros, demanda e capacidade, calcular rentabilidade) e para. Dá para inferir a escolha pelos gráficos de lucro acumulado, onde a Estação Central tem o maior acúmulo em 5 anos e os armários ultrapassam os parceiros, mas em nenhum momento ele escreve qual bairro nem qual modelo escolheria, que é exatamente o descritor de 1. C2=0: o entregável é seis fotografias de páginas de caderno, com sombra visível, iluminação irregular e dominante de cor rosada, mais um print de planilha. O descritor de 0 é literal: "foto de papel". Aplicando o teste operacional, não é arquivo que se manda a um cliente sem editar. Registro em favor dele que a caligrafia é organizada, com títulos em caixa e blocos "Resumo do Bairro" destacados, não é material caótico, é material privado. C3=1: a sequência interna é lógica e espelha as tarefas do case, mas os quatro blocos de bairro são paralelos e independentes, nenhum puxa o seguinte, e a página de gráficos não se conecta a nenhum texto. Sem conclusão, não há fio que chegue a lugar algum. C4=1: formatação improvisada mas legível, as fotos exigem esforço para ler por causa da sombra e do contraste, e a página de Excel é limpa.</t>
        </is>
      </c>
      <c r="P62" s="41" t="n">
        <v>0</v>
      </c>
      <c r="Q62" s="41" t="n">
        <v>1</v>
      </c>
      <c r="R62" s="41" t="n">
        <v>0</v>
      </c>
      <c r="S62" s="41" t="n">
        <v>2</v>
      </c>
      <c r="T62" s="68" t="inlineStr">
        <is>
          <t>R1=0: não há recomendação, que é o descritor de 0. Todo o material quantitativo está correto, mas nenhuma decisão é tomada nem sustentada. R2=1: aplicando o teste operacional, "ele descartou alguma coisa por escrito? Se não descartou nada, não discutiu", ele não descartou nada. Registro em favor dele, para o 2º avaliador, que a comparação em si é das mais completas do conjunto: os oito cenários calculados à mão mais a evolução dos dois modelos em 5 anos nos quatro bairros. Há comparação rica e zero escolha, o que torna este 1 contestável para 2. R3=0: o pedido ficou incompleto, que é o descritor de 0. A tarefa 04 do enunciado pede escolher bairro e modelo, sustentar com números e apresentar riscos e próximos passos, nada disso foi entregue. Vale notar que ele trouxe coisas não pedidas e boas (os 3C's aplicados ao case, a projeção de 5 anos), mas o descritor é explícito sobre pedido incompleto. R4=2: lê as lucratividades e compara ano 1 contra anos seguintes, tirando conclusão. Tem ainda a melhor observação qualitativa do conjunto sobre a demanda: anota que as conexões duram em média 1h30 a 2h e que "na maior parte das vezes não será tempo suficiente para fazer uma visita", o que questiona o próprio driver de demanda da Estação Central. O que impede o 3 é que ele não faz nada com essa observação, não ajusta número, não vira risco, não muda conclusão, e a duração de 1h30 a 2h não está no case nem é marcada como premissa dele.</t>
        </is>
      </c>
      <c r="U62" s="41" t="n">
        <v>3</v>
      </c>
      <c r="V62" s="41" t="n">
        <v>3</v>
      </c>
      <c r="W62" s="41" t="n">
        <v>1</v>
      </c>
      <c r="X62" s="41" t="n">
        <v>2</v>
      </c>
      <c r="Y62" s="41" t="n">
        <v>1</v>
      </c>
      <c r="Z62" s="41" t="n">
        <v>1</v>
      </c>
      <c r="AA62" s="68" t="inlineStr">
        <is>
          <t>A1=3: os oito resultados de Ano 1 conferem integralmente, todos desenvolvidos à mão. Estação Central: receita 1.200.000 transações x 30 = 36M, armários 3.360.000 + 4.200.000 + 3.360.000 = 10.920.000, lucro 25.080.000, lucratividade 69,66%; parceiros 8.160.000, lucro 27.840.000, 77,33%. Arena: parceiros 3.060.000, lucro 14.940.000, 83%; armários lucro 13.870.000, 77,05%. Noite Alta: armários 11.430.000 e lucro 18.570.000 a 61,9%; parceiros 10.800.000 e 19.200.000 a 64%. A memória de cálculo não é só visível, ela É o entregável. A2=3: bancos explícitos e corretos (60 na Estação, 45 em Noite Alta) e o custo de R$ 1.610.000 na Arena só fecha com 23 bancos, ou seja, o arredondamento de 22,5 foi feito. Custo por complexidade correto nos oito cenários. A3=1: existe projeção de 5 anos com ponte ano a ano e ela bate com o modelo dele, mas está inteiramente apoiada em remover o custo do banco a partir do 2º ano, ele anota "apenas 1º ano" ao lado dos R$ 4.200.000, quando o Anexo E declara que todos os valores são anuais. Sob a premissa correta, os armários nunca ultrapassam os parceiros e os quatro gráficos caem. Além disso não há plano de lançamento nenhum, nem fasemento, nem próximos passos. A4=2: a alternativa dos armários está coerente com o case e quantificada em 5 anos nos quatro bairros, mas nunca é proposta como curso de ação, fica entre descritores porque há quantificação sem proposta. A5=1: ele lista pontos negativos por bairro, e são específicos (atendimento noturno, segurança, operação complexa e risco de roubos em Noite Alta; a duração das conexões na Estação), mas estão desacoplados de qualquer recomendação, não têm mitigação e não há próximos passos, que o enunciado pede explicitamente na tarefa 04. A6=1: o case não traz erro plantado. Ele anota "42% de utilização" ao lado da conta de receita como contexto e não aplica como desconto, ou seja, passou pelo ponto certo, mas não nomeia inconsistência nenhuma.</t>
        </is>
      </c>
      <c r="AB62" s="41" t="n">
        <v>0</v>
      </c>
      <c r="AC62" s="41" t="n">
        <v>0</v>
      </c>
      <c r="AD62" s="41" t="n">
        <v>0</v>
      </c>
      <c r="AE62" s="41" t="n">
        <v>1</v>
      </c>
      <c r="AF62" s="41" t="n"/>
      <c r="AG62" s="41" t="n"/>
      <c r="AH62" s="68" t="inlineStr">
        <is>
          <t>V1 e V2 em branco e a pasta é anônima: nenhum dos arquivos traz nome, então não dá para transcrever as notas de vídeo sem o mapa número-candidato. E1=0 pela letra do item: o Excel Graficos é um PDF exportado, não um arquivo de planilha, mesma ressalva das pastas 05 e 08, ele entregou memória de cálculo de fato, em outro formato. E2=0: o item pede apresentação fechada (PPT ou relatório) e não há nenhuma das duas; fotos de caderno e print de planilha não são entregável fechado. E3=0, sem vídeo. E4=1: os quatro gráficos de lucro acumulado são corretos e bem feitos, com título, legenda e eixo, mas estão soltos, nenhum texto os cita e nenhuma afirmação é construída sobre eles.</t>
        </is>
      </c>
      <c r="AI62" s="68" t="inlineStr">
        <is>
          <t>A entrega mais frustrante que corrigi,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que eu vi em todas as pastas. Anotou que uma conexão dura em média 1h30 a 2h e que isso geralmente não dá tempo de passear pela cidade.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 o formato: seis fotos de caderno com sombra e um print de planilha, sem nenhum documento fechado.
Sobre a projeção, ela também não sobrevive. Ele anota "apenas 1º ano" ao lado do custo do banco, e o Anexo E diz que todos os valores são anuais. Corrigida a premissa, os armários nunca ultrapassam os parceiros e os quatro gráficos perdem sentido. Vale registrar que este é o terceiro candidato a ler o banco como investimento, junto com as pastas 05 e 09, o que me faz achar que a redação do Anexo E merece ajuste no próximo case.
Na entrevista, se ele passar, a primeira pergunta é a que falta. Você calculou tudo, então qual bairro e qual modelo você escolhe, e por quê? A segunda, por que o banco vale só no primeiro ano? A terceira eu faria por interesse genuíno: sua observação sobre a conexão de 1h30 é boa, o que ela faz com a demanda de 24 mil transações do case?
Nota 3,13 com vídeo em branco. Considerando só o que dá para avaliar, 3,48.
Indício de IA: Baixo (consultivo, não afeta nota). Evidência de propriedade praticamente incontestável, ao lado da pasta 05. Seis páginas de caderno fotografadas sob luz ruim, com os 3C's aplicados à mão e cada conta desenvolvida passo a passo. A anotação "apenas 1º ano" documenta decisão consciente. A observação sobre a duração das conexões traz informação de fora do case, o que texto gerado a partir do enunciado não produz porque não questiona o input. A ausência de recomendação é falta de tempo, não artefato.
IDENTIFICAÇÃO: pasta anônima. Nenhum arquivo traz nome no texto, no nome do arquivo ou no metadado. Rastro de ferramenta que pode ajudar a estreitar: PDF das contas gerado pelo app Fotos do iOS 26.6.2. Sem o mapa número para candidato, V1 e V2 não podem ser transcritos e o bloco Vídeo fica valendo zero. Candidatos inscritos ainda não pareados a nenhuma pasta: João Pedro Mendes Stama, Rafael Ponciano Rodrigues dos Santos, Enzo Chofakian Gagliardi, João Gabriel de Oliveira Morcelli, Raphael Negrini Saggioro, Gustavo Daher Pereira, Ricardo Augusto Schmitt Filho, Matheus Dias Freitas, Klaus Augusto Santos da Silva, José Vitor Dias Tutu, Isadora Kluge Dorigan.</t>
        </is>
      </c>
    </row>
    <row r="63" ht="14.25" customHeight="1" s="60">
      <c r="B63" s="0" t="inlineStr">
        <is>
          <t>14</t>
        </is>
      </c>
      <c r="C63" s="0" t="inlineStr">
        <is>
          <t>14 · Rafael Rodrigues Moreira (pasta entregas-candidatos/14, case BagHub 2026.2)</t>
        </is>
      </c>
      <c r="D63" s="0" t="inlineStr">
        <is>
          <t>Avaliador 1</t>
        </is>
      </c>
      <c r="E63" s="33">
        <f>IF(COUNT(K63:AG63)=0,"",ROUND((F63+G63+H63+I63+J63)/10,2))</f>
        <v/>
      </c>
      <c r="F63" s="34">
        <f>IF(COUNT(K63:AG63)=0,"",(K63*10+L63*8+M63*7+N63*5)/3)</f>
        <v/>
      </c>
      <c r="G63" s="34">
        <f>IF(COUNT(K63:AG63)=0,"",(P63*8+Q63*7+R63*5+S63*5)/3)</f>
        <v/>
      </c>
      <c r="H63" s="34">
        <f>IF(COUNT(K63:AG63)=0,"",(U63*6+V63*6+W63*4+X63*3+Y63*3+Z63*3)/3)</f>
        <v/>
      </c>
      <c r="I63" s="34">
        <f>IF(COUNT(K63:AG63)=0,"",AB63*3+AC63*2+AD63*2+AE63*1)</f>
        <v/>
      </c>
      <c r="J63" s="34">
        <f>IF(COUNT(K63:AG63)=0,"",(AF63*5+AG63*5)/3)</f>
        <v/>
      </c>
      <c r="K63" s="41" t="n">
        <v>1</v>
      </c>
      <c r="L63" s="41" t="n">
        <v>2</v>
      </c>
      <c r="M63" s="41" t="n">
        <v>1</v>
      </c>
      <c r="N63" s="41" t="n">
        <v>2</v>
      </c>
      <c r="O63" s="68" t="inlineStr">
        <is>
          <t>C1=1: dá para inferir a recomendação, ele declara no slide 4 que rentabilidade é "o nosso critério principal" e o slide 17 conclui que a Estação Central lidera com R$ 27,84 mi em parceiros, mas ela não está escrita em lugar nenhum. O slide 21 fecha ambivalente ("a Estação central ganha na rentabilidade bruta, enquanto o Centro histórico traz uma proposta de eficiência e constância") sem resolver, e o índice do slide 2 promete uma seção "d. Recomendação do lançamento" que não existe no deck. C2=2: deck de nível cliente, com capa, índice, divisores de seção, rodapé, numeração e citação de fonte ("Fonte: Anexos A, B e C do desafio"). Pontas soltas que impedem o 3: os slides 7 e 8 têm título idêntico e ambos numerados "07", os slides 10 e 11 idem numerados "09", typos em "perídodo" (slide 4) e "font única" (slide 19), e a seção prometida no índice não foi entregue. C3=1: teste operacional, os títulos são rótulos ("Critério 3: Robustez da demanda", "Conclusão: a tabela-resumo de decisão") e a recomendação não aparece em nenhum; somam-se quatro slides com títulos duplicados, que obrigam o leitor a descobrir o que mudou. O arco dos quatro critérios é claro, o que torna este 1 contestável. C4=2: template uniforme com rodapé e marcadores de seção, mas o slide 18 está sobrecarregado, três tabelas mais a fórmula, com a numeração colidindo dentro de uma célula, e a numeração repetida em 8 e 11.</t>
        </is>
      </c>
      <c r="P63" s="41" t="n">
        <v>2</v>
      </c>
      <c r="Q63" s="41" t="n">
        <v>3</v>
      </c>
      <c r="R63" s="41" t="n">
        <v>0</v>
      </c>
      <c r="S63" s="41" t="n">
        <v>3</v>
      </c>
      <c r="T63" s="68" t="inlineStr">
        <is>
          <t>R1=2: cita as duas partes e elas se conectam bem, R$ 27,84 mi com a razão estratégica do slide 20, a Estação Central como "Origem" da jornada que "intercepta o cliente antes de todo mundo". O que impede nota maior é que ele nunca decide: a própria tabela do slide 21 mostra o Centro Histórico ganhando em três dos quatro critérios (eficiência, robustez e valor estratégico empatado em ALTO) contra o critério principal que ele declarou, e essa contradição não é reconciliada. Com a decisão em aberto, um dos lados fica decorativo. R2=3: é o ponto mais forte da entrega. Quatro critérios declarados no slide 4 e todos operacionalizados de verdade, rentabilidade nos oito cenários, eficiência em R$/posição com ranking, robustez com regra explícita e limiares numéricos ("Alta: utilização acima de 50% ou duas ou mais fontes independentes com janela ampla; Baixa: abaixo de 35% e fonte única...") aplicada corretamente aos quatro bairros, e valor estratégico por contagem de adjacência. O slide 21 consolida tudo numa tabela de decisão com ranking por critério, e ele justifica por escrito por que Arena e Noite Alta saem (robustez BAIXA, valor estratégico BAIXO e MÉDIO). A regra de robustez é o critério qualitativo mais rigoroso e reproduzível de todo o conjunto. R3=0: o descritor de 0 inclui "o pedido ficou incompleto", e ficou, a tarefa 04 pede recomendação sustentada, riscos e próximos passos, e não há recomendação declarada, nem seção de riscos, nem próximos passos. Registro com clareza, porque a nota isolada engana: o material extra dele (unit economics por posição, regra de robustez, adjacência e jornada do cliente) está entre os melhores do conjunto. O zero vem só da incompletude do pedido. R4=3: melhor leitura de indicador de todas as pastas. No slide 6 ele explica por que a Estação tem mais transações e menos utilização, demanda em picos, exigindo mais capital imobilizado por transação, e deriva que é onde as malas ficam guardadas por mais tempo, "mais ou menos 7 horas, o maior entre os bairros". Recalculei: 0,42 x 2.400 x 168 / 24.000 = 7,06 h. Está exato, e ninguém mais extraiu tempo de permanência dos dados. Ressalva: no slide 8 ele diz que os itens do Centro Histórico "ficam guardados por mais tempo", o que contradiz o próprio slide 6 (o Centro dá 5,04 h).</t>
        </is>
      </c>
      <c r="U63" s="41" t="n">
        <v>3</v>
      </c>
      <c r="V63" s="41" t="n">
        <v>2</v>
      </c>
      <c r="W63" s="41" t="n">
        <v>1</v>
      </c>
      <c r="X63" s="41" t="n">
        <v>3</v>
      </c>
      <c r="Y63" s="41" t="n">
        <v>1</v>
      </c>
      <c r="Z63" s="41" t="n">
        <v>1</v>
      </c>
      <c r="AA63" s="68" t="inlineStr">
        <is>
          <t>A1=3: sete dos oito resultados estão exatos e o oitavo cai dentro da tolerância. Arena armários deu R$ 13,814 mi contra R$ 13,870 mi do gabarito, −0,40%, dentro de ±2%. Memória de cálculo completa e visível nos slides 13 a 16, com cada linha de custo decomposta por bairro e por modelo. A2=2: ele acertou a parte difícil e errou a fácil. Os bancos estão certos, inclusive a Arena com 23 bancos a R$ 1,61 mi (o arredondamento de 22,5 foi feito). Mas no slide 15, na coluna de armários, ele aplicou os custos por posição a 920 posições em vez das 900 necessárias, R$ 1.400 x 920 = R$ 1,288 mi para equipamento e o mesmo para operação, contrariando a instrução explícita do Anexo E de que "custos por posição incidem nas posições necessárias do Anexo C". E fez isso de forma inconsistente: na coluna de parceiros do mesmo slide usou 900 corretamente. O erro propaga para o slide 18 (giro 13,0 para armários contra 13,3 para parceiros na Arena, resultado/posição R$ 15.015). Ainda no slide 18, o banco/posição aparece como R$ 1.750 para os quatro bairros, valor que só é exato quando as posições são divisíveis por 40, na Arena seria R$ 1.788,89. O valor final ficou na tolerância por ser erro pequeno, mas o método contraria instrução escrita. A3=1: não há projeção, fasemento nem próximos passos. O slide 21 gesticula que o Centro Histórico "não deve ser desconsiderado para uma futura expansão", o que é direcional e apoiado em número, mas não chega a ser plano. A4=3: o Centro Histórico é proposto como expansão futura com impacto quantificado (R$ 24,50 mi) e sustentado por ranking em quatro critérios, tudo específico deste case. A5=1: não há seção de riscos nem próximos passos, que a tarefa 04 pede. O que existe são observações de risco dispersas na análise por bairro ("maior incerteza na previsão" na Arena, "necessitando maior investimento com a segurança dos itens" em Noite Alta), específicas, mas desacopladas de qualquer recomendação, sem mitigação e sem prazo. A6=1: o case não traz erro plantado. Ele não descontou transações pela utilização, ao contrário, usou a utilização corretamente para derivar tempo de permanência, mas não nomeou inconsistência nenhuma.</t>
        </is>
      </c>
      <c r="AB63" s="41" t="n">
        <v>0</v>
      </c>
      <c r="AC63" s="41" t="n">
        <v>1</v>
      </c>
      <c r="AD63" s="41" t="n">
        <v>0</v>
      </c>
      <c r="AE63" s="41" t="n">
        <v>2</v>
      </c>
      <c r="AF63" s="41" t="n"/>
      <c r="AG63" s="41" t="n"/>
      <c r="AH63" s="68" t="inlineStr">
        <is>
          <t>V1 e V2 em branco: notas da etapa de vídeo não vieram com a pasta; o nome está na capa (Rafael Rodrigues Moreira), então dá para transcrever das linhas 24 e 46. E1=0, sem planilha, embora a memória de cálculo esteja detalhada nos slides. E3=0, sem vídeo de entrega. E4=2: todas as tabelas são centrais e citadas, nenhuma decorativa, mas as linhas da Arena nos slides 15 e 18 carregam a base errada (920 em vez de 900) e o slide 18 tem colisão de layout entre a numeração e uma célula.</t>
        </is>
      </c>
      <c r="AI63" s="68"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Nota 5,20 com vídeo em branco. Considerando só o que dá para avaliar, 5,78.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IDENTIFICAÇÃO: Rafael Rodrigues Moreira, r302729@dac.unicamp.br. Confiança alta. Como cheguei nisso: nome na capa e no nome do arquivo. As notas de vídeo dele estão nas linhas 24 e 46 desta aba e precisam ser transcritas para cá, porque valem 10 pontos e hoje entram como zero.</t>
        </is>
      </c>
    </row>
    <row r="64" ht="14.25" customHeight="1" s="60">
      <c r="B64" s="0" t="inlineStr">
        <is>
          <t>15</t>
        </is>
      </c>
      <c r="C64" s="0" t="inlineStr">
        <is>
          <t>15 · não identificado (pasta entregas-candidatos/15, case BagHub 2026.2)</t>
        </is>
      </c>
      <c r="D64" s="0" t="inlineStr">
        <is>
          <t>Avaliador 1</t>
        </is>
      </c>
      <c r="E64" s="33">
        <f>IF(COUNT(K64:AG64)=0,"",ROUND((F64+G64+H64+I64+J64)/10,2))</f>
        <v/>
      </c>
      <c r="F64" s="34">
        <f>IF(COUNT(K64:AG64)=0,"",(K64*10+L64*8+M64*7+N64*5)/3)</f>
        <v/>
      </c>
      <c r="G64" s="34">
        <f>IF(COUNT(K64:AG64)=0,"",(P64*8+Q64*7+R64*5+S64*5)/3)</f>
        <v/>
      </c>
      <c r="H64" s="34">
        <f>IF(COUNT(K64:AG64)=0,"",(U64*6+V64*6+W64*4+X64*3+Y64*3+Z64*3)/3)</f>
        <v/>
      </c>
      <c r="I64" s="34">
        <f>IF(COUNT(K64:AG64)=0,"",AB64*3+AC64*2+AD64*2+AE64*1)</f>
        <v/>
      </c>
      <c r="J64" s="34">
        <f>IF(COUNT(K64:AG64)=0,"",(AF64*5+AG64*5)/3)</f>
        <v/>
      </c>
      <c r="K64" s="41" t="n">
        <v>1</v>
      </c>
      <c r="L64" s="41" t="n">
        <v>0</v>
      </c>
      <c r="M64" s="41" t="n">
        <v>1</v>
      </c>
      <c r="N64" s="41" t="n">
        <v>1</v>
      </c>
      <c r="O64" s="68" t="inlineStr">
        <is>
          <t>C1=1: não há recomendação escrita em lugar nenhum. Dá para inferir, porque os quatro bairros estão calculados e os parceiros vencem em todos, com a Estação Central no topo, mas o leitor tem de montar a comparação sozinho a partir de quatro páginas independentes, porque não existe tabela comparativa nem síntese. C2=0: o entregável são oito páginas manuscritas digitalizadas no CamScanner, e um dos dois arquivos se chama literalmente "rascunho". Sem capa, sem estrutura, sem síntese. O descritor de 0 é literal ("foto de papel... arquivo sem estrutura nenhuma") e o teste operacional é claro: não se manda isso a um cliente. Registro em favor dele que a digitalização é limpa e a caligrafia é organizada, com títulos sublinhados e resultados destacados. C3=1: os blocos existem e seguem a ordem do case, mas são paralelos e independentes, um não puxa o outro e nenhum chega a conclusão. C4=1: formatação improvisada mas legível; o CamScanner deu bom contraste, bem melhor que fotografia direta, e os resultados estão sublinhados.</t>
        </is>
      </c>
      <c r="P64" s="41" t="n">
        <v>0</v>
      </c>
      <c r="Q64" s="41" t="n">
        <v>1</v>
      </c>
      <c r="R64" s="41" t="n">
        <v>0</v>
      </c>
      <c r="S64" s="41" t="n">
        <v>1</v>
      </c>
      <c r="T64" s="68" t="inlineStr">
        <is>
          <t>R1=0: não há recomendação, que é o descritor de 0. R2=1: aplicando o teste operacional, ele não descartou nada por escrito e não escolheu nada. Registro em favor dele, para o 2º avaliador, que o rascunho traz uma comparação qualitativa real dos dois modelos, com listas de + e −: armários somam operação 24h e a facilidade de o cliente se servir "sem necessidade de falar com outra pessoa", e subtraem manutenção e restituição maiores; parceiros somam menor custo de manutenção e subtraem horário variável, dependência de outros comércios e o fato de "poder ser mais demorado e difícil do cliente achar/conhecer o BagHub". É comparação de modelo, não de bairro, e sem escolha. R3=0: o descritor de 0 inclui "o pedido ficou incompleto", e ficou de forma ampla, a tarefa 01 (critérios de atratividade), a comparação entre bairros e toda a tarefa 04 (recomendação, riscos, próximos passos) não foram entregues. Só a tarefa 03 está completa. R4=1: lê os indicadores corretamente e rotula bem (marca com seta qual número é o faturamento), e tira consequência qualitativa dos dois modelos, inclusive a observação própria sobre descoberta do serviço pelo cliente nos pontos parceiros. Mas não interpreta nenhum indicador quantitativo: a utilização é transcrita nos quatro bairros (42%, 54%, 31%, 33%) e nunca é comparada, explicada ou usada para nada.</t>
        </is>
      </c>
      <c r="U64" s="41" t="n">
        <v>3</v>
      </c>
      <c r="V64" s="41" t="n">
        <v>3</v>
      </c>
      <c r="W64" s="41" t="n">
        <v>0</v>
      </c>
      <c r="X64" s="41" t="n">
        <v>1</v>
      </c>
      <c r="Y64" s="41" t="n">
        <v>1</v>
      </c>
      <c r="Z64" s="41" t="n">
        <v>1</v>
      </c>
      <c r="AA64" s="68" t="inlineStr">
        <is>
          <t>A1=3: os oito resultados conferem integralmente, todos desenvolvidos à mão. Estação Central: 1.200.000 transações x 30 = 36M, armários 3,36 + 4,2 + 3,36 = 10,92M e lucro 25,08M, parceiros 3,36 + 4,8 = 8,16M e lucro 27,84M. Arena: 18M, armários 4,13M e lucro 13,87M, parceiros 3,06M e lucro 14,94M. Noite Alta: 30M, armários 11,43M e lucro 18,57M, parceiros 10,8M e lucro 19,2M. A memória de cálculo não é só visível, ela É o entregável. A2=3: o arredondamento da Arena está explícito, anotado e autocorrigido, na página da Arena ele escreveu 900/40 x 70.000, riscou o primeiro resultado e anotou acima, com seta, "arredondando para 23", fechando em R$ 1,61M. Bancos de 60 na Estação e 45 em Noite Alta também explícitos e corretos. Custo por complexidade correto nos oito cenários. A3=0: não fez, não há projeção, plano, fasemento nem próximos passos. A4=1: os dois modelos estão caracterizados com prós e contras específicos do case, mas nenhuma alternativa é proposta como curso de ação e nenhum impacto é quantificado. A5=1: as listas de "−" do rascunho funcionam como riscos e são específicas dos modelos (horário variável, dependência de terceiros, dificuldade de o cliente achar o serviço, manutenção maior nos armários), mas estão desacopladas de qualquer recomendação, sem mitigação, sem prazo e sem próximos passos, que o enunciado pede na tarefa 04. A6=1: o case não traz erro plantado. Ele transcreveu a utilização e não a aplicou como desconto, a receita está correta nos quatro bairros, mas não nomeou inconsistência nenhuma.</t>
        </is>
      </c>
      <c r="AB64" s="41" t="n">
        <v>0</v>
      </c>
      <c r="AC64" s="41" t="n">
        <v>0</v>
      </c>
      <c r="AD64" s="41" t="n">
        <v>0</v>
      </c>
      <c r="AE64" s="41" t="n">
        <v>0</v>
      </c>
      <c r="AF64" s="41" t="n"/>
      <c r="AG64" s="41" t="n"/>
      <c r="AH64" s="68" t="inlineStr">
        <is>
          <t>V1 e V2 em branco e a pasta é anônima: nenhum dos arquivos traz nome, então não dá para transcrever as notas de vídeo sem o mapa número-candidato. E1=0, não há arquivo de planilha, embora a memória de cálculo manuscrita esteja completa, mesma ressalva das pastas 05, 08 e 13. E2=0: o item pede apresentação fechada (PPT ou relatório) e não há nenhuma das duas. E3=0, sem vídeo. E4=0: nenhum gráfico e nenhuma tabela em nenhuma das oito páginas, este zero é de mérito, o material existe e não atende ao descritor.</t>
        </is>
      </c>
      <c r="AI64" s="68" t="inlineStr">
        <is>
          <t>O cálculo está perfeito e é praticamente tudo o que existe.
Os oito cenários estão certos, desenvolvidos à mão, e a Arena, onde a maioria escorrega, está não só correta como autocorrigida. Ele escreveu a divisão 900 por 40, riscou o primeiro resultado e anotou acima, com seta, "arredondando para 23". Ver a correção acontecendo na página é, para mim,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Nota 2,63 com vídeo em branco. Considerando só o que dá para avaliar, 2,93.
Indício de IA: Baixo (consultivo, não afeta nota). Evidência praticamente incontestável. Oito páginas manuscritas digitalizadas, com o rascunho transcrevendo os anexos à mão. O ponto decisivo é a autocorreção visível na página da Arena: valor riscado e a anotação "arredondando para 23" acrescentada acima com seta. Erro cometido e corrigido no próprio papel não é fabricável. A ausência de recomendação é falha de execução, e texto gerado faz o contrário, entrega a conclusão e economiza no desenvolvimento.
IDENTIFICAÇÃO: pasta anônima. Nenhum arquivo traz nome no texto, no nome do arquivo ou no metadado. Rastro de ferramenta que pode ajudar a estreitar: os dois PDFs foram gerados pelo CamScanner. Sem o mapa número para candidato, V1 e V2 não podem ser transcritos e o bloco Vídeo fica valendo zero. Candidatos inscritos ainda não pareados a nenhuma pasta: João Pedro Mendes Stama, Rafael Ponciano Rodrigues dos Santos, Enzo Chofakian Gagliardi, João Gabriel de Oliveira Morcelli, Raphael Negrini Saggioro, Gustavo Daher Pereira, Ricardo Augusto Schmitt Filho, Matheus Dias Freitas, Klaus Augusto Santos da Silva, José Vitor Dias Tutu, Isadora Kluge Dorigan.</t>
        </is>
      </c>
    </row>
    <row r="65" ht="14.25" customHeight="1" s="60">
      <c r="B65" s="0" t="inlineStr">
        <is>
          <t>16</t>
        </is>
      </c>
      <c r="C65" s="0" t="inlineStr">
        <is>
          <t>16 · Vagner Ássimos Gomes Carlos Filho (pasta entregas-candidatos/16, case BagHub 2026.2)</t>
        </is>
      </c>
      <c r="D65" s="0" t="inlineStr">
        <is>
          <t>Avaliador 1</t>
        </is>
      </c>
      <c r="E65" s="33">
        <f>IF(COUNT(K65:AG65)=0,"",ROUND((F65+G65+H65+I65+J65)/10,2))</f>
        <v/>
      </c>
      <c r="F65" s="34">
        <f>IF(COUNT(K65:AG65)=0,"",(K65*10+L65*8+M65*7+N65*5)/3)</f>
        <v/>
      </c>
      <c r="G65" s="34">
        <f>IF(COUNT(K65:AG65)=0,"",(P65*8+Q65*7+R65*5+S65*5)/3)</f>
        <v/>
      </c>
      <c r="H65" s="34">
        <f>IF(COUNT(K65:AG65)=0,"",(U65*6+V65*6+W65*4+X65*3+Y65*3+Z65*3)/3)</f>
        <v/>
      </c>
      <c r="I65" s="34">
        <f>IF(COUNT(K65:AG65)=0,"",AB65*3+AC65*2+AD65*2+AE65*1)</f>
        <v/>
      </c>
      <c r="J65" s="34">
        <f>IF(COUNT(K65:AG65)=0,"",(AF65*5+AG65*5)/3)</f>
        <v/>
      </c>
      <c r="K65" s="41" t="n">
        <v>2</v>
      </c>
      <c r="L65" s="41" t="n">
        <v>3</v>
      </c>
      <c r="M65" s="41" t="n">
        <v>3</v>
      </c>
      <c r="N65" s="41" t="n">
        <v>2</v>
      </c>
      <c r="O65" s="68" t="inlineStr">
        <is>
          <t>C1=2: a recomendação é explícita, clara e completa ("Estação Central é a prioridade de lançamento, operando em modelo de Pontos parceiros", com R$ 27.840.000), mas está no slide 9 de 13, passada a metade; a agenda do slide 2 anuncia que haverá recomendação sem adiantar qual. C2=3: documento fechado com exatamente os três elementos do descritor, capa, estrutura e apêndice. O slide 13 é um anexo de memória de cálculo e premissas, listando período, fórmula de receita, tratamento da capacidade, composição dos custos com arredondamento para cima, definição de resultado operacional e a regra de não somar sinergias. Rodapé com nome de seção e numeração nos 13 slides. Nada inacabado. C3=3: a recomendação aparece no título (slide 9) e a conclusão de modelo também ("Modelo de Pontos parceiros supera o de Armários inteligentes em todos os bairros", slide 8). Lendo só os títulos o arco fecha inteiro e na ordem: contexto, comparação, demanda e capacidade, rentabilidade, conclusão, recomendação, priorização, riscos, próximos passos, anexo. C4=2: template uniforme com rodapé e numeração em todos os slides, mas três slides são parágrafo corrido, o 4 (quatro bairros com quatro campos de prosa cada), o 8 (cinco parágrafos) e o 12 (quatro colunas densas), o que passa do "até 2 slides fora do padrão" do descritor de 2.</t>
        </is>
      </c>
      <c r="P65" s="41" t="n">
        <v>3</v>
      </c>
      <c r="Q65" s="41" t="n">
        <v>3</v>
      </c>
      <c r="R65" s="41" t="n">
        <v>3</v>
      </c>
      <c r="S65" s="41" t="n">
        <v>3</v>
      </c>
      <c r="T65" s="68" t="inlineStr">
        <is>
          <t>R1=3: o slide 9 organiza a recomendação em três pilares que se apoiam, Financeiro (melhor resultado operacional, R$ 27.840.000), Demanda (maior volume da cidade com 24.000/semana, fluxo previsível atrelado a embarque e desembarque, e o argumento de que viajantes com bagagens são o público-alvo ideal) e Operacional (complexidade moderada e ausência do custo dos bancos). Tapando o número, o argumento de aderência do público continua; tapando o argumento, R$ 27,84M é o máximo dos oito. R2=3: o slide 8 compara os dois modelos com a causa (o custo do banco supera a vantagem operacional dos armários) e, o que é raro, declara o contraponto da própria escolha, as consequências na experiência do cliente, reserva local, serviço não padronizado por ser executado por funcionários do parceiro, e mais burocracia no suporte. O slide 4 compara os quatro bairros em quatro dimensões e descarta por escrito: Arena pela dependência de eventos, Noite Alta porque o público não carrega bagagem, Centro Histórico pela concorrência com hotéis. O slide 10 prioriza os três restantes com resultado e razão. R3=3: a adição é o critério "Fit com o serviço" do slide 4, que não foi pedido e que questiona a plausibilidade da própria demanda projetada pelo case. Os dois melhores achados: "grande parcela dos frequentadores de bares e casas de show não costuma carregar malas e bagagens", o que põe em dúvida as 20 mil transações de Noite Alta apesar de ser o 2º maior volume; e "turistas que estão acomodados em algum hotel do bairro tendem a não necessitar do guarda-volumes" no Centro Histórico. Isso fortalece a recomendação por uma dimensão que os números não capturam, a Estação Central é o único bairro em que o público carrega bagagem por definição. Soma-se o argumento de modelo único para simplificar a gestão da expansão. R4=3: explica causa e consequência em dois níveis. No slide 5 lê a utilização de 54% do Centro Histórico como fluxo mais constante ao longo do dia, leitura defensável (mais giro por posição implica menos pico). E no slide 4 explica a causa por trás de a demanda converter ou não, o comportamento de carregar bagagem, e o que fazer com ela, priorizando a Estação e rebaixando Noite Alta.</t>
        </is>
      </c>
      <c r="U65" s="41" t="n">
        <v>3</v>
      </c>
      <c r="V65" s="41" t="n">
        <v>3</v>
      </c>
      <c r="W65" s="41" t="n">
        <v>3</v>
      </c>
      <c r="X65" s="41" t="n">
        <v>3</v>
      </c>
      <c r="Y65" s="41" t="n">
        <v>2</v>
      </c>
      <c r="Z65" s="41" t="n">
        <v>1</v>
      </c>
      <c r="AA65" s="68" t="inlineStr">
        <is>
          <t>A1=3: os oito resultados conferem integralmente, apresentados em duas tabelas decompostas por componente (Custo 1 equipamento, Custo 2 bancos, Custo 3 operação). Memória de cálculo visível em três lugares: as fórmulas sob cada tabela nos slides 6 e 7, as observações com os custos unitários por complexidade, e o anexo do slide 13. A2=3: bancos corretos, incluindo a Arena com R$ 1.610.000, que só fecha com 23 bancos. Ressalva de documentação: a fórmula escrita no slide 6 diz "posições necessárias ÷ 40 x R$ 70.000" sem mencionar o teto, mas o anexo do slide 13 declara "arredondar para cima no modelo de armários" e o valor comprova que foi feito. Custo por complexidade correto nos oito cenários e documentado. A3=3: o slide 9 traz a ordem completa de expansão, o slide 10 detalha os três restantes com resultado e razão, e o slide 12 traz próximos passos concretos; todos os números batem com as tabelas dele. O case não declara meta numérica, então essa parte do descritor não é testável. A4=3: Centro Histórico proposto como segundo lançamento com impacto quantificado (R$ 24.500.000) e razão declarada (fluxo turístico estável, complexidade baixa). Soma-se a proposta criativa do slide 12 de capturar a vantagem dos armários dentro do modelo de parceiros, via plataforma digital de reserva. A5=2: os dois riscos do slide 11 são específicos da recomendação dele e as mitigações são as mais concretas e acionáveis de todo o conjunto, treinamento para padronizar atendimento, reserva e atendimento 24h online com check-in presencial, staff da BagHub dentro do comércio parceiro nos horários de pico, e plataforma que indica quais parceiros estão com vaga ou lotados e qual o mais próximo. Pareadas uma a uma com os riscos. O que impede o 3 é a ausência de prazo em qualquer lugar, e apenas dois riscos mapeados. Registro que um 2º avaliador pode defender 3 pela qualidade da mitigação. A6=1: o case não traz erro plantado. Ele nomeia e resolve corretamente o único ponto ambíguo, o slide 5 define "utilização = horas ocupadas ÷ total de horas disponíveis na semana" e o anexo declara que "utilização não reduz a demanda", mas o que nomeou é a instrução do case, não uma inconsistência.</t>
        </is>
      </c>
      <c r="AB65" s="41" t="n">
        <v>0</v>
      </c>
      <c r="AC65" s="41" t="n">
        <v>1</v>
      </c>
      <c r="AD65" s="41" t="n">
        <v>0</v>
      </c>
      <c r="AE65" s="41" t="n">
        <v>3</v>
      </c>
      <c r="AF65" s="41" t="n"/>
      <c r="AG65" s="41" t="n"/>
      <c r="AH65" s="68" t="inlineStr">
        <is>
          <t>V1 e V2 em branco: notas da etapa de vídeo não vieram com a pasta; o nome está na capa (Vagner Ássimos Gomes Carlos Filho), então dá para transcrever das linhas 15 e 37. E1=0 pela letra do item: não há arquivo de planilha, embora a memória de cálculo esteja completa entre as fórmulas dos slides 6 e 7 e o anexo do slide 13. E3=0, sem vídeo de entrega.</t>
        </is>
      </c>
      <c r="AI65" s="68"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Nota 7,70 com vídeo em branco. Considerando só o que dá para avaliar, 8,56.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IDENTIFICAÇÃO: Vagner Ássimos Gomes Carlos Filho, v188630@dac.unicamp.br. Confiança alta. Como cheguei nisso: nome na capa e campo Author do metadado ("Vagner"). As notas de vídeo dele estão nas linhas 15 e 37 desta aba e precisam ser transcritas para cá, porque valem 10 pontos e hoje entram como zero.</t>
        </is>
      </c>
    </row>
    <row r="66" ht="14.25" customHeight="1" s="60">
      <c r="E66" s="33">
        <f>IF(COUNT(K66:AG66)=0,"",ROUND((F66+G66+H66+I66+J66)/10,2))</f>
        <v/>
      </c>
      <c r="F66" s="34">
        <f>IF(COUNT(K66:AG66)=0,"",(K66*10+L66*8+M66*7+N66*5)/3)</f>
        <v/>
      </c>
      <c r="G66" s="34">
        <f>IF(COUNT(K66:AG66)=0,"",(P66*8+Q66*7+R66*5+S66*5)/3)</f>
        <v/>
      </c>
      <c r="H66" s="34">
        <f>IF(COUNT(K66:AG66)=0,"",(U66*6+V66*6+W66*4+X66*3+Y66*3+Z66*3)/3)</f>
        <v/>
      </c>
      <c r="I66" s="34">
        <f>IF(COUNT(K66:AG66)=0,"",AB66*3+AC66*2+AD66*2+AE66*1)</f>
        <v/>
      </c>
      <c r="J66" s="34">
        <f>IF(COUNT(K66:AG66)=0,"",(AF66*5+AG66*5)/3)</f>
        <v/>
      </c>
      <c r="K66" s="41" t="n"/>
      <c r="L66" s="41" t="n"/>
      <c r="M66" s="41" t="n"/>
      <c r="N66" s="41" t="n"/>
      <c r="P66" s="41" t="n"/>
      <c r="Q66" s="41" t="n"/>
      <c r="R66" s="41" t="n"/>
      <c r="S66" s="41" t="n"/>
      <c r="U66" s="41" t="n"/>
      <c r="V66" s="41" t="n"/>
      <c r="W66" s="41" t="n"/>
      <c r="X66" s="41" t="n"/>
      <c r="Y66" s="41" t="n"/>
      <c r="Z66" s="41" t="n"/>
      <c r="AB66" s="41" t="n"/>
      <c r="AC66" s="41" t="n"/>
      <c r="AD66" s="41" t="n"/>
      <c r="AE66" s="41" t="n"/>
      <c r="AF66" s="41" t="n"/>
      <c r="AG66" s="41" t="n"/>
    </row>
    <row r="67" ht="14.25" customHeight="1" s="60">
      <c r="E67" s="33">
        <f>IF(COUNT(K67:AG67)=0,"",ROUND((F67+G67+H67+I67+J67)/10,2))</f>
        <v/>
      </c>
      <c r="F67" s="34">
        <f>IF(COUNT(K67:AG67)=0,"",(K67*10+L67*8+M67*7+N67*5)/3)</f>
        <v/>
      </c>
      <c r="G67" s="34">
        <f>IF(COUNT(K67:AG67)=0,"",(P67*8+Q67*7+R67*5+S67*5)/3)</f>
        <v/>
      </c>
      <c r="H67" s="34">
        <f>IF(COUNT(K67:AG67)=0,"",(U67*6+V67*6+W67*4+X67*3+Y67*3+Z67*3)/3)</f>
        <v/>
      </c>
      <c r="I67" s="34">
        <f>IF(COUNT(K67:AG67)=0,"",AB67*3+AC67*2+AD67*2+AE67*1)</f>
        <v/>
      </c>
      <c r="J67" s="34">
        <f>IF(COUNT(K67:AG67)=0,"",(AF67*5+AG67*5)/3)</f>
        <v/>
      </c>
      <c r="K67" s="41" t="n"/>
      <c r="L67" s="41" t="n"/>
      <c r="M67" s="41" t="n"/>
      <c r="N67" s="41" t="n"/>
      <c r="P67" s="41" t="n"/>
      <c r="Q67" s="41" t="n"/>
      <c r="R67" s="41" t="n"/>
      <c r="S67" s="41" t="n"/>
      <c r="U67" s="41" t="n"/>
      <c r="V67" s="41" t="n"/>
      <c r="W67" s="41" t="n"/>
      <c r="X67" s="41" t="n"/>
      <c r="Y67" s="41" t="n"/>
      <c r="Z67" s="41" t="n"/>
      <c r="AB67" s="41" t="n"/>
      <c r="AC67" s="41" t="n"/>
      <c r="AD67" s="41" t="n"/>
      <c r="AE67" s="41" t="n"/>
      <c r="AF67" s="41" t="n"/>
      <c r="AG67" s="41" t="n"/>
    </row>
    <row r="68" ht="14.25" customHeight="1" s="60">
      <c r="E68" s="33">
        <f>IF(COUNT(K68:AG68)=0,"",ROUND((F68+G68+H68+I68+J68)/10,2))</f>
        <v/>
      </c>
      <c r="F68" s="34">
        <f>IF(COUNT(K68:AG68)=0,"",(K68*10+L68*8+M68*7+N68*5)/3)</f>
        <v/>
      </c>
      <c r="G68" s="34">
        <f>IF(COUNT(K68:AG68)=0,"",(P68*8+Q68*7+R68*5+S68*5)/3)</f>
        <v/>
      </c>
      <c r="H68" s="34">
        <f>IF(COUNT(K68:AG68)=0,"",(U68*6+V68*6+W68*4+X68*3+Y68*3+Z68*3)/3)</f>
        <v/>
      </c>
      <c r="I68" s="34">
        <f>IF(COUNT(K68:AG68)=0,"",AB68*3+AC68*2+AD68*2+AE68*1)</f>
        <v/>
      </c>
      <c r="J68" s="34">
        <f>IF(COUNT(K68:AG68)=0,"",(AF68*5+AG68*5)/3)</f>
        <v/>
      </c>
      <c r="K68" s="41" t="n"/>
      <c r="L68" s="41" t="n"/>
      <c r="M68" s="41" t="n"/>
      <c r="N68" s="41" t="n"/>
      <c r="P68" s="41" t="n"/>
      <c r="Q68" s="41" t="n"/>
      <c r="R68" s="41" t="n"/>
      <c r="S68" s="41" t="n"/>
      <c r="U68" s="41" t="n"/>
      <c r="V68" s="41" t="n"/>
      <c r="W68" s="41" t="n"/>
      <c r="X68" s="41" t="n"/>
      <c r="Y68" s="41" t="n"/>
      <c r="Z68" s="41" t="n"/>
      <c r="AB68" s="41" t="n"/>
      <c r="AC68" s="41" t="n"/>
      <c r="AD68" s="41" t="n"/>
      <c r="AE68" s="41" t="n"/>
      <c r="AF68" s="41" t="n"/>
      <c r="AG68" s="41" t="n"/>
    </row>
    <row r="69" ht="14.25" customHeight="1" s="60">
      <c r="E69" s="33">
        <f>IF(COUNT(K69:AG69)=0,"",ROUND((F69+G69+H69+I69+J69)/10,2))</f>
        <v/>
      </c>
      <c r="F69" s="34">
        <f>IF(COUNT(K69:AG69)=0,"",(K69*10+L69*8+M69*7+N69*5)/3)</f>
        <v/>
      </c>
      <c r="G69" s="34">
        <f>IF(COUNT(K69:AG69)=0,"",(P69*8+Q69*7+R69*5+S69*5)/3)</f>
        <v/>
      </c>
      <c r="H69" s="34">
        <f>IF(COUNT(K69:AG69)=0,"",(U69*6+V69*6+W69*4+X69*3+Y69*3+Z69*3)/3)</f>
        <v/>
      </c>
      <c r="I69" s="34">
        <f>IF(COUNT(K69:AG69)=0,"",AB69*3+AC69*2+AD69*2+AE69*1)</f>
        <v/>
      </c>
      <c r="J69" s="34">
        <f>IF(COUNT(K69:AG69)=0,"",(AF69*5+AG69*5)/3)</f>
        <v/>
      </c>
      <c r="K69" s="41" t="n"/>
      <c r="L69" s="41" t="n"/>
      <c r="M69" s="41" t="n"/>
      <c r="N69" s="41" t="n"/>
      <c r="P69" s="41" t="n"/>
      <c r="Q69" s="41" t="n"/>
      <c r="R69" s="41" t="n"/>
      <c r="S69" s="41" t="n"/>
      <c r="U69" s="41" t="n"/>
      <c r="V69" s="41" t="n"/>
      <c r="W69" s="41" t="n"/>
      <c r="X69" s="41" t="n"/>
      <c r="Y69" s="41" t="n"/>
      <c r="Z69" s="41" t="n"/>
      <c r="AB69" s="41" t="n"/>
      <c r="AC69" s="41" t="n"/>
      <c r="AD69" s="41" t="n"/>
      <c r="AE69" s="41" t="n"/>
      <c r="AF69" s="41" t="n"/>
      <c r="AG69" s="41" t="n"/>
    </row>
    <row r="70" ht="14.25" customHeight="1" s="60">
      <c r="E70" s="33">
        <f>IF(COUNT(K70:AG70)=0,"",ROUND((F70+G70+H70+I70+J70)/10,2))</f>
        <v/>
      </c>
      <c r="F70" s="34">
        <f>IF(COUNT(K70:AG70)=0,"",(K70*10+L70*8+M70*7+N70*5)/3)</f>
        <v/>
      </c>
      <c r="G70" s="34">
        <f>IF(COUNT(K70:AG70)=0,"",(P70*8+Q70*7+R70*5+S70*5)/3)</f>
        <v/>
      </c>
      <c r="H70" s="34">
        <f>IF(COUNT(K70:AG70)=0,"",(U70*6+V70*6+W70*4+X70*3+Y70*3+Z70*3)/3)</f>
        <v/>
      </c>
      <c r="I70" s="34">
        <f>IF(COUNT(K70:AG70)=0,"",AB70*3+AC70*2+AD70*2+AE70*1)</f>
        <v/>
      </c>
      <c r="J70" s="34">
        <f>IF(COUNT(K70:AG70)=0,"",(AF70*5+AG70*5)/3)</f>
        <v/>
      </c>
      <c r="K70" s="41" t="n"/>
      <c r="L70" s="41" t="n"/>
      <c r="M70" s="41" t="n"/>
      <c r="N70" s="41" t="n"/>
      <c r="P70" s="41" t="n"/>
      <c r="Q70" s="41" t="n"/>
      <c r="R70" s="41" t="n"/>
      <c r="S70" s="41" t="n"/>
      <c r="U70" s="41" t="n"/>
      <c r="V70" s="41" t="n"/>
      <c r="W70" s="41" t="n"/>
      <c r="X70" s="41" t="n"/>
      <c r="Y70" s="41" t="n"/>
      <c r="Z70" s="41" t="n"/>
      <c r="AB70" s="41" t="n"/>
      <c r="AC70" s="41" t="n"/>
      <c r="AD70" s="41" t="n"/>
      <c r="AE70" s="41" t="n"/>
      <c r="AF70" s="41" t="n"/>
      <c r="AG70" s="41" t="n"/>
    </row>
    <row r="71" ht="14.25" customHeight="1" s="60">
      <c r="E71" s="33">
        <f>IF(COUNT(K71:AG71)=0,"",ROUND((F71+G71+H71+I71+J71)/10,2))</f>
        <v/>
      </c>
      <c r="F71" s="34">
        <f>IF(COUNT(K71:AG71)=0,"",(K71*10+L71*8+M71*7+N71*5)/3)</f>
        <v/>
      </c>
      <c r="G71" s="34">
        <f>IF(COUNT(K71:AG71)=0,"",(P71*8+Q71*7+R71*5+S71*5)/3)</f>
        <v/>
      </c>
      <c r="H71" s="34">
        <f>IF(COUNT(K71:AG71)=0,"",(U71*6+V71*6+W71*4+X71*3+Y71*3+Z71*3)/3)</f>
        <v/>
      </c>
      <c r="I71" s="34">
        <f>IF(COUNT(K71:AG71)=0,"",AB71*3+AC71*2+AD71*2+AE71*1)</f>
        <v/>
      </c>
      <c r="J71" s="34">
        <f>IF(COUNT(K71:AG71)=0,"",(AF71*5+AG71*5)/3)</f>
        <v/>
      </c>
      <c r="K71" s="41" t="n"/>
      <c r="L71" s="41" t="n"/>
      <c r="M71" s="41" t="n"/>
      <c r="N71" s="41" t="n"/>
      <c r="P71" s="41" t="n"/>
      <c r="Q71" s="41" t="n"/>
      <c r="R71" s="41" t="n"/>
      <c r="S71" s="41" t="n"/>
      <c r="U71" s="41" t="n"/>
      <c r="V71" s="41" t="n"/>
      <c r="W71" s="41" t="n"/>
      <c r="X71" s="41" t="n"/>
      <c r="Y71" s="41" t="n"/>
      <c r="Z71" s="41" t="n"/>
      <c r="AB71" s="41" t="n"/>
      <c r="AC71" s="41" t="n"/>
      <c r="AD71" s="41" t="n"/>
      <c r="AE71" s="41" t="n"/>
      <c r="AF71" s="41" t="n"/>
      <c r="AG71" s="41" t="n"/>
    </row>
    <row r="72" ht="14.25" customHeight="1" s="60">
      <c r="E72" s="33">
        <f>IF(COUNT(K72:AG72)=0,"",ROUND((F72+G72+H72+I72+J72)/10,2))</f>
        <v/>
      </c>
      <c r="F72" s="34">
        <f>IF(COUNT(K72:AG72)=0,"",(K72*10+L72*8+M72*7+N72*5)/3)</f>
        <v/>
      </c>
      <c r="G72" s="34">
        <f>IF(COUNT(K72:AG72)=0,"",(P72*8+Q72*7+R72*5+S72*5)/3)</f>
        <v/>
      </c>
      <c r="H72" s="34">
        <f>IF(COUNT(K72:AG72)=0,"",(U72*6+V72*6+W72*4+X72*3+Y72*3+Z72*3)/3)</f>
        <v/>
      </c>
      <c r="I72" s="34">
        <f>IF(COUNT(K72:AG72)=0,"",AB72*3+AC72*2+AD72*2+AE72*1)</f>
        <v/>
      </c>
      <c r="J72" s="34">
        <f>IF(COUNT(K72:AG72)=0,"",(AF72*5+AG72*5)/3)</f>
        <v/>
      </c>
      <c r="K72" s="41" t="n"/>
      <c r="L72" s="41" t="n"/>
      <c r="M72" s="41" t="n"/>
      <c r="N72" s="41" t="n"/>
      <c r="P72" s="41" t="n"/>
      <c r="Q72" s="41" t="n"/>
      <c r="R72" s="41" t="n"/>
      <c r="S72" s="41" t="n"/>
      <c r="U72" s="41" t="n"/>
      <c r="V72" s="41" t="n"/>
      <c r="W72" s="41" t="n"/>
      <c r="X72" s="41" t="n"/>
      <c r="Y72" s="41" t="n"/>
      <c r="Z72" s="41" t="n"/>
      <c r="AB72" s="41" t="n"/>
      <c r="AC72" s="41" t="n"/>
      <c r="AD72" s="41" t="n"/>
      <c r="AE72" s="41" t="n"/>
      <c r="AF72" s="41" t="n"/>
      <c r="AG72" s="41" t="n"/>
    </row>
    <row r="73" ht="14.25" customHeight="1" s="60">
      <c r="E73" s="33">
        <f>IF(COUNT(K73:AG73)=0,"",ROUND((F73+G73+H73+I73+J73)/10,2))</f>
        <v/>
      </c>
      <c r="F73" s="34">
        <f>IF(COUNT(K73:AG73)=0,"",(K73*10+L73*8+M73*7+N73*5)/3)</f>
        <v/>
      </c>
      <c r="G73" s="34">
        <f>IF(COUNT(K73:AG73)=0,"",(P73*8+Q73*7+R73*5+S73*5)/3)</f>
        <v/>
      </c>
      <c r="H73" s="34">
        <f>IF(COUNT(K73:AG73)=0,"",(U73*6+V73*6+W73*4+X73*3+Y73*3+Z73*3)/3)</f>
        <v/>
      </c>
      <c r="I73" s="34">
        <f>IF(COUNT(K73:AG73)=0,"",AB73*3+AC73*2+AD73*2+AE73*1)</f>
        <v/>
      </c>
      <c r="J73" s="34">
        <f>IF(COUNT(K73:AG73)=0,"",(AF73*5+AG73*5)/3)</f>
        <v/>
      </c>
      <c r="K73" s="41" t="n"/>
      <c r="L73" s="41" t="n"/>
      <c r="M73" s="41" t="n"/>
      <c r="N73" s="41" t="n"/>
      <c r="P73" s="41" t="n"/>
      <c r="Q73" s="41" t="n"/>
      <c r="R73" s="41" t="n"/>
      <c r="S73" s="41" t="n"/>
      <c r="U73" s="41" t="n"/>
      <c r="V73" s="41" t="n"/>
      <c r="W73" s="41" t="n"/>
      <c r="X73" s="41" t="n"/>
      <c r="Y73" s="41" t="n"/>
      <c r="Z73" s="41" t="n"/>
      <c r="AB73" s="41" t="n"/>
      <c r="AC73" s="41" t="n"/>
      <c r="AD73" s="41" t="n"/>
      <c r="AE73" s="41" t="n"/>
      <c r="AF73" s="41" t="n"/>
      <c r="AG73" s="41" t="n"/>
    </row>
    <row r="74" ht="14.25" customHeight="1" s="60">
      <c r="E74" s="33">
        <f>IF(COUNT(K74:AG74)=0,"",ROUND((F74+G74+H74+I74+J74)/10,2))</f>
        <v/>
      </c>
      <c r="F74" s="34">
        <f>IF(COUNT(K74:AG74)=0,"",(K74*10+L74*8+M74*7+N74*5)/3)</f>
        <v/>
      </c>
      <c r="G74" s="34">
        <f>IF(COUNT(K74:AG74)=0,"",(P74*8+Q74*7+R74*5+S74*5)/3)</f>
        <v/>
      </c>
      <c r="H74" s="34">
        <f>IF(COUNT(K74:AG74)=0,"",(U74*6+V74*6+W74*4+X74*3+Y74*3+Z74*3)/3)</f>
        <v/>
      </c>
      <c r="I74" s="34">
        <f>IF(COUNT(K74:AG74)=0,"",AB74*3+AC74*2+AD74*2+AE74*1)</f>
        <v/>
      </c>
      <c r="J74" s="34">
        <f>IF(COUNT(K74:AG74)=0,"",(AF74*5+AG74*5)/3)</f>
        <v/>
      </c>
      <c r="K74" s="41" t="n"/>
      <c r="L74" s="41" t="n"/>
      <c r="M74" s="41" t="n"/>
      <c r="N74" s="41" t="n"/>
      <c r="P74" s="41" t="n"/>
      <c r="Q74" s="41" t="n"/>
      <c r="R74" s="41" t="n"/>
      <c r="S74" s="41" t="n"/>
      <c r="U74" s="41" t="n"/>
      <c r="V74" s="41" t="n"/>
      <c r="W74" s="41" t="n"/>
      <c r="X74" s="41" t="n"/>
      <c r="Y74" s="41" t="n"/>
      <c r="Z74" s="41" t="n"/>
      <c r="AB74" s="41" t="n"/>
      <c r="AC74" s="41" t="n"/>
      <c r="AD74" s="41" t="n"/>
      <c r="AE74" s="41" t="n"/>
      <c r="AF74" s="41" t="n"/>
      <c r="AG74" s="41" t="n"/>
    </row>
    <row r="75" ht="14.25" customHeight="1" s="60">
      <c r="E75" s="33">
        <f>IF(COUNT(K75:AG75)=0,"",ROUND((F75+G75+H75+I75+J75)/10,2))</f>
        <v/>
      </c>
      <c r="F75" s="34">
        <f>IF(COUNT(K75:AG75)=0,"",(K75*10+L75*8+M75*7+N75*5)/3)</f>
        <v/>
      </c>
      <c r="G75" s="34">
        <f>IF(COUNT(K75:AG75)=0,"",(P75*8+Q75*7+R75*5+S75*5)/3)</f>
        <v/>
      </c>
      <c r="H75" s="34">
        <f>IF(COUNT(K75:AG75)=0,"",(U75*6+V75*6+W75*4+X75*3+Y75*3+Z75*3)/3)</f>
        <v/>
      </c>
      <c r="I75" s="34">
        <f>IF(COUNT(K75:AG75)=0,"",AB75*3+AC75*2+AD75*2+AE75*1)</f>
        <v/>
      </c>
      <c r="J75" s="34">
        <f>IF(COUNT(K75:AG75)=0,"",(AF75*5+AG75*5)/3)</f>
        <v/>
      </c>
      <c r="K75" s="41" t="n"/>
      <c r="L75" s="41" t="n"/>
      <c r="M75" s="41" t="n"/>
      <c r="N75" s="41" t="n"/>
      <c r="P75" s="41" t="n"/>
      <c r="Q75" s="41" t="n"/>
      <c r="R75" s="41" t="n"/>
      <c r="S75" s="41" t="n"/>
      <c r="U75" s="41" t="n"/>
      <c r="V75" s="41" t="n"/>
      <c r="W75" s="41" t="n"/>
      <c r="X75" s="41" t="n"/>
      <c r="Y75" s="41" t="n"/>
      <c r="Z75" s="41" t="n"/>
      <c r="AB75" s="41" t="n"/>
      <c r="AC75" s="41" t="n"/>
      <c r="AD75" s="41" t="n"/>
      <c r="AE75" s="41" t="n"/>
      <c r="AF75" s="41" t="n"/>
      <c r="AG75" s="41" t="n"/>
    </row>
    <row r="76" ht="14.25" customHeight="1" s="60">
      <c r="E76" s="33">
        <f>IF(COUNT(K76:AG76)=0,"",ROUND((F76+G76+H76+I76+J76)/10,2))</f>
        <v/>
      </c>
      <c r="F76" s="34">
        <f>IF(COUNT(K76:AG76)=0,"",(K76*10+L76*8+M76*7+N76*5)/3)</f>
        <v/>
      </c>
      <c r="G76" s="34">
        <f>IF(COUNT(K76:AG76)=0,"",(P76*8+Q76*7+R76*5+S76*5)/3)</f>
        <v/>
      </c>
      <c r="H76" s="34">
        <f>IF(COUNT(K76:AG76)=0,"",(U76*6+V76*6+W76*4+X76*3+Y76*3+Z76*3)/3)</f>
        <v/>
      </c>
      <c r="I76" s="34">
        <f>IF(COUNT(K76:AG76)=0,"",AB76*3+AC76*2+AD76*2+AE76*1)</f>
        <v/>
      </c>
      <c r="J76" s="34">
        <f>IF(COUNT(K76:AG76)=0,"",(AF76*5+AG76*5)/3)</f>
        <v/>
      </c>
      <c r="K76" s="41" t="n"/>
      <c r="L76" s="41" t="n"/>
      <c r="M76" s="41" t="n"/>
      <c r="N76" s="41" t="n"/>
      <c r="P76" s="41" t="n"/>
      <c r="Q76" s="41" t="n"/>
      <c r="R76" s="41" t="n"/>
      <c r="S76" s="41" t="n"/>
      <c r="U76" s="41" t="n"/>
      <c r="V76" s="41" t="n"/>
      <c r="W76" s="41" t="n"/>
      <c r="X76" s="41" t="n"/>
      <c r="Y76" s="41" t="n"/>
      <c r="Z76" s="41" t="n"/>
      <c r="AB76" s="41" t="n"/>
      <c r="AC76" s="41" t="n"/>
      <c r="AD76" s="41" t="n"/>
      <c r="AE76" s="41" t="n"/>
      <c r="AF76" s="41" t="n"/>
      <c r="AG76" s="41" t="n"/>
    </row>
    <row r="77" ht="14.25" customHeight="1" s="60">
      <c r="E77" s="33">
        <f>IF(COUNT(K77:AG77)=0,"",ROUND((F77+G77+H77+I77+J77)/10,2))</f>
        <v/>
      </c>
      <c r="F77" s="34">
        <f>IF(COUNT(K77:AG77)=0,"",(K77*10+L77*8+M77*7+N77*5)/3)</f>
        <v/>
      </c>
      <c r="G77" s="34">
        <f>IF(COUNT(K77:AG77)=0,"",(P77*8+Q77*7+R77*5+S77*5)/3)</f>
        <v/>
      </c>
      <c r="H77" s="34">
        <f>IF(COUNT(K77:AG77)=0,"",(U77*6+V77*6+W77*4+X77*3+Y77*3+Z77*3)/3)</f>
        <v/>
      </c>
      <c r="I77" s="34">
        <f>IF(COUNT(K77:AG77)=0,"",AB77*3+AC77*2+AD77*2+AE77*1)</f>
        <v/>
      </c>
      <c r="J77" s="34">
        <f>IF(COUNT(K77:AG77)=0,"",(AF77*5+AG77*5)/3)</f>
        <v/>
      </c>
      <c r="K77" s="41" t="n"/>
      <c r="L77" s="41" t="n"/>
      <c r="M77" s="41" t="n"/>
      <c r="N77" s="41" t="n"/>
      <c r="P77" s="41" t="n"/>
      <c r="Q77" s="41" t="n"/>
      <c r="R77" s="41" t="n"/>
      <c r="S77" s="41" t="n"/>
      <c r="U77" s="41" t="n"/>
      <c r="V77" s="41" t="n"/>
      <c r="W77" s="41" t="n"/>
      <c r="X77" s="41" t="n"/>
      <c r="Y77" s="41" t="n"/>
      <c r="Z77" s="41" t="n"/>
      <c r="AB77" s="41" t="n"/>
      <c r="AC77" s="41" t="n"/>
      <c r="AD77" s="41" t="n"/>
      <c r="AE77" s="41" t="n"/>
      <c r="AF77" s="41" t="n"/>
      <c r="AG77" s="41" t="n"/>
    </row>
    <row r="78" ht="14.25" customHeight="1" s="60">
      <c r="E78" s="33">
        <f>IF(COUNT(K78:AG78)=0,"",ROUND((F78+G78+H78+I78+J78)/10,2))</f>
        <v/>
      </c>
      <c r="F78" s="34">
        <f>IF(COUNT(K78:AG78)=0,"",(K78*10+L78*8+M78*7+N78*5)/3)</f>
        <v/>
      </c>
      <c r="G78" s="34">
        <f>IF(COUNT(K78:AG78)=0,"",(P78*8+Q78*7+R78*5+S78*5)/3)</f>
        <v/>
      </c>
      <c r="H78" s="34">
        <f>IF(COUNT(K78:AG78)=0,"",(U78*6+V78*6+W78*4+X78*3+Y78*3+Z78*3)/3)</f>
        <v/>
      </c>
      <c r="I78" s="34">
        <f>IF(COUNT(K78:AG78)=0,"",AB78*3+AC78*2+AD78*2+AE78*1)</f>
        <v/>
      </c>
      <c r="J78" s="34">
        <f>IF(COUNT(K78:AG78)=0,"",(AF78*5+AG78*5)/3)</f>
        <v/>
      </c>
      <c r="K78" s="41" t="n"/>
      <c r="L78" s="41" t="n"/>
      <c r="M78" s="41" t="n"/>
      <c r="N78" s="41" t="n"/>
      <c r="P78" s="41" t="n"/>
      <c r="Q78" s="41" t="n"/>
      <c r="R78" s="41" t="n"/>
      <c r="S78" s="41" t="n"/>
      <c r="U78" s="41" t="n"/>
      <c r="V78" s="41" t="n"/>
      <c r="W78" s="41" t="n"/>
      <c r="X78" s="41" t="n"/>
      <c r="Y78" s="41" t="n"/>
      <c r="Z78" s="41" t="n"/>
      <c r="AB78" s="41" t="n"/>
      <c r="AC78" s="41" t="n"/>
      <c r="AD78" s="41" t="n"/>
      <c r="AE78" s="41" t="n"/>
      <c r="AF78" s="41" t="n"/>
      <c r="AG78" s="41" t="n"/>
    </row>
    <row r="79" ht="14.25" customHeight="1" s="60">
      <c r="E79" s="33">
        <f>IF(COUNT(K79:AG79)=0,"",ROUND((F79+G79+H79+I79+J79)/10,2))</f>
        <v/>
      </c>
      <c r="F79" s="34">
        <f>IF(COUNT(K79:AG79)=0,"",(K79*10+L79*8+M79*7+N79*5)/3)</f>
        <v/>
      </c>
      <c r="G79" s="34">
        <f>IF(COUNT(K79:AG79)=0,"",(P79*8+Q79*7+R79*5+S79*5)/3)</f>
        <v/>
      </c>
      <c r="H79" s="34">
        <f>IF(COUNT(K79:AG79)=0,"",(U79*6+V79*6+W79*4+X79*3+Y79*3+Z79*3)/3)</f>
        <v/>
      </c>
      <c r="I79" s="34">
        <f>IF(COUNT(K79:AG79)=0,"",AB79*3+AC79*2+AD79*2+AE79*1)</f>
        <v/>
      </c>
      <c r="J79" s="34">
        <f>IF(COUNT(K79:AG79)=0,"",(AF79*5+AG79*5)/3)</f>
        <v/>
      </c>
      <c r="K79" s="41" t="n"/>
      <c r="L79" s="41" t="n"/>
      <c r="M79" s="41" t="n"/>
      <c r="N79" s="41" t="n"/>
      <c r="P79" s="41" t="n"/>
      <c r="Q79" s="41" t="n"/>
      <c r="R79" s="41" t="n"/>
      <c r="S79" s="41" t="n"/>
      <c r="U79" s="41" t="n"/>
      <c r="V79" s="41" t="n"/>
      <c r="W79" s="41" t="n"/>
      <c r="X79" s="41" t="n"/>
      <c r="Y79" s="41" t="n"/>
      <c r="Z79" s="41" t="n"/>
      <c r="AB79" s="41" t="n"/>
      <c r="AC79" s="41" t="n"/>
      <c r="AD79" s="41" t="n"/>
      <c r="AE79" s="41" t="n"/>
      <c r="AF79" s="41" t="n"/>
      <c r="AG79" s="41" t="n"/>
    </row>
    <row r="80" ht="14.25" customHeight="1" s="60">
      <c r="E80" s="33">
        <f>IF(COUNT(K80:AG80)=0,"",ROUND((F80+G80+H80+I80+J80)/10,2))</f>
        <v/>
      </c>
      <c r="F80" s="34">
        <f>IF(COUNT(K80:AG80)=0,"",(K80*10+L80*8+M80*7+N80*5)/3)</f>
        <v/>
      </c>
      <c r="G80" s="34">
        <f>IF(COUNT(K80:AG80)=0,"",(P80*8+Q80*7+R80*5+S80*5)/3)</f>
        <v/>
      </c>
      <c r="H80" s="34">
        <f>IF(COUNT(K80:AG80)=0,"",(U80*6+V80*6+W80*4+X80*3+Y80*3+Z80*3)/3)</f>
        <v/>
      </c>
      <c r="I80" s="34">
        <f>IF(COUNT(K80:AG80)=0,"",AB80*3+AC80*2+AD80*2+AE80*1)</f>
        <v/>
      </c>
      <c r="J80" s="34">
        <f>IF(COUNT(K80:AG80)=0,"",(AF80*5+AG80*5)/3)</f>
        <v/>
      </c>
      <c r="K80" s="41" t="n"/>
      <c r="L80" s="41" t="n"/>
      <c r="M80" s="41" t="n"/>
      <c r="N80" s="41" t="n"/>
      <c r="P80" s="41" t="n"/>
      <c r="Q80" s="41" t="n"/>
      <c r="R80" s="41" t="n"/>
      <c r="S80" s="41" t="n"/>
      <c r="U80" s="41" t="n"/>
      <c r="V80" s="41" t="n"/>
      <c r="W80" s="41" t="n"/>
      <c r="X80" s="41" t="n"/>
      <c r="Y80" s="41" t="n"/>
      <c r="Z80" s="41" t="n"/>
      <c r="AB80" s="41" t="n"/>
      <c r="AC80" s="41" t="n"/>
      <c r="AD80" s="41" t="n"/>
      <c r="AE80" s="41" t="n"/>
      <c r="AF80" s="41" t="n"/>
      <c r="AG80" s="41" t="n"/>
    </row>
    <row r="81" ht="14.25" customHeight="1" s="60">
      <c r="E81" s="33">
        <f>IF(COUNT(K81:AG81)=0,"",ROUND((F81+G81+H81+I81+J81)/10,2))</f>
        <v/>
      </c>
      <c r="F81" s="34">
        <f>IF(COUNT(K81:AG81)=0,"",(K81*10+L81*8+M81*7+N81*5)/3)</f>
        <v/>
      </c>
      <c r="G81" s="34">
        <f>IF(COUNT(K81:AG81)=0,"",(P81*8+Q81*7+R81*5+S81*5)/3)</f>
        <v/>
      </c>
      <c r="H81" s="34">
        <f>IF(COUNT(K81:AG81)=0,"",(U81*6+V81*6+W81*4+X81*3+Y81*3+Z81*3)/3)</f>
        <v/>
      </c>
      <c r="I81" s="34">
        <f>IF(COUNT(K81:AG81)=0,"",AB81*3+AC81*2+AD81*2+AE81*1)</f>
        <v/>
      </c>
      <c r="J81" s="34">
        <f>IF(COUNT(K81:AG81)=0,"",(AF81*5+AG81*5)/3)</f>
        <v/>
      </c>
      <c r="K81" s="41" t="n"/>
      <c r="L81" s="41" t="n"/>
      <c r="M81" s="41" t="n"/>
      <c r="N81" s="41" t="n"/>
      <c r="P81" s="41" t="n"/>
      <c r="Q81" s="41" t="n"/>
      <c r="R81" s="41" t="n"/>
      <c r="S81" s="41" t="n"/>
      <c r="U81" s="41" t="n"/>
      <c r="V81" s="41" t="n"/>
      <c r="W81" s="41" t="n"/>
      <c r="X81" s="41" t="n"/>
      <c r="Y81" s="41" t="n"/>
      <c r="Z81" s="41" t="n"/>
      <c r="AB81" s="41" t="n"/>
      <c r="AC81" s="41" t="n"/>
      <c r="AD81" s="41" t="n"/>
      <c r="AE81" s="41" t="n"/>
      <c r="AF81" s="41" t="n"/>
      <c r="AG81" s="41" t="n"/>
    </row>
    <row r="82" ht="14.25" customHeight="1" s="60">
      <c r="E82" s="33">
        <f>IF(COUNT(K82:AG82)=0,"",ROUND((F82+G82+H82+I82+J82)/10,2))</f>
        <v/>
      </c>
      <c r="F82" s="34">
        <f>IF(COUNT(K82:AG82)=0,"",(K82*10+L82*8+M82*7+N82*5)/3)</f>
        <v/>
      </c>
      <c r="G82" s="34">
        <f>IF(COUNT(K82:AG82)=0,"",(P82*8+Q82*7+R82*5+S82*5)/3)</f>
        <v/>
      </c>
      <c r="H82" s="34">
        <f>IF(COUNT(K82:AG82)=0,"",(U82*6+V82*6+W82*4+X82*3+Y82*3+Z82*3)/3)</f>
        <v/>
      </c>
      <c r="I82" s="34">
        <f>IF(COUNT(K82:AG82)=0,"",AB82*3+AC82*2+AD82*2+AE82*1)</f>
        <v/>
      </c>
      <c r="J82" s="34">
        <f>IF(COUNT(K82:AG82)=0,"",(AF82*5+AG82*5)/3)</f>
        <v/>
      </c>
      <c r="K82" s="41" t="n"/>
      <c r="L82" s="41" t="n"/>
      <c r="M82" s="41" t="n"/>
      <c r="N82" s="41" t="n"/>
      <c r="P82" s="41" t="n"/>
      <c r="Q82" s="41" t="n"/>
      <c r="R82" s="41" t="n"/>
      <c r="S82" s="41" t="n"/>
      <c r="U82" s="41" t="n"/>
      <c r="V82" s="41" t="n"/>
      <c r="W82" s="41" t="n"/>
      <c r="X82" s="41" t="n"/>
      <c r="Y82" s="41" t="n"/>
      <c r="Z82" s="41" t="n"/>
      <c r="AB82" s="41" t="n"/>
      <c r="AC82" s="41" t="n"/>
      <c r="AD82" s="41" t="n"/>
      <c r="AE82" s="41" t="n"/>
      <c r="AF82" s="41" t="n"/>
      <c r="AG82" s="41" t="n"/>
    </row>
    <row r="83" ht="14.25" customHeight="1" s="60">
      <c r="E83" s="33">
        <f>IF(COUNT(K83:AG83)=0,"",ROUND((F83+G83+H83+I83+J83)/10,2))</f>
        <v/>
      </c>
      <c r="F83" s="34">
        <f>IF(COUNT(K83:AG83)=0,"",(K83*10+L83*8+M83*7+N83*5)/3)</f>
        <v/>
      </c>
      <c r="G83" s="34">
        <f>IF(COUNT(K83:AG83)=0,"",(P83*8+Q83*7+R83*5+S83*5)/3)</f>
        <v/>
      </c>
      <c r="H83" s="34">
        <f>IF(COUNT(K83:AG83)=0,"",(U83*6+V83*6+W83*4+X83*3+Y83*3+Z83*3)/3)</f>
        <v/>
      </c>
      <c r="I83" s="34">
        <f>IF(COUNT(K83:AG83)=0,"",AB83*3+AC83*2+AD83*2+AE83*1)</f>
        <v/>
      </c>
      <c r="J83" s="34">
        <f>IF(COUNT(K83:AG83)=0,"",(AF83*5+AG83*5)/3)</f>
        <v/>
      </c>
      <c r="K83" s="41" t="n"/>
      <c r="L83" s="41" t="n"/>
      <c r="M83" s="41" t="n"/>
      <c r="N83" s="41" t="n"/>
      <c r="P83" s="41" t="n"/>
      <c r="Q83" s="41" t="n"/>
      <c r="R83" s="41" t="n"/>
      <c r="S83" s="41" t="n"/>
      <c r="U83" s="41" t="n"/>
      <c r="V83" s="41" t="n"/>
      <c r="W83" s="41" t="n"/>
      <c r="X83" s="41" t="n"/>
      <c r="Y83" s="41" t="n"/>
      <c r="Z83" s="41" t="n"/>
      <c r="AB83" s="41" t="n"/>
      <c r="AC83" s="41" t="n"/>
      <c r="AD83" s="41" t="n"/>
      <c r="AE83" s="41" t="n"/>
      <c r="AF83" s="41" t="n"/>
      <c r="AG83" s="41" t="n"/>
    </row>
    <row r="84" ht="14.25" customHeight="1" s="60">
      <c r="E84" s="33">
        <f>IF(COUNT(K84:AG84)=0,"",ROUND((F84+G84+H84+I84+J84)/10,2))</f>
        <v/>
      </c>
      <c r="F84" s="34">
        <f>IF(COUNT(K84:AG84)=0,"",(K84*10+L84*8+M84*7+N84*5)/3)</f>
        <v/>
      </c>
      <c r="G84" s="34">
        <f>IF(COUNT(K84:AG84)=0,"",(P84*8+Q84*7+R84*5+S84*5)/3)</f>
        <v/>
      </c>
      <c r="H84" s="34">
        <f>IF(COUNT(K84:AG84)=0,"",(U84*6+V84*6+W84*4+X84*3+Y84*3+Z84*3)/3)</f>
        <v/>
      </c>
      <c r="I84" s="34">
        <f>IF(COUNT(K84:AG84)=0,"",AB84*3+AC84*2+AD84*2+AE84*1)</f>
        <v/>
      </c>
      <c r="J84" s="34">
        <f>IF(COUNT(K84:AG84)=0,"",(AF84*5+AG84*5)/3)</f>
        <v/>
      </c>
      <c r="K84" s="41" t="n"/>
      <c r="L84" s="41" t="n"/>
      <c r="M84" s="41" t="n"/>
      <c r="N84" s="41" t="n"/>
      <c r="P84" s="41" t="n"/>
      <c r="Q84" s="41" t="n"/>
      <c r="R84" s="41" t="n"/>
      <c r="S84" s="41" t="n"/>
      <c r="U84" s="41" t="n"/>
      <c r="V84" s="41" t="n"/>
      <c r="W84" s="41" t="n"/>
      <c r="X84" s="41" t="n"/>
      <c r="Y84" s="41" t="n"/>
      <c r="Z84" s="41" t="n"/>
      <c r="AB84" s="41" t="n"/>
      <c r="AC84" s="41" t="n"/>
      <c r="AD84" s="41" t="n"/>
      <c r="AE84" s="41" t="n"/>
      <c r="AF84" s="41" t="n"/>
      <c r="AG84" s="41" t="n"/>
    </row>
    <row r="85" ht="14.25" customHeight="1" s="60">
      <c r="E85" s="33">
        <f>IF(COUNT(K85:AG85)=0,"",ROUND((F85+G85+H85+I85+J85)/10,2))</f>
        <v/>
      </c>
      <c r="F85" s="34">
        <f>IF(COUNT(K85:AG85)=0,"",(K85*10+L85*8+M85*7+N85*5)/3)</f>
        <v/>
      </c>
      <c r="G85" s="34">
        <f>IF(COUNT(K85:AG85)=0,"",(P85*8+Q85*7+R85*5+S85*5)/3)</f>
        <v/>
      </c>
      <c r="H85" s="34">
        <f>IF(COUNT(K85:AG85)=0,"",(U85*6+V85*6+W85*4+X85*3+Y85*3+Z85*3)/3)</f>
        <v/>
      </c>
      <c r="I85" s="34">
        <f>IF(COUNT(K85:AG85)=0,"",AB85*3+AC85*2+AD85*2+AE85*1)</f>
        <v/>
      </c>
      <c r="J85" s="34">
        <f>IF(COUNT(K85:AG85)=0,"",(AF85*5+AG85*5)/3)</f>
        <v/>
      </c>
      <c r="K85" s="41" t="n"/>
      <c r="L85" s="41" t="n"/>
      <c r="M85" s="41" t="n"/>
      <c r="N85" s="41" t="n"/>
      <c r="P85" s="41" t="n"/>
      <c r="Q85" s="41" t="n"/>
      <c r="R85" s="41" t="n"/>
      <c r="S85" s="41" t="n"/>
      <c r="U85" s="41" t="n"/>
      <c r="V85" s="41" t="n"/>
      <c r="W85" s="41" t="n"/>
      <c r="X85" s="41" t="n"/>
      <c r="Y85" s="41" t="n"/>
      <c r="Z85" s="41" t="n"/>
      <c r="AB85" s="41" t="n"/>
      <c r="AC85" s="41" t="n"/>
      <c r="AD85" s="41" t="n"/>
      <c r="AE85" s="41" t="n"/>
      <c r="AF85" s="41" t="n"/>
      <c r="AG85" s="41" t="n"/>
    </row>
    <row r="86" ht="14.25" customHeight="1" s="60">
      <c r="E86" s="33">
        <f>IF(COUNT(K86:AG86)=0,"",ROUND((F86+G86+H86+I86+J86)/10,2))</f>
        <v/>
      </c>
      <c r="F86" s="34">
        <f>IF(COUNT(K86:AG86)=0,"",(K86*10+L86*8+M86*7+N86*5)/3)</f>
        <v/>
      </c>
      <c r="G86" s="34">
        <f>IF(COUNT(K86:AG86)=0,"",(P86*8+Q86*7+R86*5+S86*5)/3)</f>
        <v/>
      </c>
      <c r="H86" s="34">
        <f>IF(COUNT(K86:AG86)=0,"",(U86*6+V86*6+W86*4+X86*3+Y86*3+Z86*3)/3)</f>
        <v/>
      </c>
      <c r="I86" s="34">
        <f>IF(COUNT(K86:AG86)=0,"",AB86*3+AC86*2+AD86*2+AE86*1)</f>
        <v/>
      </c>
      <c r="J86" s="34">
        <f>IF(COUNT(K86:AG86)=0,"",(AF86*5+AG86*5)/3)</f>
        <v/>
      </c>
      <c r="K86" s="41" t="n"/>
      <c r="L86" s="41" t="n"/>
      <c r="M86" s="41" t="n"/>
      <c r="N86" s="41" t="n"/>
      <c r="P86" s="41" t="n"/>
      <c r="Q86" s="41" t="n"/>
      <c r="R86" s="41" t="n"/>
      <c r="S86" s="41" t="n"/>
      <c r="U86" s="41" t="n"/>
      <c r="V86" s="41" t="n"/>
      <c r="W86" s="41" t="n"/>
      <c r="X86" s="41" t="n"/>
      <c r="Y86" s="41" t="n"/>
      <c r="Z86" s="41" t="n"/>
      <c r="AB86" s="41" t="n"/>
      <c r="AC86" s="41" t="n"/>
      <c r="AD86" s="41" t="n"/>
      <c r="AE86" s="41" t="n"/>
      <c r="AF86" s="41" t="n"/>
      <c r="AG86" s="41" t="n"/>
    </row>
    <row r="87" ht="14.25" customHeight="1" s="60">
      <c r="E87" s="33">
        <f>IF(COUNT(K87:AG87)=0,"",ROUND((F87+G87+H87+I87+J87)/10,2))</f>
        <v/>
      </c>
      <c r="F87" s="34">
        <f>IF(COUNT(K87:AG87)=0,"",(K87*10+L87*8+M87*7+N87*5)/3)</f>
        <v/>
      </c>
      <c r="G87" s="34">
        <f>IF(COUNT(K87:AG87)=0,"",(P87*8+Q87*7+R87*5+S87*5)/3)</f>
        <v/>
      </c>
      <c r="H87" s="34">
        <f>IF(COUNT(K87:AG87)=0,"",(U87*6+V87*6+W87*4+X87*3+Y87*3+Z87*3)/3)</f>
        <v/>
      </c>
      <c r="I87" s="34">
        <f>IF(COUNT(K87:AG87)=0,"",AB87*3+AC87*2+AD87*2+AE87*1)</f>
        <v/>
      </c>
      <c r="J87" s="34">
        <f>IF(COUNT(K87:AG87)=0,"",(AF87*5+AG87*5)/3)</f>
        <v/>
      </c>
      <c r="K87" s="41" t="n"/>
      <c r="L87" s="41" t="n"/>
      <c r="M87" s="41" t="n"/>
      <c r="N87" s="41" t="n"/>
      <c r="P87" s="41" t="n"/>
      <c r="Q87" s="41" t="n"/>
      <c r="R87" s="41" t="n"/>
      <c r="S87" s="41" t="n"/>
      <c r="U87" s="41" t="n"/>
      <c r="V87" s="41" t="n"/>
      <c r="W87" s="41" t="n"/>
      <c r="X87" s="41" t="n"/>
      <c r="Y87" s="41" t="n"/>
      <c r="Z87" s="41" t="n"/>
      <c r="AB87" s="41" t="n"/>
      <c r="AC87" s="41" t="n"/>
      <c r="AD87" s="41" t="n"/>
      <c r="AE87" s="41" t="n"/>
      <c r="AF87" s="41" t="n"/>
      <c r="AG87" s="41" t="n"/>
    </row>
    <row r="88" ht="14.25" customHeight="1" s="60">
      <c r="E88" s="33">
        <f>IF(COUNT(K88:AG88)=0,"",ROUND((F88+G88+H88+I88+J88)/10,2))</f>
        <v/>
      </c>
      <c r="F88" s="34">
        <f>IF(COUNT(K88:AG88)=0,"",(K88*10+L88*8+M88*7+N88*5)/3)</f>
        <v/>
      </c>
      <c r="G88" s="34">
        <f>IF(COUNT(K88:AG88)=0,"",(P88*8+Q88*7+R88*5+S88*5)/3)</f>
        <v/>
      </c>
      <c r="H88" s="34">
        <f>IF(COUNT(K88:AG88)=0,"",(U88*6+V88*6+W88*4+X88*3+Y88*3+Z88*3)/3)</f>
        <v/>
      </c>
      <c r="I88" s="34">
        <f>IF(COUNT(K88:AG88)=0,"",AB88*3+AC88*2+AD88*2+AE88*1)</f>
        <v/>
      </c>
      <c r="J88" s="34">
        <f>IF(COUNT(K88:AG88)=0,"",(AF88*5+AG88*5)/3)</f>
        <v/>
      </c>
      <c r="K88" s="41" t="n"/>
      <c r="L88" s="41" t="n"/>
      <c r="M88" s="41" t="n"/>
      <c r="N88" s="41" t="n"/>
      <c r="P88" s="41" t="n"/>
      <c r="Q88" s="41" t="n"/>
      <c r="R88" s="41" t="n"/>
      <c r="S88" s="41" t="n"/>
      <c r="U88" s="41" t="n"/>
      <c r="V88" s="41" t="n"/>
      <c r="W88" s="41" t="n"/>
      <c r="X88" s="41" t="n"/>
      <c r="Y88" s="41" t="n"/>
      <c r="Z88" s="41" t="n"/>
      <c r="AB88" s="41" t="n"/>
      <c r="AC88" s="41" t="n"/>
      <c r="AD88" s="41" t="n"/>
      <c r="AE88" s="41" t="n"/>
      <c r="AF88" s="41" t="n"/>
      <c r="AG88" s="41" t="n"/>
    </row>
    <row r="89" ht="14.25" customHeight="1" s="60">
      <c r="E89" s="33">
        <f>IF(COUNT(K89:AG89)=0,"",ROUND((F89+G89+H89+I89+J89)/10,2))</f>
        <v/>
      </c>
      <c r="F89" s="34">
        <f>IF(COUNT(K89:AG89)=0,"",(K89*10+L89*8+M89*7+N89*5)/3)</f>
        <v/>
      </c>
      <c r="G89" s="34">
        <f>IF(COUNT(K89:AG89)=0,"",(P89*8+Q89*7+R89*5+S89*5)/3)</f>
        <v/>
      </c>
      <c r="H89" s="34">
        <f>IF(COUNT(K89:AG89)=0,"",(U89*6+V89*6+W89*4+X89*3+Y89*3+Z89*3)/3)</f>
        <v/>
      </c>
      <c r="I89" s="34">
        <f>IF(COUNT(K89:AG89)=0,"",AB89*3+AC89*2+AD89*2+AE89*1)</f>
        <v/>
      </c>
      <c r="J89" s="34">
        <f>IF(COUNT(K89:AG89)=0,"",(AF89*5+AG89*5)/3)</f>
        <v/>
      </c>
      <c r="K89" s="41" t="n"/>
      <c r="L89" s="41" t="n"/>
      <c r="M89" s="41" t="n"/>
      <c r="N89" s="41" t="n"/>
      <c r="P89" s="41" t="n"/>
      <c r="Q89" s="41" t="n"/>
      <c r="R89" s="41" t="n"/>
      <c r="S89" s="41" t="n"/>
      <c r="U89" s="41" t="n"/>
      <c r="V89" s="41" t="n"/>
      <c r="W89" s="41" t="n"/>
      <c r="X89" s="41" t="n"/>
      <c r="Y89" s="41" t="n"/>
      <c r="Z89" s="41" t="n"/>
      <c r="AB89" s="41" t="n"/>
      <c r="AC89" s="41" t="n"/>
      <c r="AD89" s="41" t="n"/>
      <c r="AE89" s="41" t="n"/>
      <c r="AF89" s="41" t="n"/>
      <c r="AG89" s="41" t="n"/>
    </row>
    <row r="90" ht="14.25" customHeight="1" s="60">
      <c r="E90" s="33">
        <f>IF(COUNT(K90:AG90)=0,"",ROUND((F90+G90+H90+I90+J90)/10,2))</f>
        <v/>
      </c>
      <c r="F90" s="34">
        <f>IF(COUNT(K90:AG90)=0,"",(K90*10+L90*8+M90*7+N90*5)/3)</f>
        <v/>
      </c>
      <c r="G90" s="34">
        <f>IF(COUNT(K90:AG90)=0,"",(P90*8+Q90*7+R90*5+S90*5)/3)</f>
        <v/>
      </c>
      <c r="H90" s="34">
        <f>IF(COUNT(K90:AG90)=0,"",(U90*6+V90*6+W90*4+X90*3+Y90*3+Z90*3)/3)</f>
        <v/>
      </c>
      <c r="I90" s="34">
        <f>IF(COUNT(K90:AG90)=0,"",AB90*3+AC90*2+AD90*2+AE90*1)</f>
        <v/>
      </c>
      <c r="J90" s="34">
        <f>IF(COUNT(K90:AG90)=0,"",(AF90*5+AG90*5)/3)</f>
        <v/>
      </c>
      <c r="K90" s="41" t="n"/>
      <c r="L90" s="41" t="n"/>
      <c r="M90" s="41" t="n"/>
      <c r="N90" s="41" t="n"/>
      <c r="P90" s="41" t="n"/>
      <c r="Q90" s="41" t="n"/>
      <c r="R90" s="41" t="n"/>
      <c r="S90" s="41" t="n"/>
      <c r="U90" s="41" t="n"/>
      <c r="V90" s="41" t="n"/>
      <c r="W90" s="41" t="n"/>
      <c r="X90" s="41" t="n"/>
      <c r="Y90" s="41" t="n"/>
      <c r="Z90" s="41" t="n"/>
      <c r="AB90" s="41" t="n"/>
      <c r="AC90" s="41" t="n"/>
      <c r="AD90" s="41" t="n"/>
      <c r="AE90" s="41" t="n"/>
      <c r="AF90" s="41" t="n"/>
      <c r="AG90" s="41" t="n"/>
    </row>
    <row r="91" ht="14.25" customHeight="1" s="60">
      <c r="E91" s="33">
        <f>IF(COUNT(K91:AG91)=0,"",ROUND((F91+G91+H91+I91+J91)/10,2))</f>
        <v/>
      </c>
      <c r="F91" s="34">
        <f>IF(COUNT(K91:AG91)=0,"",(K91*10+L91*8+M91*7+N91*5)/3)</f>
        <v/>
      </c>
      <c r="G91" s="34">
        <f>IF(COUNT(K91:AG91)=0,"",(P91*8+Q91*7+R91*5+S91*5)/3)</f>
        <v/>
      </c>
      <c r="H91" s="34">
        <f>IF(COUNT(K91:AG91)=0,"",(U91*6+V91*6+W91*4+X91*3+Y91*3+Z91*3)/3)</f>
        <v/>
      </c>
      <c r="I91" s="34">
        <f>IF(COUNT(K91:AG91)=0,"",AB91*3+AC91*2+AD91*2+AE91*1)</f>
        <v/>
      </c>
      <c r="J91" s="34">
        <f>IF(COUNT(K91:AG91)=0,"",(AF91*5+AG91*5)/3)</f>
        <v/>
      </c>
      <c r="K91" s="41" t="n"/>
      <c r="L91" s="41" t="n"/>
      <c r="M91" s="41" t="n"/>
      <c r="N91" s="41" t="n"/>
      <c r="P91" s="41" t="n"/>
      <c r="Q91" s="41" t="n"/>
      <c r="R91" s="41" t="n"/>
      <c r="S91" s="41" t="n"/>
      <c r="U91" s="41" t="n"/>
      <c r="V91" s="41" t="n"/>
      <c r="W91" s="41" t="n"/>
      <c r="X91" s="41" t="n"/>
      <c r="Y91" s="41" t="n"/>
      <c r="Z91" s="41" t="n"/>
      <c r="AB91" s="41" t="n"/>
      <c r="AC91" s="41" t="n"/>
      <c r="AD91" s="41" t="n"/>
      <c r="AE91" s="41" t="n"/>
      <c r="AF91" s="41" t="n"/>
      <c r="AG91" s="41" t="n"/>
    </row>
    <row r="92" ht="14.25" customHeight="1" s="60">
      <c r="E92" s="33">
        <f>IF(COUNT(K92:AG92)=0,"",ROUND((F92+G92+H92+I92+J92)/10,2))</f>
        <v/>
      </c>
      <c r="F92" s="34">
        <f>IF(COUNT(K92:AG92)=0,"",(K92*10+L92*8+M92*7+N92*5)/3)</f>
        <v/>
      </c>
      <c r="G92" s="34">
        <f>IF(COUNT(K92:AG92)=0,"",(P92*8+Q92*7+R92*5+S92*5)/3)</f>
        <v/>
      </c>
      <c r="H92" s="34">
        <f>IF(COUNT(K92:AG92)=0,"",(U92*6+V92*6+W92*4+X92*3+Y92*3+Z92*3)/3)</f>
        <v/>
      </c>
      <c r="I92" s="34">
        <f>IF(COUNT(K92:AG92)=0,"",AB92*3+AC92*2+AD92*2+AE92*1)</f>
        <v/>
      </c>
      <c r="J92" s="34">
        <f>IF(COUNT(K92:AG92)=0,"",(AF92*5+AG92*5)/3)</f>
        <v/>
      </c>
      <c r="K92" s="41" t="n"/>
      <c r="L92" s="41" t="n"/>
      <c r="M92" s="41" t="n"/>
      <c r="N92" s="41" t="n"/>
      <c r="P92" s="41" t="n"/>
      <c r="Q92" s="41" t="n"/>
      <c r="R92" s="41" t="n"/>
      <c r="S92" s="41" t="n"/>
      <c r="U92" s="41" t="n"/>
      <c r="V92" s="41" t="n"/>
      <c r="W92" s="41" t="n"/>
      <c r="X92" s="41" t="n"/>
      <c r="Y92" s="41" t="n"/>
      <c r="Z92" s="41" t="n"/>
      <c r="AB92" s="41" t="n"/>
      <c r="AC92" s="41" t="n"/>
      <c r="AD92" s="41" t="n"/>
      <c r="AE92" s="41" t="n"/>
      <c r="AF92" s="41" t="n"/>
      <c r="AG92" s="41" t="n"/>
    </row>
    <row r="93" ht="14.25" customHeight="1" s="60">
      <c r="E93" s="33">
        <f>IF(COUNT(K93:AG93)=0,"",ROUND((F93+G93+H93+I93+J93)/10,2))</f>
        <v/>
      </c>
      <c r="F93" s="34">
        <f>IF(COUNT(K93:AG93)=0,"",(K93*10+L93*8+M93*7+N93*5)/3)</f>
        <v/>
      </c>
      <c r="G93" s="34">
        <f>IF(COUNT(K93:AG93)=0,"",(P93*8+Q93*7+R93*5+S93*5)/3)</f>
        <v/>
      </c>
      <c r="H93" s="34">
        <f>IF(COUNT(K93:AG93)=0,"",(U93*6+V93*6+W93*4+X93*3+Y93*3+Z93*3)/3)</f>
        <v/>
      </c>
      <c r="I93" s="34">
        <f>IF(COUNT(K93:AG93)=0,"",AB93*3+AC93*2+AD93*2+AE93*1)</f>
        <v/>
      </c>
      <c r="J93" s="34">
        <f>IF(COUNT(K93:AG93)=0,"",(AF93*5+AG93*5)/3)</f>
        <v/>
      </c>
      <c r="K93" s="41" t="n"/>
      <c r="L93" s="41" t="n"/>
      <c r="M93" s="41" t="n"/>
      <c r="N93" s="41" t="n"/>
      <c r="P93" s="41" t="n"/>
      <c r="Q93" s="41" t="n"/>
      <c r="R93" s="41" t="n"/>
      <c r="S93" s="41" t="n"/>
      <c r="U93" s="41" t="n"/>
      <c r="V93" s="41" t="n"/>
      <c r="W93" s="41" t="n"/>
      <c r="X93" s="41" t="n"/>
      <c r="Y93" s="41" t="n"/>
      <c r="Z93" s="41" t="n"/>
      <c r="AB93" s="41" t="n"/>
      <c r="AC93" s="41" t="n"/>
      <c r="AD93" s="41" t="n"/>
      <c r="AE93" s="41" t="n"/>
      <c r="AF93" s="41" t="n"/>
      <c r="AG93" s="41" t="n"/>
    </row>
    <row r="94" ht="14.25" customHeight="1" s="60">
      <c r="E94" s="33">
        <f>IF(COUNT(K94:AG94)=0,"",ROUND((F94+G94+H94+I94+J94)/10,2))</f>
        <v/>
      </c>
      <c r="F94" s="34">
        <f>IF(COUNT(K94:AG94)=0,"",(K94*10+L94*8+M94*7+N94*5)/3)</f>
        <v/>
      </c>
      <c r="G94" s="34">
        <f>IF(COUNT(K94:AG94)=0,"",(P94*8+Q94*7+R94*5+S94*5)/3)</f>
        <v/>
      </c>
      <c r="H94" s="34">
        <f>IF(COUNT(K94:AG94)=0,"",(U94*6+V94*6+W94*4+X94*3+Y94*3+Z94*3)/3)</f>
        <v/>
      </c>
      <c r="I94" s="34">
        <f>IF(COUNT(K94:AG94)=0,"",AB94*3+AC94*2+AD94*2+AE94*1)</f>
        <v/>
      </c>
      <c r="J94" s="34">
        <f>IF(COUNT(K94:AG94)=0,"",(AF94*5+AG94*5)/3)</f>
        <v/>
      </c>
      <c r="K94" s="41" t="n"/>
      <c r="L94" s="41" t="n"/>
      <c r="M94" s="41" t="n"/>
      <c r="N94" s="41" t="n"/>
      <c r="P94" s="41" t="n"/>
      <c r="Q94" s="41" t="n"/>
      <c r="R94" s="41" t="n"/>
      <c r="S94" s="41" t="n"/>
      <c r="U94" s="41" t="n"/>
      <c r="V94" s="41" t="n"/>
      <c r="W94" s="41" t="n"/>
      <c r="X94" s="41" t="n"/>
      <c r="Y94" s="41" t="n"/>
      <c r="Z94" s="41" t="n"/>
      <c r="AB94" s="41" t="n"/>
      <c r="AC94" s="41" t="n"/>
      <c r="AD94" s="41" t="n"/>
      <c r="AE94" s="41" t="n"/>
      <c r="AF94" s="41" t="n"/>
      <c r="AG94" s="41" t="n"/>
    </row>
    <row r="95" ht="14.25" customHeight="1" s="60">
      <c r="E95" s="33">
        <f>IF(COUNT(K95:AG95)=0,"",ROUND((F95+G95+H95+I95+J95)/10,2))</f>
        <v/>
      </c>
      <c r="F95" s="34">
        <f>IF(COUNT(K95:AG95)=0,"",(K95*10+L95*8+M95*7+N95*5)/3)</f>
        <v/>
      </c>
      <c r="G95" s="34">
        <f>IF(COUNT(K95:AG95)=0,"",(P95*8+Q95*7+R95*5+S95*5)/3)</f>
        <v/>
      </c>
      <c r="H95" s="34">
        <f>IF(COUNT(K95:AG95)=0,"",(U95*6+V95*6+W95*4+X95*3+Y95*3+Z95*3)/3)</f>
        <v/>
      </c>
      <c r="I95" s="34">
        <f>IF(COUNT(K95:AG95)=0,"",AB95*3+AC95*2+AD95*2+AE95*1)</f>
        <v/>
      </c>
      <c r="J95" s="34">
        <f>IF(COUNT(K95:AG95)=0,"",(AF95*5+AG95*5)/3)</f>
        <v/>
      </c>
      <c r="K95" s="41" t="n"/>
      <c r="L95" s="41" t="n"/>
      <c r="M95" s="41" t="n"/>
      <c r="N95" s="41" t="n"/>
      <c r="P95" s="41" t="n"/>
      <c r="Q95" s="41" t="n"/>
      <c r="R95" s="41" t="n"/>
      <c r="S95" s="41" t="n"/>
      <c r="U95" s="41" t="n"/>
      <c r="V95" s="41" t="n"/>
      <c r="W95" s="41" t="n"/>
      <c r="X95" s="41" t="n"/>
      <c r="Y95" s="41" t="n"/>
      <c r="Z95" s="41" t="n"/>
      <c r="AB95" s="41" t="n"/>
      <c r="AC95" s="41" t="n"/>
      <c r="AD95" s="41" t="n"/>
      <c r="AE95" s="41" t="n"/>
      <c r="AF95" s="41" t="n"/>
      <c r="AG95" s="41" t="n"/>
    </row>
    <row r="96" ht="14.25" customHeight="1" s="60">
      <c r="E96" s="33">
        <f>IF(COUNT(K96:AG96)=0,"",ROUND((F96+G96+H96+I96+J96)/10,2))</f>
        <v/>
      </c>
      <c r="F96" s="34">
        <f>IF(COUNT(K96:AG96)=0,"",(K96*10+L96*8+M96*7+N96*5)/3)</f>
        <v/>
      </c>
      <c r="G96" s="34">
        <f>IF(COUNT(K96:AG96)=0,"",(P96*8+Q96*7+R96*5+S96*5)/3)</f>
        <v/>
      </c>
      <c r="H96" s="34">
        <f>IF(COUNT(K96:AG96)=0,"",(U96*6+V96*6+W96*4+X96*3+Y96*3+Z96*3)/3)</f>
        <v/>
      </c>
      <c r="I96" s="34">
        <f>IF(COUNT(K96:AG96)=0,"",AB96*3+AC96*2+AD96*2+AE96*1)</f>
        <v/>
      </c>
      <c r="J96" s="34">
        <f>IF(COUNT(K96:AG96)=0,"",(AF96*5+AG96*5)/3)</f>
        <v/>
      </c>
      <c r="K96" s="41" t="n"/>
      <c r="L96" s="41" t="n"/>
      <c r="M96" s="41" t="n"/>
      <c r="N96" s="41" t="n"/>
      <c r="P96" s="41" t="n"/>
      <c r="Q96" s="41" t="n"/>
      <c r="R96" s="41" t="n"/>
      <c r="S96" s="41" t="n"/>
      <c r="U96" s="41" t="n"/>
      <c r="V96" s="41" t="n"/>
      <c r="W96" s="41" t="n"/>
      <c r="X96" s="41" t="n"/>
      <c r="Y96" s="41" t="n"/>
      <c r="Z96" s="41" t="n"/>
      <c r="AB96" s="41" t="n"/>
      <c r="AC96" s="41" t="n"/>
      <c r="AD96" s="41" t="n"/>
      <c r="AE96" s="41" t="n"/>
      <c r="AF96" s="41" t="n"/>
      <c r="AG96" s="41" t="n"/>
    </row>
    <row r="97" ht="14.25" customHeight="1" s="60">
      <c r="E97" s="33">
        <f>IF(COUNT(K97:AG97)=0,"",ROUND((F97+G97+H97+I97+J97)/10,2))</f>
        <v/>
      </c>
      <c r="F97" s="34">
        <f>IF(COUNT(K97:AG97)=0,"",(K97*10+L97*8+M97*7+N97*5)/3)</f>
        <v/>
      </c>
      <c r="G97" s="34">
        <f>IF(COUNT(K97:AG97)=0,"",(P97*8+Q97*7+R97*5+S97*5)/3)</f>
        <v/>
      </c>
      <c r="H97" s="34">
        <f>IF(COUNT(K97:AG97)=0,"",(U97*6+V97*6+W97*4+X97*3+Y97*3+Z97*3)/3)</f>
        <v/>
      </c>
      <c r="I97" s="34">
        <f>IF(COUNT(K97:AG97)=0,"",AB97*3+AC97*2+AD97*2+AE97*1)</f>
        <v/>
      </c>
      <c r="J97" s="34">
        <f>IF(COUNT(K97:AG97)=0,"",(AF97*5+AG97*5)/3)</f>
        <v/>
      </c>
      <c r="K97" s="41" t="n"/>
      <c r="L97" s="41" t="n"/>
      <c r="M97" s="41" t="n"/>
      <c r="N97" s="41" t="n"/>
      <c r="P97" s="41" t="n"/>
      <c r="Q97" s="41" t="n"/>
      <c r="R97" s="41" t="n"/>
      <c r="S97" s="41" t="n"/>
      <c r="U97" s="41" t="n"/>
      <c r="V97" s="41" t="n"/>
      <c r="W97" s="41" t="n"/>
      <c r="X97" s="41" t="n"/>
      <c r="Y97" s="41" t="n"/>
      <c r="Z97" s="41" t="n"/>
      <c r="AB97" s="41" t="n"/>
      <c r="AC97" s="41" t="n"/>
      <c r="AD97" s="41" t="n"/>
      <c r="AE97" s="41" t="n"/>
      <c r="AF97" s="41" t="n"/>
      <c r="AG97" s="41" t="n"/>
    </row>
    <row r="98" ht="14.25" customHeight="1" s="60">
      <c r="E98" s="33">
        <f>IF(COUNT(K98:AG98)=0,"",ROUND((F98+G98+H98+I98+J98)/10,2))</f>
        <v/>
      </c>
      <c r="F98" s="34">
        <f>IF(COUNT(K98:AG98)=0,"",(K98*10+L98*8+M98*7+N98*5)/3)</f>
        <v/>
      </c>
      <c r="G98" s="34">
        <f>IF(COUNT(K98:AG98)=0,"",(P98*8+Q98*7+R98*5+S98*5)/3)</f>
        <v/>
      </c>
      <c r="H98" s="34">
        <f>IF(COUNT(K98:AG98)=0,"",(U98*6+V98*6+W98*4+X98*3+Y98*3+Z98*3)/3)</f>
        <v/>
      </c>
      <c r="I98" s="34">
        <f>IF(COUNT(K98:AG98)=0,"",AB98*3+AC98*2+AD98*2+AE98*1)</f>
        <v/>
      </c>
      <c r="J98" s="34">
        <f>IF(COUNT(K98:AG98)=0,"",(AF98*5+AG98*5)/3)</f>
        <v/>
      </c>
      <c r="K98" s="41" t="n"/>
      <c r="L98" s="41" t="n"/>
      <c r="M98" s="41" t="n"/>
      <c r="N98" s="41" t="n"/>
      <c r="P98" s="41" t="n"/>
      <c r="Q98" s="41" t="n"/>
      <c r="R98" s="41" t="n"/>
      <c r="S98" s="41" t="n"/>
      <c r="U98" s="41" t="n"/>
      <c r="V98" s="41" t="n"/>
      <c r="W98" s="41" t="n"/>
      <c r="X98" s="41" t="n"/>
      <c r="Y98" s="41" t="n"/>
      <c r="Z98" s="41" t="n"/>
      <c r="AB98" s="41" t="n"/>
      <c r="AC98" s="41" t="n"/>
      <c r="AD98" s="41" t="n"/>
      <c r="AE98" s="41" t="n"/>
      <c r="AF98" s="41" t="n"/>
      <c r="AG98" s="41" t="n"/>
    </row>
    <row r="99" ht="14.25" customHeight="1" s="60">
      <c r="E99" s="33">
        <f>IF(COUNT(K99:AG99)=0,"",ROUND((F99+G99+H99+I99+J99)/10,2))</f>
        <v/>
      </c>
      <c r="F99" s="34">
        <f>IF(COUNT(K99:AG99)=0,"",(K99*10+L99*8+M99*7+N99*5)/3)</f>
        <v/>
      </c>
      <c r="G99" s="34">
        <f>IF(COUNT(K99:AG99)=0,"",(P99*8+Q99*7+R99*5+S99*5)/3)</f>
        <v/>
      </c>
      <c r="H99" s="34">
        <f>IF(COUNT(K99:AG99)=0,"",(U99*6+V99*6+W99*4+X99*3+Y99*3+Z99*3)/3)</f>
        <v/>
      </c>
      <c r="I99" s="34">
        <f>IF(COUNT(K99:AG99)=0,"",AB99*3+AC99*2+AD99*2+AE99*1)</f>
        <v/>
      </c>
      <c r="J99" s="34">
        <f>IF(COUNT(K99:AG99)=0,"",(AF99*5+AG99*5)/3)</f>
        <v/>
      </c>
      <c r="K99" s="41" t="n"/>
      <c r="L99" s="41" t="n"/>
      <c r="M99" s="41" t="n"/>
      <c r="N99" s="41" t="n"/>
      <c r="P99" s="41" t="n"/>
      <c r="Q99" s="41" t="n"/>
      <c r="R99" s="41" t="n"/>
      <c r="S99" s="41" t="n"/>
      <c r="U99" s="41" t="n"/>
      <c r="V99" s="41" t="n"/>
      <c r="W99" s="41" t="n"/>
      <c r="X99" s="41" t="n"/>
      <c r="Y99" s="41" t="n"/>
      <c r="Z99" s="41" t="n"/>
      <c r="AB99" s="41" t="n"/>
      <c r="AC99" s="41" t="n"/>
      <c r="AD99" s="41" t="n"/>
      <c r="AE99" s="41" t="n"/>
      <c r="AF99" s="41" t="n"/>
      <c r="AG99" s="41" t="n"/>
    </row>
    <row r="100" ht="14.25" customHeight="1" s="60">
      <c r="E100" s="33">
        <f>IF(COUNT(K100:AG100)=0,"",ROUND((F100+G100+H100+I100+J100)/10,2))</f>
        <v/>
      </c>
      <c r="F100" s="34">
        <f>IF(COUNT(K100:AG100)=0,"",(K100*10+L100*8+M100*7+N100*5)/3)</f>
        <v/>
      </c>
      <c r="G100" s="34">
        <f>IF(COUNT(K100:AG100)=0,"",(P100*8+Q100*7+R100*5+S100*5)/3)</f>
        <v/>
      </c>
      <c r="H100" s="34">
        <f>IF(COUNT(K100:AG100)=0,"",(U100*6+V100*6+W100*4+X100*3+Y100*3+Z100*3)/3)</f>
        <v/>
      </c>
      <c r="I100" s="34">
        <f>IF(COUNT(K100:AG100)=0,"",AB100*3+AC100*2+AD100*2+AE100*1)</f>
        <v/>
      </c>
      <c r="J100" s="34">
        <f>IF(COUNT(K100:AG100)=0,"",(AF100*5+AG100*5)/3)</f>
        <v/>
      </c>
      <c r="K100" s="41" t="n"/>
      <c r="L100" s="41" t="n"/>
      <c r="M100" s="41" t="n"/>
      <c r="N100" s="41" t="n"/>
      <c r="P100" s="41" t="n"/>
      <c r="Q100" s="41" t="n"/>
      <c r="R100" s="41" t="n"/>
      <c r="S100" s="41" t="n"/>
      <c r="U100" s="41" t="n"/>
      <c r="V100" s="41" t="n"/>
      <c r="W100" s="41" t="n"/>
      <c r="X100" s="41" t="n"/>
      <c r="Y100" s="41" t="n"/>
      <c r="Z100" s="41" t="n"/>
      <c r="AB100" s="41" t="n"/>
      <c r="AC100" s="41" t="n"/>
      <c r="AD100" s="41" t="n"/>
      <c r="AE100" s="41" t="n"/>
      <c r="AF100" s="41" t="n"/>
      <c r="AG100" s="41" t="n"/>
    </row>
    <row r="101" ht="14.25" customHeight="1" s="60">
      <c r="E101" s="33">
        <f>IF(COUNT(K101:AG101)=0,"",ROUND((F101+G101+H101+I101+J101)/10,2))</f>
        <v/>
      </c>
      <c r="F101" s="34">
        <f>IF(COUNT(K101:AG101)=0,"",(K101*10+L101*8+M101*7+N101*5)/3)</f>
        <v/>
      </c>
      <c r="G101" s="34">
        <f>IF(COUNT(K101:AG101)=0,"",(P101*8+Q101*7+R101*5+S101*5)/3)</f>
        <v/>
      </c>
      <c r="H101" s="34">
        <f>IF(COUNT(K101:AG101)=0,"",(U101*6+V101*6+W101*4+X101*3+Y101*3+Z101*3)/3)</f>
        <v/>
      </c>
      <c r="I101" s="34">
        <f>IF(COUNT(K101:AG101)=0,"",AB101*3+AC101*2+AD101*2+AE101*1)</f>
        <v/>
      </c>
      <c r="J101" s="34">
        <f>IF(COUNT(K101:AG101)=0,"",(AF101*5+AG101*5)/3)</f>
        <v/>
      </c>
      <c r="K101" s="41" t="n"/>
      <c r="L101" s="41" t="n"/>
      <c r="M101" s="41" t="n"/>
      <c r="N101" s="41" t="n"/>
      <c r="P101" s="41" t="n"/>
      <c r="Q101" s="41" t="n"/>
      <c r="R101" s="41" t="n"/>
      <c r="S101" s="41" t="n"/>
      <c r="U101" s="41" t="n"/>
      <c r="V101" s="41" t="n"/>
      <c r="W101" s="41" t="n"/>
      <c r="X101" s="41" t="n"/>
      <c r="Y101" s="41" t="n"/>
      <c r="Z101" s="41" t="n"/>
      <c r="AB101" s="41" t="n"/>
      <c r="AC101" s="41" t="n"/>
      <c r="AD101" s="41" t="n"/>
      <c r="AE101" s="41" t="n"/>
      <c r="AF101" s="41" t="n"/>
      <c r="AG101" s="41" t="n"/>
    </row>
    <row r="102" ht="14.25" customHeight="1" s="60">
      <c r="E102" s="33">
        <f>IF(COUNT(K102:AG102)=0,"",ROUND((F102+G102+H102+I102+J102)/10,2))</f>
        <v/>
      </c>
      <c r="F102" s="34">
        <f>IF(COUNT(K102:AG102)=0,"",(K102*10+L102*8+M102*7+N102*5)/3)</f>
        <v/>
      </c>
      <c r="G102" s="34">
        <f>IF(COUNT(K102:AG102)=0,"",(P102*8+Q102*7+R102*5+S102*5)/3)</f>
        <v/>
      </c>
      <c r="H102" s="34">
        <f>IF(COUNT(K102:AG102)=0,"",(U102*6+V102*6+W102*4+X102*3+Y102*3+Z102*3)/3)</f>
        <v/>
      </c>
      <c r="I102" s="34">
        <f>IF(COUNT(K102:AG102)=0,"",AB102*3+AC102*2+AD102*2+AE102*1)</f>
        <v/>
      </c>
      <c r="J102" s="34">
        <f>IF(COUNT(K102:AG102)=0,"",(AF102*5+AG102*5)/3)</f>
        <v/>
      </c>
      <c r="K102" s="41" t="n"/>
      <c r="L102" s="41" t="n"/>
      <c r="M102" s="41" t="n"/>
      <c r="N102" s="41" t="n"/>
      <c r="P102" s="41" t="n"/>
      <c r="Q102" s="41" t="n"/>
      <c r="R102" s="41" t="n"/>
      <c r="S102" s="41" t="n"/>
      <c r="U102" s="41" t="n"/>
      <c r="V102" s="41" t="n"/>
      <c r="W102" s="41" t="n"/>
      <c r="X102" s="41" t="n"/>
      <c r="Y102" s="41" t="n"/>
      <c r="Z102" s="41" t="n"/>
      <c r="AB102" s="41" t="n"/>
      <c r="AC102" s="41" t="n"/>
      <c r="AD102" s="41" t="n"/>
      <c r="AE102" s="41" t="n"/>
      <c r="AF102" s="41" t="n"/>
      <c r="AG102" s="41" t="n"/>
    </row>
    <row r="103" ht="14.25" customHeight="1" s="60">
      <c r="E103" s="33">
        <f>IF(COUNT(K103:AG103)=0,"",ROUND((F103+G103+H103+I103+J103)/10,2))</f>
        <v/>
      </c>
      <c r="F103" s="34">
        <f>IF(COUNT(K103:AG103)=0,"",(K103*10+L103*8+M103*7+N103*5)/3)</f>
        <v/>
      </c>
      <c r="G103" s="34">
        <f>IF(COUNT(K103:AG103)=0,"",(P103*8+Q103*7+R103*5+S103*5)/3)</f>
        <v/>
      </c>
      <c r="H103" s="34">
        <f>IF(COUNT(K103:AG103)=0,"",(U103*6+V103*6+W103*4+X103*3+Y103*3+Z103*3)/3)</f>
        <v/>
      </c>
      <c r="I103" s="34">
        <f>IF(COUNT(K103:AG103)=0,"",AB103*3+AC103*2+AD103*2+AE103*1)</f>
        <v/>
      </c>
      <c r="J103" s="34">
        <f>IF(COUNT(K103:AG103)=0,"",(AF103*5+AG103*5)/3)</f>
        <v/>
      </c>
      <c r="K103" s="41" t="n"/>
      <c r="L103" s="41" t="n"/>
      <c r="M103" s="41" t="n"/>
      <c r="N103" s="41" t="n"/>
      <c r="P103" s="41" t="n"/>
      <c r="Q103" s="41" t="n"/>
      <c r="R103" s="41" t="n"/>
      <c r="S103" s="41" t="n"/>
      <c r="U103" s="41" t="n"/>
      <c r="V103" s="41" t="n"/>
      <c r="W103" s="41" t="n"/>
      <c r="X103" s="41" t="n"/>
      <c r="Y103" s="41" t="n"/>
      <c r="Z103" s="41" t="n"/>
      <c r="AB103" s="41" t="n"/>
      <c r="AC103" s="41" t="n"/>
      <c r="AD103" s="41" t="n"/>
      <c r="AE103" s="41" t="n"/>
      <c r="AF103" s="41" t="n"/>
      <c r="AG103" s="41" t="n"/>
    </row>
    <row r="104" ht="14.25" customHeight="1" s="60">
      <c r="E104" s="33">
        <f>IF(COUNT(K104:AG104)=0,"",ROUND((F104+G104+H104+I104+J104)/10,2))</f>
        <v/>
      </c>
      <c r="F104" s="34">
        <f>IF(COUNT(K104:AG104)=0,"",(K104*10+L104*8+M104*7+N104*5)/3)</f>
        <v/>
      </c>
      <c r="G104" s="34">
        <f>IF(COUNT(K104:AG104)=0,"",(P104*8+Q104*7+R104*5+S104*5)/3)</f>
        <v/>
      </c>
      <c r="H104" s="34">
        <f>IF(COUNT(K104:AG104)=0,"",(U104*6+V104*6+W104*4+X104*3+Y104*3+Z104*3)/3)</f>
        <v/>
      </c>
      <c r="I104" s="34">
        <f>IF(COUNT(K104:AG104)=0,"",AB104*3+AC104*2+AD104*2+AE104*1)</f>
        <v/>
      </c>
      <c r="J104" s="34">
        <f>IF(COUNT(K104:AG104)=0,"",(AF104*5+AG104*5)/3)</f>
        <v/>
      </c>
      <c r="K104" s="41" t="n"/>
      <c r="L104" s="41" t="n"/>
      <c r="M104" s="41" t="n"/>
      <c r="N104" s="41" t="n"/>
      <c r="P104" s="41" t="n"/>
      <c r="Q104" s="41" t="n"/>
      <c r="R104" s="41" t="n"/>
      <c r="S104" s="41" t="n"/>
      <c r="U104" s="41" t="n"/>
      <c r="V104" s="41" t="n"/>
      <c r="W104" s="41" t="n"/>
      <c r="X104" s="41" t="n"/>
      <c r="Y104" s="41" t="n"/>
      <c r="Z104" s="41" t="n"/>
      <c r="AB104" s="41" t="n"/>
      <c r="AC104" s="41" t="n"/>
      <c r="AD104" s="41" t="n"/>
      <c r="AE104" s="41" t="n"/>
      <c r="AF104" s="41" t="n"/>
      <c r="AG104" s="41" t="n"/>
    </row>
    <row r="105" ht="14.25" customHeight="1" s="60">
      <c r="E105" s="33">
        <f>IF(COUNT(K105:AG105)=0,"",ROUND((F105+G105+H105+I105+J105)/10,2))</f>
        <v/>
      </c>
      <c r="F105" s="34">
        <f>IF(COUNT(K105:AG105)=0,"",(K105*10+L105*8+M105*7+N105*5)/3)</f>
        <v/>
      </c>
      <c r="G105" s="34">
        <f>IF(COUNT(K105:AG105)=0,"",(P105*8+Q105*7+R105*5+S105*5)/3)</f>
        <v/>
      </c>
      <c r="H105" s="34">
        <f>IF(COUNT(K105:AG105)=0,"",(U105*6+V105*6+W105*4+X105*3+Y105*3+Z105*3)/3)</f>
        <v/>
      </c>
      <c r="I105" s="34">
        <f>IF(COUNT(K105:AG105)=0,"",AB105*3+AC105*2+AD105*2+AE105*1)</f>
        <v/>
      </c>
      <c r="J105" s="34">
        <f>IF(COUNT(K105:AG105)=0,"",(AF105*5+AG105*5)/3)</f>
        <v/>
      </c>
      <c r="K105" s="41" t="n"/>
      <c r="L105" s="41" t="n"/>
      <c r="M105" s="41" t="n"/>
      <c r="N105" s="41" t="n"/>
      <c r="P105" s="41" t="n"/>
      <c r="Q105" s="41" t="n"/>
      <c r="R105" s="41" t="n"/>
      <c r="S105" s="41" t="n"/>
      <c r="U105" s="41" t="n"/>
      <c r="V105" s="41" t="n"/>
      <c r="W105" s="41" t="n"/>
      <c r="X105" s="41" t="n"/>
      <c r="Y105" s="41" t="n"/>
      <c r="Z105" s="41" t="n"/>
      <c r="AB105" s="41" t="n"/>
      <c r="AC105" s="41" t="n"/>
      <c r="AD105" s="41" t="n"/>
      <c r="AE105" s="41" t="n"/>
      <c r="AF105" s="41" t="n"/>
      <c r="AG105" s="41" t="n"/>
    </row>
    <row r="106" ht="14.25" customHeight="1" s="60">
      <c r="E106" s="33">
        <f>IF(COUNT(K106:AG106)=0,"",ROUND((F106+G106+H106+I106+J106)/10,2))</f>
        <v/>
      </c>
      <c r="F106" s="34">
        <f>IF(COUNT(K106:AG106)=0,"",(K106*10+L106*8+M106*7+N106*5)/3)</f>
        <v/>
      </c>
      <c r="G106" s="34">
        <f>IF(COUNT(K106:AG106)=0,"",(P106*8+Q106*7+R106*5+S106*5)/3)</f>
        <v/>
      </c>
      <c r="H106" s="34">
        <f>IF(COUNT(K106:AG106)=0,"",(U106*6+V106*6+W106*4+X106*3+Y106*3+Z106*3)/3)</f>
        <v/>
      </c>
      <c r="I106" s="34">
        <f>IF(COUNT(K106:AG106)=0,"",AB106*3+AC106*2+AD106*2+AE106*1)</f>
        <v/>
      </c>
      <c r="J106" s="34">
        <f>IF(COUNT(K106:AG106)=0,"",(AF106*5+AG106*5)/3)</f>
        <v/>
      </c>
      <c r="K106" s="41" t="n"/>
      <c r="L106" s="41" t="n"/>
      <c r="M106" s="41" t="n"/>
      <c r="N106" s="41" t="n"/>
      <c r="P106" s="41" t="n"/>
      <c r="Q106" s="41" t="n"/>
      <c r="R106" s="41" t="n"/>
      <c r="S106" s="41" t="n"/>
      <c r="U106" s="41" t="n"/>
      <c r="V106" s="41" t="n"/>
      <c r="W106" s="41" t="n"/>
      <c r="X106" s="41" t="n"/>
      <c r="Y106" s="41" t="n"/>
      <c r="Z106" s="41" t="n"/>
      <c r="AB106" s="41" t="n"/>
      <c r="AC106" s="41" t="n"/>
      <c r="AD106" s="41" t="n"/>
      <c r="AE106" s="41" t="n"/>
      <c r="AF106" s="41" t="n"/>
      <c r="AG106" s="41" t="n"/>
    </row>
    <row r="107" ht="14.25" customHeight="1" s="60">
      <c r="E107" s="33">
        <f>IF(COUNT(K107:AG107)=0,"",ROUND((F107+G107+H107+I107+J107)/10,2))</f>
        <v/>
      </c>
      <c r="F107" s="34">
        <f>IF(COUNT(K107:AG107)=0,"",(K107*10+L107*8+M107*7+N107*5)/3)</f>
        <v/>
      </c>
      <c r="G107" s="34">
        <f>IF(COUNT(K107:AG107)=0,"",(P107*8+Q107*7+R107*5+S107*5)/3)</f>
        <v/>
      </c>
      <c r="H107" s="34">
        <f>IF(COUNT(K107:AG107)=0,"",(U107*6+V107*6+W107*4+X107*3+Y107*3+Z107*3)/3)</f>
        <v/>
      </c>
      <c r="I107" s="34">
        <f>IF(COUNT(K107:AG107)=0,"",AB107*3+AC107*2+AD107*2+AE107*1)</f>
        <v/>
      </c>
      <c r="J107" s="34">
        <f>IF(COUNT(K107:AG107)=0,"",(AF107*5+AG107*5)/3)</f>
        <v/>
      </c>
      <c r="K107" s="41" t="n"/>
      <c r="L107" s="41" t="n"/>
      <c r="M107" s="41" t="n"/>
      <c r="N107" s="41" t="n"/>
      <c r="P107" s="41" t="n"/>
      <c r="Q107" s="41" t="n"/>
      <c r="R107" s="41" t="n"/>
      <c r="S107" s="41" t="n"/>
      <c r="U107" s="41" t="n"/>
      <c r="V107" s="41" t="n"/>
      <c r="W107" s="41" t="n"/>
      <c r="X107" s="41" t="n"/>
      <c r="Y107" s="41" t="n"/>
      <c r="Z107" s="41" t="n"/>
      <c r="AB107" s="41" t="n"/>
      <c r="AC107" s="41" t="n"/>
      <c r="AD107" s="41" t="n"/>
      <c r="AE107" s="41" t="n"/>
      <c r="AF107" s="41" t="n"/>
      <c r="AG107" s="41" t="n"/>
    </row>
    <row r="108" ht="14.25" customHeight="1" s="60">
      <c r="E108" s="33">
        <f>IF(COUNT(K108:AG108)=0,"",ROUND((F108+G108+H108+I108+J108)/10,2))</f>
        <v/>
      </c>
      <c r="F108" s="34">
        <f>IF(COUNT(K108:AG108)=0,"",(K108*10+L108*8+M108*7+N108*5)/3)</f>
        <v/>
      </c>
      <c r="G108" s="34">
        <f>IF(COUNT(K108:AG108)=0,"",(P108*8+Q108*7+R108*5+S108*5)/3)</f>
        <v/>
      </c>
      <c r="H108" s="34">
        <f>IF(COUNT(K108:AG108)=0,"",(U108*6+V108*6+W108*4+X108*3+Y108*3+Z108*3)/3)</f>
        <v/>
      </c>
      <c r="I108" s="34">
        <f>IF(COUNT(K108:AG108)=0,"",AB108*3+AC108*2+AD108*2+AE108*1)</f>
        <v/>
      </c>
      <c r="J108" s="34">
        <f>IF(COUNT(K108:AG108)=0,"",(AF108*5+AG108*5)/3)</f>
        <v/>
      </c>
      <c r="K108" s="41" t="n"/>
      <c r="L108" s="41" t="n"/>
      <c r="M108" s="41" t="n"/>
      <c r="N108" s="41" t="n"/>
      <c r="P108" s="41" t="n"/>
      <c r="Q108" s="41" t="n"/>
      <c r="R108" s="41" t="n"/>
      <c r="S108" s="41" t="n"/>
      <c r="U108" s="41" t="n"/>
      <c r="V108" s="41" t="n"/>
      <c r="W108" s="41" t="n"/>
      <c r="X108" s="41" t="n"/>
      <c r="Y108" s="41" t="n"/>
      <c r="Z108" s="41" t="n"/>
      <c r="AB108" s="41" t="n"/>
      <c r="AC108" s="41" t="n"/>
      <c r="AD108" s="41" t="n"/>
      <c r="AE108" s="41" t="n"/>
      <c r="AF108" s="41" t="n"/>
      <c r="AG108" s="41" t="n"/>
    </row>
    <row r="109" ht="14.25" customHeight="1" s="60">
      <c r="E109" s="33">
        <f>IF(COUNT(K109:AG109)=0,"",ROUND((F109+G109+H109+I109+J109)/10,2))</f>
        <v/>
      </c>
      <c r="F109" s="34">
        <f>IF(COUNT(K109:AG109)=0,"",(K109*10+L109*8+M109*7+N109*5)/3)</f>
        <v/>
      </c>
      <c r="G109" s="34">
        <f>IF(COUNT(K109:AG109)=0,"",(P109*8+Q109*7+R109*5+S109*5)/3)</f>
        <v/>
      </c>
      <c r="H109" s="34">
        <f>IF(COUNT(K109:AG109)=0,"",(U109*6+V109*6+W109*4+X109*3+Y109*3+Z109*3)/3)</f>
        <v/>
      </c>
      <c r="I109" s="34">
        <f>IF(COUNT(K109:AG109)=0,"",AB109*3+AC109*2+AD109*2+AE109*1)</f>
        <v/>
      </c>
      <c r="J109" s="34">
        <f>IF(COUNT(K109:AG109)=0,"",(AF109*5+AG109*5)/3)</f>
        <v/>
      </c>
      <c r="K109" s="41" t="n"/>
      <c r="L109" s="41" t="n"/>
      <c r="M109" s="41" t="n"/>
      <c r="N109" s="41" t="n"/>
      <c r="P109" s="41" t="n"/>
      <c r="Q109" s="41" t="n"/>
      <c r="R109" s="41" t="n"/>
      <c r="S109" s="41" t="n"/>
      <c r="U109" s="41" t="n"/>
      <c r="V109" s="41" t="n"/>
      <c r="W109" s="41" t="n"/>
      <c r="X109" s="41" t="n"/>
      <c r="Y109" s="41" t="n"/>
      <c r="Z109" s="41" t="n"/>
      <c r="AB109" s="41" t="n"/>
      <c r="AC109" s="41" t="n"/>
      <c r="AD109" s="41" t="n"/>
      <c r="AE109" s="41" t="n"/>
      <c r="AF109" s="41" t="n"/>
      <c r="AG109" s="41" t="n"/>
    </row>
    <row r="110" ht="14.25" customHeight="1" s="60">
      <c r="E110" s="33">
        <f>IF(COUNT(K110:AG110)=0,"",ROUND((F110+G110+H110+I110+J110)/10,2))</f>
        <v/>
      </c>
      <c r="F110" s="34">
        <f>IF(COUNT(K110:AG110)=0,"",(K110*10+L110*8+M110*7+N110*5)/3)</f>
        <v/>
      </c>
      <c r="G110" s="34">
        <f>IF(COUNT(K110:AG110)=0,"",(P110*8+Q110*7+R110*5+S110*5)/3)</f>
        <v/>
      </c>
      <c r="H110" s="34">
        <f>IF(COUNT(K110:AG110)=0,"",(U110*6+V110*6+W110*4+X110*3+Y110*3+Z110*3)/3)</f>
        <v/>
      </c>
      <c r="I110" s="34">
        <f>IF(COUNT(K110:AG110)=0,"",AB110*3+AC110*2+AD110*2+AE110*1)</f>
        <v/>
      </c>
      <c r="J110" s="34">
        <f>IF(COUNT(K110:AG110)=0,"",(AF110*5+AG110*5)/3)</f>
        <v/>
      </c>
      <c r="K110" s="41" t="n"/>
      <c r="L110" s="41" t="n"/>
      <c r="M110" s="41" t="n"/>
      <c r="N110" s="41" t="n"/>
      <c r="P110" s="41" t="n"/>
      <c r="Q110" s="41" t="n"/>
      <c r="R110" s="41" t="n"/>
      <c r="S110" s="41" t="n"/>
      <c r="U110" s="41" t="n"/>
      <c r="V110" s="41" t="n"/>
      <c r="W110" s="41" t="n"/>
      <c r="X110" s="41" t="n"/>
      <c r="Y110" s="41" t="n"/>
      <c r="Z110" s="41" t="n"/>
      <c r="AB110" s="41" t="n"/>
      <c r="AC110" s="41" t="n"/>
      <c r="AD110" s="41" t="n"/>
      <c r="AE110" s="41" t="n"/>
      <c r="AF110" s="41" t="n"/>
      <c r="AG110" s="41" t="n"/>
    </row>
    <row r="111" ht="14.25" customHeight="1" s="60">
      <c r="E111" s="33">
        <f>IF(COUNT(K111:AG111)=0,"",ROUND((F111+G111+H111+I111+J111)/10,2))</f>
        <v/>
      </c>
      <c r="F111" s="34">
        <f>IF(COUNT(K111:AG111)=0,"",(K111*10+L111*8+M111*7+N111*5)/3)</f>
        <v/>
      </c>
      <c r="G111" s="34">
        <f>IF(COUNT(K111:AG111)=0,"",(P111*8+Q111*7+R111*5+S111*5)/3)</f>
        <v/>
      </c>
      <c r="H111" s="34">
        <f>IF(COUNT(K111:AG111)=0,"",(U111*6+V111*6+W111*4+X111*3+Y111*3+Z111*3)/3)</f>
        <v/>
      </c>
      <c r="I111" s="34">
        <f>IF(COUNT(K111:AG111)=0,"",AB111*3+AC111*2+AD111*2+AE111*1)</f>
        <v/>
      </c>
      <c r="J111" s="34">
        <f>IF(COUNT(K111:AG111)=0,"",(AF111*5+AG111*5)/3)</f>
        <v/>
      </c>
      <c r="K111" s="41" t="n"/>
      <c r="L111" s="41" t="n"/>
      <c r="M111" s="41" t="n"/>
      <c r="N111" s="41" t="n"/>
      <c r="P111" s="41" t="n"/>
      <c r="Q111" s="41" t="n"/>
      <c r="R111" s="41" t="n"/>
      <c r="S111" s="41" t="n"/>
      <c r="U111" s="41" t="n"/>
      <c r="V111" s="41" t="n"/>
      <c r="W111" s="41" t="n"/>
      <c r="X111" s="41" t="n"/>
      <c r="Y111" s="41" t="n"/>
      <c r="Z111" s="41" t="n"/>
      <c r="AB111" s="41" t="n"/>
      <c r="AC111" s="41" t="n"/>
      <c r="AD111" s="41" t="n"/>
      <c r="AE111" s="41" t="n"/>
      <c r="AF111" s="41" t="n"/>
      <c r="AG111" s="41" t="n"/>
    </row>
    <row r="112" ht="14.25" customHeight="1" s="60">
      <c r="E112" s="33">
        <f>IF(COUNT(K112:AG112)=0,"",ROUND((F112+G112+H112+I112+J112)/10,2))</f>
        <v/>
      </c>
      <c r="F112" s="34">
        <f>IF(COUNT(K112:AG112)=0,"",(K112*10+L112*8+M112*7+N112*5)/3)</f>
        <v/>
      </c>
      <c r="G112" s="34">
        <f>IF(COUNT(K112:AG112)=0,"",(P112*8+Q112*7+R112*5+S112*5)/3)</f>
        <v/>
      </c>
      <c r="H112" s="34">
        <f>IF(COUNT(K112:AG112)=0,"",(U112*6+V112*6+W112*4+X112*3+Y112*3+Z112*3)/3)</f>
        <v/>
      </c>
      <c r="I112" s="34">
        <f>IF(COUNT(K112:AG112)=0,"",AB112*3+AC112*2+AD112*2+AE112*1)</f>
        <v/>
      </c>
      <c r="J112" s="34">
        <f>IF(COUNT(K112:AG112)=0,"",(AF112*5+AG112*5)/3)</f>
        <v/>
      </c>
      <c r="K112" s="41" t="n"/>
      <c r="L112" s="41" t="n"/>
      <c r="M112" s="41" t="n"/>
      <c r="N112" s="41" t="n"/>
      <c r="P112" s="41" t="n"/>
      <c r="Q112" s="41" t="n"/>
      <c r="R112" s="41" t="n"/>
      <c r="S112" s="41" t="n"/>
      <c r="U112" s="41" t="n"/>
      <c r="V112" s="41" t="n"/>
      <c r="W112" s="41" t="n"/>
      <c r="X112" s="41" t="n"/>
      <c r="Y112" s="41" t="n"/>
      <c r="Z112" s="41" t="n"/>
      <c r="AB112" s="41" t="n"/>
      <c r="AC112" s="41" t="n"/>
      <c r="AD112" s="41" t="n"/>
      <c r="AE112" s="41" t="n"/>
      <c r="AF112" s="41" t="n"/>
      <c r="AG112" s="41" t="n"/>
    </row>
    <row r="113" ht="14.25" customHeight="1" s="60">
      <c r="E113" s="33">
        <f>IF(COUNT(K113:AG113)=0,"",ROUND((F113+G113+H113+I113+J113)/10,2))</f>
        <v/>
      </c>
      <c r="F113" s="34">
        <f>IF(COUNT(K113:AG113)=0,"",(K113*10+L113*8+M113*7+N113*5)/3)</f>
        <v/>
      </c>
      <c r="G113" s="34">
        <f>IF(COUNT(K113:AG113)=0,"",(P113*8+Q113*7+R113*5+S113*5)/3)</f>
        <v/>
      </c>
      <c r="H113" s="34">
        <f>IF(COUNT(K113:AG113)=0,"",(U113*6+V113*6+W113*4+X113*3+Y113*3+Z113*3)/3)</f>
        <v/>
      </c>
      <c r="I113" s="34">
        <f>IF(COUNT(K113:AG113)=0,"",AB113*3+AC113*2+AD113*2+AE113*1)</f>
        <v/>
      </c>
      <c r="J113" s="34">
        <f>IF(COUNT(K113:AG113)=0,"",(AF113*5+AG113*5)/3)</f>
        <v/>
      </c>
      <c r="K113" s="41" t="n"/>
      <c r="L113" s="41" t="n"/>
      <c r="M113" s="41" t="n"/>
      <c r="N113" s="41" t="n"/>
      <c r="P113" s="41" t="n"/>
      <c r="Q113" s="41" t="n"/>
      <c r="R113" s="41" t="n"/>
      <c r="S113" s="41" t="n"/>
      <c r="U113" s="41" t="n"/>
      <c r="V113" s="41" t="n"/>
      <c r="W113" s="41" t="n"/>
      <c r="X113" s="41" t="n"/>
      <c r="Y113" s="41" t="n"/>
      <c r="Z113" s="41" t="n"/>
      <c r="AB113" s="41" t="n"/>
      <c r="AC113" s="41" t="n"/>
      <c r="AD113" s="41" t="n"/>
      <c r="AE113" s="41" t="n"/>
      <c r="AF113" s="41" t="n"/>
      <c r="AG113" s="41" t="n"/>
    </row>
    <row r="114" ht="14.25" customHeight="1" s="60">
      <c r="E114" s="33">
        <f>IF(COUNT(K114:AG114)=0,"",ROUND((F114+G114+H114+I114+J114)/10,2))</f>
        <v/>
      </c>
      <c r="F114" s="34">
        <f>IF(COUNT(K114:AG114)=0,"",(K114*10+L114*8+M114*7+N114*5)/3)</f>
        <v/>
      </c>
      <c r="G114" s="34">
        <f>IF(COUNT(K114:AG114)=0,"",(P114*8+Q114*7+R114*5+S114*5)/3)</f>
        <v/>
      </c>
      <c r="H114" s="34">
        <f>IF(COUNT(K114:AG114)=0,"",(U114*6+V114*6+W114*4+X114*3+Y114*3+Z114*3)/3)</f>
        <v/>
      </c>
      <c r="I114" s="34">
        <f>IF(COUNT(K114:AG114)=0,"",AB114*3+AC114*2+AD114*2+AE114*1)</f>
        <v/>
      </c>
      <c r="J114" s="34">
        <f>IF(COUNT(K114:AG114)=0,"",(AF114*5+AG114*5)/3)</f>
        <v/>
      </c>
      <c r="K114" s="41" t="n"/>
      <c r="L114" s="41" t="n"/>
      <c r="M114" s="41" t="n"/>
      <c r="N114" s="41" t="n"/>
      <c r="P114" s="41" t="n"/>
      <c r="Q114" s="41" t="n"/>
      <c r="R114" s="41" t="n"/>
      <c r="S114" s="41" t="n"/>
      <c r="U114" s="41" t="n"/>
      <c r="V114" s="41" t="n"/>
      <c r="W114" s="41" t="n"/>
      <c r="X114" s="41" t="n"/>
      <c r="Y114" s="41" t="n"/>
      <c r="Z114" s="41" t="n"/>
      <c r="AB114" s="41" t="n"/>
      <c r="AC114" s="41" t="n"/>
      <c r="AD114" s="41" t="n"/>
      <c r="AE114" s="41" t="n"/>
      <c r="AF114" s="41" t="n"/>
      <c r="AG114" s="41" t="n"/>
    </row>
    <row r="115" ht="14.25" customHeight="1" s="60">
      <c r="E115" s="33">
        <f>IF(COUNT(K115:AG115)=0,"",ROUND((F115+G115+H115+I115+J115)/10,2))</f>
        <v/>
      </c>
      <c r="F115" s="34">
        <f>IF(COUNT(K115:AG115)=0,"",(K115*10+L115*8+M115*7+N115*5)/3)</f>
        <v/>
      </c>
      <c r="G115" s="34">
        <f>IF(COUNT(K115:AG115)=0,"",(P115*8+Q115*7+R115*5+S115*5)/3)</f>
        <v/>
      </c>
      <c r="H115" s="34">
        <f>IF(COUNT(K115:AG115)=0,"",(U115*6+V115*6+W115*4+X115*3+Y115*3+Z115*3)/3)</f>
        <v/>
      </c>
      <c r="I115" s="34">
        <f>IF(COUNT(K115:AG115)=0,"",AB115*3+AC115*2+AD115*2+AE115*1)</f>
        <v/>
      </c>
      <c r="J115" s="34">
        <f>IF(COUNT(K115:AG115)=0,"",(AF115*5+AG115*5)/3)</f>
        <v/>
      </c>
      <c r="K115" s="41" t="n"/>
      <c r="L115" s="41" t="n"/>
      <c r="M115" s="41" t="n"/>
      <c r="N115" s="41" t="n"/>
      <c r="P115" s="41" t="n"/>
      <c r="Q115" s="41" t="n"/>
      <c r="R115" s="41" t="n"/>
      <c r="S115" s="41" t="n"/>
      <c r="U115" s="41" t="n"/>
      <c r="V115" s="41" t="n"/>
      <c r="W115" s="41" t="n"/>
      <c r="X115" s="41" t="n"/>
      <c r="Y115" s="41" t="n"/>
      <c r="Z115" s="41" t="n"/>
      <c r="AB115" s="41" t="n"/>
      <c r="AC115" s="41" t="n"/>
      <c r="AD115" s="41" t="n"/>
      <c r="AE115" s="41" t="n"/>
      <c r="AF115" s="41" t="n"/>
      <c r="AG115" s="41" t="n"/>
    </row>
    <row r="116" ht="14.25" customHeight="1" s="60">
      <c r="E116" s="33">
        <f>IF(COUNT(K116:AG116)=0,"",ROUND((F116+G116+H116+I116+J116)/10,2))</f>
        <v/>
      </c>
      <c r="F116" s="34">
        <f>IF(COUNT(K116:AG116)=0,"",(K116*10+L116*8+M116*7+N116*5)/3)</f>
        <v/>
      </c>
      <c r="G116" s="34">
        <f>IF(COUNT(K116:AG116)=0,"",(P116*8+Q116*7+R116*5+S116*5)/3)</f>
        <v/>
      </c>
      <c r="H116" s="34">
        <f>IF(COUNT(K116:AG116)=0,"",(U116*6+V116*6+W116*4+X116*3+Y116*3+Z116*3)/3)</f>
        <v/>
      </c>
      <c r="I116" s="34">
        <f>IF(COUNT(K116:AG116)=0,"",AB116*3+AC116*2+AD116*2+AE116*1)</f>
        <v/>
      </c>
      <c r="J116" s="34">
        <f>IF(COUNT(K116:AG116)=0,"",(AF116*5+AG116*5)/3)</f>
        <v/>
      </c>
      <c r="K116" s="41" t="n"/>
      <c r="L116" s="41" t="n"/>
      <c r="M116" s="41" t="n"/>
      <c r="N116" s="41" t="n"/>
      <c r="P116" s="41" t="n"/>
      <c r="Q116" s="41" t="n"/>
      <c r="R116" s="41" t="n"/>
      <c r="S116" s="41" t="n"/>
      <c r="U116" s="41" t="n"/>
      <c r="V116" s="41" t="n"/>
      <c r="W116" s="41" t="n"/>
      <c r="X116" s="41" t="n"/>
      <c r="Y116" s="41" t="n"/>
      <c r="Z116" s="41" t="n"/>
      <c r="AB116" s="41" t="n"/>
      <c r="AC116" s="41" t="n"/>
      <c r="AD116" s="41" t="n"/>
      <c r="AE116" s="41" t="n"/>
      <c r="AF116" s="41" t="n"/>
      <c r="AG116" s="41" t="n"/>
    </row>
    <row r="117" ht="14.25" customHeight="1" s="60">
      <c r="E117" s="33">
        <f>IF(COUNT(K117:AG117)=0,"",ROUND((F117+G117+H117+I117+J117)/10,2))</f>
        <v/>
      </c>
      <c r="F117" s="34">
        <f>IF(COUNT(K117:AG117)=0,"",(K117*10+L117*8+M117*7+N117*5)/3)</f>
        <v/>
      </c>
      <c r="G117" s="34">
        <f>IF(COUNT(K117:AG117)=0,"",(P117*8+Q117*7+R117*5+S117*5)/3)</f>
        <v/>
      </c>
      <c r="H117" s="34">
        <f>IF(COUNT(K117:AG117)=0,"",(U117*6+V117*6+W117*4+X117*3+Y117*3+Z117*3)/3)</f>
        <v/>
      </c>
      <c r="I117" s="34">
        <f>IF(COUNT(K117:AG117)=0,"",AB117*3+AC117*2+AD117*2+AE117*1)</f>
        <v/>
      </c>
      <c r="J117" s="34">
        <f>IF(COUNT(K117:AG117)=0,"",(AF117*5+AG117*5)/3)</f>
        <v/>
      </c>
      <c r="K117" s="41" t="n"/>
      <c r="L117" s="41" t="n"/>
      <c r="M117" s="41" t="n"/>
      <c r="N117" s="41" t="n"/>
      <c r="P117" s="41" t="n"/>
      <c r="Q117" s="41" t="n"/>
      <c r="R117" s="41" t="n"/>
      <c r="S117" s="41" t="n"/>
      <c r="U117" s="41" t="n"/>
      <c r="V117" s="41" t="n"/>
      <c r="W117" s="41" t="n"/>
      <c r="X117" s="41" t="n"/>
      <c r="Y117" s="41" t="n"/>
      <c r="Z117" s="41" t="n"/>
      <c r="AB117" s="41" t="n"/>
      <c r="AC117" s="41" t="n"/>
      <c r="AD117" s="41" t="n"/>
      <c r="AE117" s="41" t="n"/>
      <c r="AF117" s="41" t="n"/>
      <c r="AG117" s="41" t="n"/>
    </row>
    <row r="118" ht="14.25" customHeight="1" s="60">
      <c r="E118" s="33">
        <f>IF(COUNT(K118:AG118)=0,"",ROUND((F118+G118+H118+I118+J118)/10,2))</f>
        <v/>
      </c>
      <c r="F118" s="34">
        <f>IF(COUNT(K118:AG118)=0,"",(K118*10+L118*8+M118*7+N118*5)/3)</f>
        <v/>
      </c>
      <c r="G118" s="34">
        <f>IF(COUNT(K118:AG118)=0,"",(P118*8+Q118*7+R118*5+S118*5)/3)</f>
        <v/>
      </c>
      <c r="H118" s="34">
        <f>IF(COUNT(K118:AG118)=0,"",(U118*6+V118*6+W118*4+X118*3+Y118*3+Z118*3)/3)</f>
        <v/>
      </c>
      <c r="I118" s="34">
        <f>IF(COUNT(K118:AG118)=0,"",AB118*3+AC118*2+AD118*2+AE118*1)</f>
        <v/>
      </c>
      <c r="J118" s="34">
        <f>IF(COUNT(K118:AG118)=0,"",(AF118*5+AG118*5)/3)</f>
        <v/>
      </c>
      <c r="K118" s="41" t="n"/>
      <c r="L118" s="41" t="n"/>
      <c r="M118" s="41" t="n"/>
      <c r="N118" s="41" t="n"/>
      <c r="P118" s="41" t="n"/>
      <c r="Q118" s="41" t="n"/>
      <c r="R118" s="41" t="n"/>
      <c r="S118" s="41" t="n"/>
      <c r="U118" s="41" t="n"/>
      <c r="V118" s="41" t="n"/>
      <c r="W118" s="41" t="n"/>
      <c r="X118" s="41" t="n"/>
      <c r="Y118" s="41" t="n"/>
      <c r="Z118" s="41" t="n"/>
      <c r="AB118" s="41" t="n"/>
      <c r="AC118" s="41" t="n"/>
      <c r="AD118" s="41" t="n"/>
      <c r="AE118" s="41" t="n"/>
      <c r="AF118" s="41" t="n"/>
      <c r="AG118" s="41" t="n"/>
    </row>
    <row r="119" ht="14.25" customHeight="1" s="60">
      <c r="E119" s="33">
        <f>IF(COUNT(K119:AG119)=0,"",ROUND((F119+G119+H119+I119+J119)/10,2))</f>
        <v/>
      </c>
      <c r="F119" s="34">
        <f>IF(COUNT(K119:AG119)=0,"",(K119*10+L119*8+M119*7+N119*5)/3)</f>
        <v/>
      </c>
      <c r="G119" s="34">
        <f>IF(COUNT(K119:AG119)=0,"",(P119*8+Q119*7+R119*5+S119*5)/3)</f>
        <v/>
      </c>
      <c r="H119" s="34">
        <f>IF(COUNT(K119:AG119)=0,"",(U119*6+V119*6+W119*4+X119*3+Y119*3+Z119*3)/3)</f>
        <v/>
      </c>
      <c r="I119" s="34">
        <f>IF(COUNT(K119:AG119)=0,"",AB119*3+AC119*2+AD119*2+AE119*1)</f>
        <v/>
      </c>
      <c r="J119" s="34">
        <f>IF(COUNT(K119:AG119)=0,"",(AF119*5+AG119*5)/3)</f>
        <v/>
      </c>
      <c r="K119" s="41" t="n"/>
      <c r="L119" s="41" t="n"/>
      <c r="M119" s="41" t="n"/>
      <c r="N119" s="41" t="n"/>
      <c r="P119" s="41" t="n"/>
      <c r="Q119" s="41" t="n"/>
      <c r="R119" s="41" t="n"/>
      <c r="S119" s="41" t="n"/>
      <c r="U119" s="41" t="n"/>
      <c r="V119" s="41" t="n"/>
      <c r="W119" s="41" t="n"/>
      <c r="X119" s="41" t="n"/>
      <c r="Y119" s="41" t="n"/>
      <c r="Z119" s="41" t="n"/>
      <c r="AB119" s="41" t="n"/>
      <c r="AC119" s="41" t="n"/>
      <c r="AD119" s="41" t="n"/>
      <c r="AE119" s="41" t="n"/>
      <c r="AF119" s="41" t="n"/>
      <c r="AG119" s="41" t="n"/>
    </row>
    <row r="120" ht="14.25" customHeight="1" s="60">
      <c r="E120" s="33">
        <f>IF(COUNT(K120:AG120)=0,"",ROUND((F120+G120+H120+I120+J120)/10,2))</f>
        <v/>
      </c>
      <c r="F120" s="34">
        <f>IF(COUNT(K120:AG120)=0,"",(K120*10+L120*8+M120*7+N120*5)/3)</f>
        <v/>
      </c>
      <c r="G120" s="34">
        <f>IF(COUNT(K120:AG120)=0,"",(P120*8+Q120*7+R120*5+S120*5)/3)</f>
        <v/>
      </c>
      <c r="H120" s="34">
        <f>IF(COUNT(K120:AG120)=0,"",(U120*6+V120*6+W120*4+X120*3+Y120*3+Z120*3)/3)</f>
        <v/>
      </c>
      <c r="I120" s="34">
        <f>IF(COUNT(K120:AG120)=0,"",AB120*3+AC120*2+AD120*2+AE120*1)</f>
        <v/>
      </c>
      <c r="J120" s="34">
        <f>IF(COUNT(K120:AG120)=0,"",(AF120*5+AG120*5)/3)</f>
        <v/>
      </c>
      <c r="K120" s="41" t="n"/>
      <c r="L120" s="41" t="n"/>
      <c r="M120" s="41" t="n"/>
      <c r="N120" s="41" t="n"/>
      <c r="P120" s="41" t="n"/>
      <c r="Q120" s="41" t="n"/>
      <c r="R120" s="41" t="n"/>
      <c r="S120" s="41" t="n"/>
      <c r="U120" s="41" t="n"/>
      <c r="V120" s="41" t="n"/>
      <c r="W120" s="41" t="n"/>
      <c r="X120" s="41" t="n"/>
      <c r="Y120" s="41" t="n"/>
      <c r="Z120" s="41" t="n"/>
      <c r="AB120" s="41" t="n"/>
      <c r="AC120" s="41" t="n"/>
      <c r="AD120" s="41" t="n"/>
      <c r="AE120" s="41" t="n"/>
      <c r="AF120" s="41" t="n"/>
      <c r="AG120" s="41" t="n"/>
    </row>
    <row r="121" ht="14.25" customHeight="1" s="60">
      <c r="E121" s="33">
        <f>IF(COUNT(K121:AG121)=0,"",ROUND((F121+G121+H121+I121+J121)/10,2))</f>
        <v/>
      </c>
      <c r="F121" s="34">
        <f>IF(COUNT(K121:AG121)=0,"",(K121*10+L121*8+M121*7+N121*5)/3)</f>
        <v/>
      </c>
      <c r="G121" s="34">
        <f>IF(COUNT(K121:AG121)=0,"",(P121*8+Q121*7+R121*5+S121*5)/3)</f>
        <v/>
      </c>
      <c r="H121" s="34">
        <f>IF(COUNT(K121:AG121)=0,"",(U121*6+V121*6+W121*4+X121*3+Y121*3+Z121*3)/3)</f>
        <v/>
      </c>
      <c r="I121" s="34">
        <f>IF(COUNT(K121:AG121)=0,"",AB121*3+AC121*2+AD121*2+AE121*1)</f>
        <v/>
      </c>
      <c r="J121" s="34">
        <f>IF(COUNT(K121:AG121)=0,"",(AF121*5+AG121*5)/3)</f>
        <v/>
      </c>
      <c r="K121" s="41" t="n"/>
      <c r="L121" s="41" t="n"/>
      <c r="M121" s="41" t="n"/>
      <c r="N121" s="41" t="n"/>
      <c r="P121" s="41" t="n"/>
      <c r="Q121" s="41" t="n"/>
      <c r="R121" s="41" t="n"/>
      <c r="S121" s="41" t="n"/>
      <c r="U121" s="41" t="n"/>
      <c r="V121" s="41" t="n"/>
      <c r="W121" s="41" t="n"/>
      <c r="X121" s="41" t="n"/>
      <c r="Y121" s="41" t="n"/>
      <c r="Z121" s="41" t="n"/>
      <c r="AB121" s="41" t="n"/>
      <c r="AC121" s="41" t="n"/>
      <c r="AD121" s="41" t="n"/>
      <c r="AE121" s="41" t="n"/>
      <c r="AF121" s="41" t="n"/>
      <c r="AG121" s="41" t="n"/>
    </row>
    <row r="122" ht="14.25" customHeight="1" s="60">
      <c r="E122" s="33">
        <f>IF(COUNT(K122:AG122)=0,"",ROUND((F122+G122+H122+I122+J122)/10,2))</f>
        <v/>
      </c>
      <c r="F122" s="34">
        <f>IF(COUNT(K122:AG122)=0,"",(K122*10+L122*8+M122*7+N122*5)/3)</f>
        <v/>
      </c>
      <c r="G122" s="34">
        <f>IF(COUNT(K122:AG122)=0,"",(P122*8+Q122*7+R122*5+S122*5)/3)</f>
        <v/>
      </c>
      <c r="H122" s="34">
        <f>IF(COUNT(K122:AG122)=0,"",(U122*6+V122*6+W122*4+X122*3+Y122*3+Z122*3)/3)</f>
        <v/>
      </c>
      <c r="I122" s="34">
        <f>IF(COUNT(K122:AG122)=0,"",AB122*3+AC122*2+AD122*2+AE122*1)</f>
        <v/>
      </c>
      <c r="J122" s="34">
        <f>IF(COUNT(K122:AG122)=0,"",(AF122*5+AG122*5)/3)</f>
        <v/>
      </c>
      <c r="K122" s="41" t="n"/>
      <c r="L122" s="41" t="n"/>
      <c r="M122" s="41" t="n"/>
      <c r="N122" s="41" t="n"/>
      <c r="P122" s="41" t="n"/>
      <c r="Q122" s="41" t="n"/>
      <c r="R122" s="41" t="n"/>
      <c r="S122" s="41" t="n"/>
      <c r="U122" s="41" t="n"/>
      <c r="V122" s="41" t="n"/>
      <c r="W122" s="41" t="n"/>
      <c r="X122" s="41" t="n"/>
      <c r="Y122" s="41" t="n"/>
      <c r="Z122" s="41" t="n"/>
      <c r="AB122" s="41" t="n"/>
      <c r="AC122" s="41" t="n"/>
      <c r="AD122" s="41" t="n"/>
      <c r="AE122" s="41" t="n"/>
      <c r="AF122" s="41" t="n"/>
      <c r="AG122" s="41" t="n"/>
    </row>
    <row r="123" ht="14.25" customHeight="1" s="60">
      <c r="E123" s="33">
        <f>IF(COUNT(K123:AG123)=0,"",ROUND((F123+G123+H123+I123+J123)/10,2))</f>
        <v/>
      </c>
      <c r="F123" s="34">
        <f>IF(COUNT(K123:AG123)=0,"",(K123*10+L123*8+M123*7+N123*5)/3)</f>
        <v/>
      </c>
      <c r="G123" s="34">
        <f>IF(COUNT(K123:AG123)=0,"",(P123*8+Q123*7+R123*5+S123*5)/3)</f>
        <v/>
      </c>
      <c r="H123" s="34">
        <f>IF(COUNT(K123:AG123)=0,"",(U123*6+V123*6+W123*4+X123*3+Y123*3+Z123*3)/3)</f>
        <v/>
      </c>
      <c r="I123" s="34">
        <f>IF(COUNT(K123:AG123)=0,"",AB123*3+AC123*2+AD123*2+AE123*1)</f>
        <v/>
      </c>
      <c r="J123" s="34">
        <f>IF(COUNT(K123:AG123)=0,"",(AF123*5+AG123*5)/3)</f>
        <v/>
      </c>
      <c r="K123" s="41" t="n"/>
      <c r="L123" s="41" t="n"/>
      <c r="M123" s="41" t="n"/>
      <c r="N123" s="41" t="n"/>
      <c r="P123" s="41" t="n"/>
      <c r="Q123" s="41" t="n"/>
      <c r="R123" s="41" t="n"/>
      <c r="S123" s="41" t="n"/>
      <c r="U123" s="41" t="n"/>
      <c r="V123" s="41" t="n"/>
      <c r="W123" s="41" t="n"/>
      <c r="X123" s="41" t="n"/>
      <c r="Y123" s="41" t="n"/>
      <c r="Z123" s="41" t="n"/>
      <c r="AB123" s="41" t="n"/>
      <c r="AC123" s="41" t="n"/>
      <c r="AD123" s="41" t="n"/>
      <c r="AE123" s="41" t="n"/>
      <c r="AF123" s="41" t="n"/>
      <c r="AG123" s="41" t="n"/>
    </row>
    <row r="124" ht="14.25" customHeight="1" s="60">
      <c r="E124" s="33">
        <f>IF(COUNT(K124:AG124)=0,"",ROUND((F124+G124+H124+I124+J124)/10,2))</f>
        <v/>
      </c>
      <c r="F124" s="34">
        <f>IF(COUNT(K124:AG124)=0,"",(K124*10+L124*8+M124*7+N124*5)/3)</f>
        <v/>
      </c>
      <c r="G124" s="34">
        <f>IF(COUNT(K124:AG124)=0,"",(P124*8+Q124*7+R124*5+S124*5)/3)</f>
        <v/>
      </c>
      <c r="H124" s="34">
        <f>IF(COUNT(K124:AG124)=0,"",(U124*6+V124*6+W124*4+X124*3+Y124*3+Z124*3)/3)</f>
        <v/>
      </c>
      <c r="I124" s="34">
        <f>IF(COUNT(K124:AG124)=0,"",AB124*3+AC124*2+AD124*2+AE124*1)</f>
        <v/>
      </c>
      <c r="J124" s="34">
        <f>IF(COUNT(K124:AG124)=0,"",(AF124*5+AG124*5)/3)</f>
        <v/>
      </c>
      <c r="K124" s="41" t="n"/>
      <c r="L124" s="41" t="n"/>
      <c r="M124" s="41" t="n"/>
      <c r="N124" s="41" t="n"/>
      <c r="P124" s="41" t="n"/>
      <c r="Q124" s="41" t="n"/>
      <c r="R124" s="41" t="n"/>
      <c r="S124" s="41" t="n"/>
      <c r="U124" s="41" t="n"/>
      <c r="V124" s="41" t="n"/>
      <c r="W124" s="41" t="n"/>
      <c r="X124" s="41" t="n"/>
      <c r="Y124" s="41" t="n"/>
      <c r="Z124" s="41" t="n"/>
      <c r="AB124" s="41" t="n"/>
      <c r="AC124" s="41" t="n"/>
      <c r="AD124" s="41" t="n"/>
      <c r="AE124" s="41" t="n"/>
      <c r="AF124" s="41" t="n"/>
      <c r="AG124" s="41" t="n"/>
    </row>
    <row r="125" ht="14.25" customHeight="1" s="60">
      <c r="E125" s="33">
        <f>IF(COUNT(K125:AG125)=0,"",ROUND((F125+G125+H125+I125+J125)/10,2))</f>
        <v/>
      </c>
      <c r="F125" s="34">
        <f>IF(COUNT(K125:AG125)=0,"",(K125*10+L125*8+M125*7+N125*5)/3)</f>
        <v/>
      </c>
      <c r="G125" s="34">
        <f>IF(COUNT(K125:AG125)=0,"",(P125*8+Q125*7+R125*5+S125*5)/3)</f>
        <v/>
      </c>
      <c r="H125" s="34">
        <f>IF(COUNT(K125:AG125)=0,"",(U125*6+V125*6+W125*4+X125*3+Y125*3+Z125*3)/3)</f>
        <v/>
      </c>
      <c r="I125" s="34">
        <f>IF(COUNT(K125:AG125)=0,"",AB125*3+AC125*2+AD125*2+AE125*1)</f>
        <v/>
      </c>
      <c r="J125" s="34">
        <f>IF(COUNT(K125:AG125)=0,"",(AF125*5+AG125*5)/3)</f>
        <v/>
      </c>
      <c r="K125" s="41" t="n"/>
      <c r="L125" s="41" t="n"/>
      <c r="M125" s="41" t="n"/>
      <c r="N125" s="41" t="n"/>
      <c r="P125" s="41" t="n"/>
      <c r="Q125" s="41" t="n"/>
      <c r="R125" s="41" t="n"/>
      <c r="S125" s="41" t="n"/>
      <c r="U125" s="41" t="n"/>
      <c r="V125" s="41" t="n"/>
      <c r="W125" s="41" t="n"/>
      <c r="X125" s="41" t="n"/>
      <c r="Y125" s="41" t="n"/>
      <c r="Z125" s="41" t="n"/>
      <c r="AB125" s="41" t="n"/>
      <c r="AC125" s="41" t="n"/>
      <c r="AD125" s="41" t="n"/>
      <c r="AE125" s="41" t="n"/>
      <c r="AF125" s="41" t="n"/>
      <c r="AG125" s="41" t="n"/>
    </row>
    <row r="126" ht="14.25" customHeight="1" s="60">
      <c r="E126" s="33">
        <f>IF(COUNT(K126:AG126)=0,"",ROUND((F126+G126+H126+I126+J126)/10,2))</f>
        <v/>
      </c>
      <c r="F126" s="34">
        <f>IF(COUNT(K126:AG126)=0,"",(K126*10+L126*8+M126*7+N126*5)/3)</f>
        <v/>
      </c>
      <c r="G126" s="34">
        <f>IF(COUNT(K126:AG126)=0,"",(P126*8+Q126*7+R126*5+S126*5)/3)</f>
        <v/>
      </c>
      <c r="H126" s="34">
        <f>IF(COUNT(K126:AG126)=0,"",(U126*6+V126*6+W126*4+X126*3+Y126*3+Z126*3)/3)</f>
        <v/>
      </c>
      <c r="I126" s="34">
        <f>IF(COUNT(K126:AG126)=0,"",AB126*3+AC126*2+AD126*2+AE126*1)</f>
        <v/>
      </c>
      <c r="J126" s="34">
        <f>IF(COUNT(K126:AG126)=0,"",(AF126*5+AG126*5)/3)</f>
        <v/>
      </c>
      <c r="K126" s="41" t="n"/>
      <c r="L126" s="41" t="n"/>
      <c r="M126" s="41" t="n"/>
      <c r="N126" s="41" t="n"/>
      <c r="P126" s="41" t="n"/>
      <c r="Q126" s="41" t="n"/>
      <c r="R126" s="41" t="n"/>
      <c r="S126" s="41" t="n"/>
      <c r="U126" s="41" t="n"/>
      <c r="V126" s="41" t="n"/>
      <c r="W126" s="41" t="n"/>
      <c r="X126" s="41" t="n"/>
      <c r="Y126" s="41" t="n"/>
      <c r="Z126" s="41" t="n"/>
      <c r="AB126" s="41" t="n"/>
      <c r="AC126" s="41" t="n"/>
      <c r="AD126" s="41" t="n"/>
      <c r="AE126" s="41" t="n"/>
      <c r="AF126" s="41" t="n"/>
      <c r="AG126" s="41" t="n"/>
    </row>
    <row r="127" ht="14.25" customHeight="1" s="60">
      <c r="E127" s="33">
        <f>IF(COUNT(K127:AG127)=0,"",ROUND((F127+G127+H127+I127+J127)/10,2))</f>
        <v/>
      </c>
      <c r="F127" s="34">
        <f>IF(COUNT(K127:AG127)=0,"",(K127*10+L127*8+M127*7+N127*5)/3)</f>
        <v/>
      </c>
      <c r="G127" s="34">
        <f>IF(COUNT(K127:AG127)=0,"",(P127*8+Q127*7+R127*5+S127*5)/3)</f>
        <v/>
      </c>
      <c r="H127" s="34">
        <f>IF(COUNT(K127:AG127)=0,"",(U127*6+V127*6+W127*4+X127*3+Y127*3+Z127*3)/3)</f>
        <v/>
      </c>
      <c r="I127" s="34">
        <f>IF(COUNT(K127:AG127)=0,"",AB127*3+AC127*2+AD127*2+AE127*1)</f>
        <v/>
      </c>
      <c r="J127" s="34">
        <f>IF(COUNT(K127:AG127)=0,"",(AF127*5+AG127*5)/3)</f>
        <v/>
      </c>
      <c r="K127" s="41" t="n"/>
      <c r="L127" s="41" t="n"/>
      <c r="M127" s="41" t="n"/>
      <c r="N127" s="41" t="n"/>
      <c r="P127" s="41" t="n"/>
      <c r="Q127" s="41" t="n"/>
      <c r="R127" s="41" t="n"/>
      <c r="S127" s="41" t="n"/>
      <c r="U127" s="41" t="n"/>
      <c r="V127" s="41" t="n"/>
      <c r="W127" s="41" t="n"/>
      <c r="X127" s="41" t="n"/>
      <c r="Y127" s="41" t="n"/>
      <c r="Z127" s="41" t="n"/>
      <c r="AB127" s="41" t="n"/>
      <c r="AC127" s="41" t="n"/>
      <c r="AD127" s="41" t="n"/>
      <c r="AE127" s="41" t="n"/>
      <c r="AF127" s="41" t="n"/>
      <c r="AG127" s="41" t="n"/>
    </row>
    <row r="128" ht="14.25" customHeight="1" s="60">
      <c r="E128" s="33">
        <f>IF(COUNT(K128:AG128)=0,"",ROUND((F128+G128+H128+I128+J128)/10,2))</f>
        <v/>
      </c>
      <c r="F128" s="34">
        <f>IF(COUNT(K128:AG128)=0,"",(K128*10+L128*8+M128*7+N128*5)/3)</f>
        <v/>
      </c>
      <c r="G128" s="34">
        <f>IF(COUNT(K128:AG128)=0,"",(P128*8+Q128*7+R128*5+S128*5)/3)</f>
        <v/>
      </c>
      <c r="H128" s="34">
        <f>IF(COUNT(K128:AG128)=0,"",(U128*6+V128*6+W128*4+X128*3+Y128*3+Z128*3)/3)</f>
        <v/>
      </c>
      <c r="I128" s="34">
        <f>IF(COUNT(K128:AG128)=0,"",AB128*3+AC128*2+AD128*2+AE128*1)</f>
        <v/>
      </c>
      <c r="J128" s="34">
        <f>IF(COUNT(K128:AG128)=0,"",(AF128*5+AG128*5)/3)</f>
        <v/>
      </c>
      <c r="K128" s="41" t="n"/>
      <c r="L128" s="41" t="n"/>
      <c r="M128" s="41" t="n"/>
      <c r="N128" s="41" t="n"/>
      <c r="P128" s="41" t="n"/>
      <c r="Q128" s="41" t="n"/>
      <c r="R128" s="41" t="n"/>
      <c r="S128" s="41" t="n"/>
      <c r="U128" s="41" t="n"/>
      <c r="V128" s="41" t="n"/>
      <c r="W128" s="41" t="n"/>
      <c r="X128" s="41" t="n"/>
      <c r="Y128" s="41" t="n"/>
      <c r="Z128" s="41" t="n"/>
      <c r="AB128" s="41" t="n"/>
      <c r="AC128" s="41" t="n"/>
      <c r="AD128" s="41" t="n"/>
      <c r="AE128" s="41" t="n"/>
      <c r="AF128" s="41" t="n"/>
      <c r="AG128" s="41" t="n"/>
    </row>
    <row r="129" ht="14.25" customHeight="1" s="60">
      <c r="E129" s="33">
        <f>IF(COUNT(K129:AG129)=0,"",ROUND((F129+G129+H129+I129+J129)/10,2))</f>
        <v/>
      </c>
      <c r="F129" s="34">
        <f>IF(COUNT(K129:AG129)=0,"",(K129*10+L129*8+M129*7+N129*5)/3)</f>
        <v/>
      </c>
      <c r="G129" s="34">
        <f>IF(COUNT(K129:AG129)=0,"",(P129*8+Q129*7+R129*5+S129*5)/3)</f>
        <v/>
      </c>
      <c r="H129" s="34">
        <f>IF(COUNT(K129:AG129)=0,"",(U129*6+V129*6+W129*4+X129*3+Y129*3+Z129*3)/3)</f>
        <v/>
      </c>
      <c r="I129" s="34">
        <f>IF(COUNT(K129:AG129)=0,"",AB129*3+AC129*2+AD129*2+AE129*1)</f>
        <v/>
      </c>
      <c r="J129" s="34">
        <f>IF(COUNT(K129:AG129)=0,"",(AF129*5+AG129*5)/3)</f>
        <v/>
      </c>
      <c r="K129" s="41" t="n"/>
      <c r="L129" s="41" t="n"/>
      <c r="M129" s="41" t="n"/>
      <c r="N129" s="41" t="n"/>
      <c r="P129" s="41" t="n"/>
      <c r="Q129" s="41" t="n"/>
      <c r="R129" s="41" t="n"/>
      <c r="S129" s="41" t="n"/>
      <c r="U129" s="41" t="n"/>
      <c r="V129" s="41" t="n"/>
      <c r="W129" s="41" t="n"/>
      <c r="X129" s="41" t="n"/>
      <c r="Y129" s="41" t="n"/>
      <c r="Z129" s="41" t="n"/>
      <c r="AB129" s="41" t="n"/>
      <c r="AC129" s="41" t="n"/>
      <c r="AD129" s="41" t="n"/>
      <c r="AE129" s="41" t="n"/>
      <c r="AF129" s="41" t="n"/>
      <c r="AG129" s="41" t="n"/>
    </row>
    <row r="130" ht="14.25" customHeight="1" s="60">
      <c r="E130" s="33">
        <f>IF(COUNT(K130:AG130)=0,"",ROUND((F130+G130+H130+I130+J130)/10,2))</f>
        <v/>
      </c>
      <c r="F130" s="34">
        <f>IF(COUNT(K130:AG130)=0,"",(K130*10+L130*8+M130*7+N130*5)/3)</f>
        <v/>
      </c>
      <c r="G130" s="34">
        <f>IF(COUNT(K130:AG130)=0,"",(P130*8+Q130*7+R130*5+S130*5)/3)</f>
        <v/>
      </c>
      <c r="H130" s="34">
        <f>IF(COUNT(K130:AG130)=0,"",(U130*6+V130*6+W130*4+X130*3+Y130*3+Z130*3)/3)</f>
        <v/>
      </c>
      <c r="I130" s="34">
        <f>IF(COUNT(K130:AG130)=0,"",AB130*3+AC130*2+AD130*2+AE130*1)</f>
        <v/>
      </c>
      <c r="J130" s="34">
        <f>IF(COUNT(K130:AG130)=0,"",(AF130*5+AG130*5)/3)</f>
        <v/>
      </c>
      <c r="K130" s="41" t="n"/>
      <c r="L130" s="41" t="n"/>
      <c r="M130" s="41" t="n"/>
      <c r="N130" s="41" t="n"/>
      <c r="P130" s="41" t="n"/>
      <c r="Q130" s="41" t="n"/>
      <c r="R130" s="41" t="n"/>
      <c r="S130" s="41" t="n"/>
      <c r="U130" s="41" t="n"/>
      <c r="V130" s="41" t="n"/>
      <c r="W130" s="41" t="n"/>
      <c r="X130" s="41" t="n"/>
      <c r="Y130" s="41" t="n"/>
      <c r="Z130" s="41" t="n"/>
      <c r="AB130" s="41" t="n"/>
      <c r="AC130" s="41" t="n"/>
      <c r="AD130" s="41" t="n"/>
      <c r="AE130" s="41" t="n"/>
      <c r="AF130" s="41" t="n"/>
      <c r="AG130" s="41" t="n"/>
    </row>
    <row r="131" ht="14.25" customHeight="1" s="60">
      <c r="E131" s="33">
        <f>IF(COUNT(K131:AG131)=0,"",ROUND((F131+G131+H131+I131+J131)/10,2))</f>
        <v/>
      </c>
      <c r="F131" s="34">
        <f>IF(COUNT(K131:AG131)=0,"",(K131*10+L131*8+M131*7+N131*5)/3)</f>
        <v/>
      </c>
      <c r="G131" s="34">
        <f>IF(COUNT(K131:AG131)=0,"",(P131*8+Q131*7+R131*5+S131*5)/3)</f>
        <v/>
      </c>
      <c r="H131" s="34">
        <f>IF(COUNT(K131:AG131)=0,"",(U131*6+V131*6+W131*4+X131*3+Y131*3+Z131*3)/3)</f>
        <v/>
      </c>
      <c r="I131" s="34">
        <f>IF(COUNT(K131:AG131)=0,"",AB131*3+AC131*2+AD131*2+AE131*1)</f>
        <v/>
      </c>
      <c r="J131" s="34">
        <f>IF(COUNT(K131:AG131)=0,"",(AF131*5+AG131*5)/3)</f>
        <v/>
      </c>
      <c r="K131" s="41" t="n"/>
      <c r="L131" s="41" t="n"/>
      <c r="M131" s="41" t="n"/>
      <c r="N131" s="41" t="n"/>
      <c r="P131" s="41" t="n"/>
      <c r="Q131" s="41" t="n"/>
      <c r="R131" s="41" t="n"/>
      <c r="S131" s="41" t="n"/>
      <c r="U131" s="41" t="n"/>
      <c r="V131" s="41" t="n"/>
      <c r="W131" s="41" t="n"/>
      <c r="X131" s="41" t="n"/>
      <c r="Y131" s="41" t="n"/>
      <c r="Z131" s="41" t="n"/>
      <c r="AB131" s="41" t="n"/>
      <c r="AC131" s="41" t="n"/>
      <c r="AD131" s="41" t="n"/>
      <c r="AE131" s="41" t="n"/>
      <c r="AF131" s="41" t="n"/>
      <c r="AG131" s="41" t="n"/>
    </row>
    <row r="132" ht="14.25" customHeight="1" s="60">
      <c r="E132" s="33">
        <f>IF(COUNT(K132:AG132)=0,"",ROUND((F132+G132+H132+I132+J132)/10,2))</f>
        <v/>
      </c>
      <c r="F132" s="34">
        <f>IF(COUNT(K132:AG132)=0,"",(K132*10+L132*8+M132*7+N132*5)/3)</f>
        <v/>
      </c>
      <c r="G132" s="34">
        <f>IF(COUNT(K132:AG132)=0,"",(P132*8+Q132*7+R132*5+S132*5)/3)</f>
        <v/>
      </c>
      <c r="H132" s="34">
        <f>IF(COUNT(K132:AG132)=0,"",(U132*6+V132*6+W132*4+X132*3+Y132*3+Z132*3)/3)</f>
        <v/>
      </c>
      <c r="I132" s="34">
        <f>IF(COUNT(K132:AG132)=0,"",AB132*3+AC132*2+AD132*2+AE132*1)</f>
        <v/>
      </c>
      <c r="J132" s="34">
        <f>IF(COUNT(K132:AG132)=0,"",(AF132*5+AG132*5)/3)</f>
        <v/>
      </c>
      <c r="K132" s="41" t="n"/>
      <c r="L132" s="41" t="n"/>
      <c r="M132" s="41" t="n"/>
      <c r="N132" s="41" t="n"/>
      <c r="P132" s="41" t="n"/>
      <c r="Q132" s="41" t="n"/>
      <c r="R132" s="41" t="n"/>
      <c r="S132" s="41" t="n"/>
      <c r="U132" s="41" t="n"/>
      <c r="V132" s="41" t="n"/>
      <c r="W132" s="41" t="n"/>
      <c r="X132" s="41" t="n"/>
      <c r="Y132" s="41" t="n"/>
      <c r="Z132" s="41" t="n"/>
      <c r="AB132" s="41" t="n"/>
      <c r="AC132" s="41" t="n"/>
      <c r="AD132" s="41" t="n"/>
      <c r="AE132" s="41" t="n"/>
      <c r="AF132" s="41" t="n"/>
      <c r="AG132" s="41" t="n"/>
    </row>
    <row r="133" ht="14.25" customHeight="1" s="60">
      <c r="E133" s="33">
        <f>IF(COUNT(K133:AG133)=0,"",ROUND((F133+G133+H133+I133+J133)/10,2))</f>
        <v/>
      </c>
      <c r="F133" s="34">
        <f>IF(COUNT(K133:AG133)=0,"",(K133*10+L133*8+M133*7+N133*5)/3)</f>
        <v/>
      </c>
      <c r="G133" s="34">
        <f>IF(COUNT(K133:AG133)=0,"",(P133*8+Q133*7+R133*5+S133*5)/3)</f>
        <v/>
      </c>
      <c r="H133" s="34">
        <f>IF(COUNT(K133:AG133)=0,"",(U133*6+V133*6+W133*4+X133*3+Y133*3+Z133*3)/3)</f>
        <v/>
      </c>
      <c r="I133" s="34">
        <f>IF(COUNT(K133:AG133)=0,"",AB133*3+AC133*2+AD133*2+AE133*1)</f>
        <v/>
      </c>
      <c r="J133" s="34">
        <f>IF(COUNT(K133:AG133)=0,"",(AF133*5+AG133*5)/3)</f>
        <v/>
      </c>
      <c r="K133" s="41" t="n"/>
      <c r="L133" s="41" t="n"/>
      <c r="M133" s="41" t="n"/>
      <c r="N133" s="41" t="n"/>
      <c r="P133" s="41" t="n"/>
      <c r="Q133" s="41" t="n"/>
      <c r="R133" s="41" t="n"/>
      <c r="S133" s="41" t="n"/>
      <c r="U133" s="41" t="n"/>
      <c r="V133" s="41" t="n"/>
      <c r="W133" s="41" t="n"/>
      <c r="X133" s="41" t="n"/>
      <c r="Y133" s="41" t="n"/>
      <c r="Z133" s="41" t="n"/>
      <c r="AB133" s="41" t="n"/>
      <c r="AC133" s="41" t="n"/>
      <c r="AD133" s="41" t="n"/>
      <c r="AE133" s="41" t="n"/>
      <c r="AF133" s="41" t="n"/>
      <c r="AG133" s="41" t="n"/>
    </row>
    <row r="134" ht="14.25" customHeight="1" s="60">
      <c r="E134" s="33">
        <f>IF(COUNT(K134:AG134)=0,"",ROUND((F134+G134+H134+I134+J134)/10,2))</f>
        <v/>
      </c>
      <c r="F134" s="34">
        <f>IF(COUNT(K134:AG134)=0,"",(K134*10+L134*8+M134*7+N134*5)/3)</f>
        <v/>
      </c>
      <c r="G134" s="34">
        <f>IF(COUNT(K134:AG134)=0,"",(P134*8+Q134*7+R134*5+S134*5)/3)</f>
        <v/>
      </c>
      <c r="H134" s="34">
        <f>IF(COUNT(K134:AG134)=0,"",(U134*6+V134*6+W134*4+X134*3+Y134*3+Z134*3)/3)</f>
        <v/>
      </c>
      <c r="I134" s="34">
        <f>IF(COUNT(K134:AG134)=0,"",AB134*3+AC134*2+AD134*2+AE134*1)</f>
        <v/>
      </c>
      <c r="J134" s="34">
        <f>IF(COUNT(K134:AG134)=0,"",(AF134*5+AG134*5)/3)</f>
        <v/>
      </c>
      <c r="K134" s="41" t="n"/>
      <c r="L134" s="41" t="n"/>
      <c r="M134" s="41" t="n"/>
      <c r="N134" s="41" t="n"/>
      <c r="P134" s="41" t="n"/>
      <c r="Q134" s="41" t="n"/>
      <c r="R134" s="41" t="n"/>
      <c r="S134" s="41" t="n"/>
      <c r="U134" s="41" t="n"/>
      <c r="V134" s="41" t="n"/>
      <c r="W134" s="41" t="n"/>
      <c r="X134" s="41" t="n"/>
      <c r="Y134" s="41" t="n"/>
      <c r="Z134" s="41" t="n"/>
      <c r="AB134" s="41" t="n"/>
      <c r="AC134" s="41" t="n"/>
      <c r="AD134" s="41" t="n"/>
      <c r="AE134" s="41" t="n"/>
      <c r="AF134" s="41" t="n"/>
      <c r="AG134" s="41" t="n"/>
    </row>
    <row r="135" ht="14.25" customHeight="1" s="60">
      <c r="E135" s="33">
        <f>IF(COUNT(K135:AG135)=0,"",ROUND((F135+G135+H135+I135+J135)/10,2))</f>
        <v/>
      </c>
      <c r="F135" s="34">
        <f>IF(COUNT(K135:AG135)=0,"",(K135*10+L135*8+M135*7+N135*5)/3)</f>
        <v/>
      </c>
      <c r="G135" s="34">
        <f>IF(COUNT(K135:AG135)=0,"",(P135*8+Q135*7+R135*5+S135*5)/3)</f>
        <v/>
      </c>
      <c r="H135" s="34">
        <f>IF(COUNT(K135:AG135)=0,"",(U135*6+V135*6+W135*4+X135*3+Y135*3+Z135*3)/3)</f>
        <v/>
      </c>
      <c r="I135" s="34">
        <f>IF(COUNT(K135:AG135)=0,"",AB135*3+AC135*2+AD135*2+AE135*1)</f>
        <v/>
      </c>
      <c r="J135" s="34">
        <f>IF(COUNT(K135:AG135)=0,"",(AF135*5+AG135*5)/3)</f>
        <v/>
      </c>
      <c r="K135" s="41" t="n"/>
      <c r="L135" s="41" t="n"/>
      <c r="M135" s="41" t="n"/>
      <c r="N135" s="41" t="n"/>
      <c r="P135" s="41" t="n"/>
      <c r="Q135" s="41" t="n"/>
      <c r="R135" s="41" t="n"/>
      <c r="S135" s="41" t="n"/>
      <c r="U135" s="41" t="n"/>
      <c r="V135" s="41" t="n"/>
      <c r="W135" s="41" t="n"/>
      <c r="X135" s="41" t="n"/>
      <c r="Y135" s="41" t="n"/>
      <c r="Z135" s="41" t="n"/>
      <c r="AB135" s="41" t="n"/>
      <c r="AC135" s="41" t="n"/>
      <c r="AD135" s="41" t="n"/>
      <c r="AE135" s="41" t="n"/>
      <c r="AF135" s="41" t="n"/>
      <c r="AG135" s="41" t="n"/>
    </row>
    <row r="136" ht="14.25" customHeight="1" s="60">
      <c r="E136" s="33">
        <f>IF(COUNT(K136:AG136)=0,"",ROUND((F136+G136+H136+I136+J136)/10,2))</f>
        <v/>
      </c>
      <c r="F136" s="34">
        <f>IF(COUNT(K136:AG136)=0,"",(K136*10+L136*8+M136*7+N136*5)/3)</f>
        <v/>
      </c>
      <c r="G136" s="34">
        <f>IF(COUNT(K136:AG136)=0,"",(P136*8+Q136*7+R136*5+S136*5)/3)</f>
        <v/>
      </c>
      <c r="H136" s="34">
        <f>IF(COUNT(K136:AG136)=0,"",(U136*6+V136*6+W136*4+X136*3+Y136*3+Z136*3)/3)</f>
        <v/>
      </c>
      <c r="I136" s="34">
        <f>IF(COUNT(K136:AG136)=0,"",AB136*3+AC136*2+AD136*2+AE136*1)</f>
        <v/>
      </c>
      <c r="J136" s="34">
        <f>IF(COUNT(K136:AG136)=0,"",(AF136*5+AG136*5)/3)</f>
        <v/>
      </c>
      <c r="K136" s="41" t="n"/>
      <c r="L136" s="41" t="n"/>
      <c r="M136" s="41" t="n"/>
      <c r="N136" s="41" t="n"/>
      <c r="P136" s="41" t="n"/>
      <c r="Q136" s="41" t="n"/>
      <c r="R136" s="41" t="n"/>
      <c r="S136" s="41" t="n"/>
      <c r="U136" s="41" t="n"/>
      <c r="V136" s="41" t="n"/>
      <c r="W136" s="41" t="n"/>
      <c r="X136" s="41" t="n"/>
      <c r="Y136" s="41" t="n"/>
      <c r="Z136" s="41" t="n"/>
      <c r="AB136" s="41" t="n"/>
      <c r="AC136" s="41" t="n"/>
      <c r="AD136" s="41" t="n"/>
      <c r="AE136" s="41" t="n"/>
      <c r="AF136" s="41" t="n"/>
      <c r="AG136" s="41" t="n"/>
    </row>
    <row r="137" ht="14.25" customHeight="1" s="60">
      <c r="E137" s="33">
        <f>IF(COUNT(K137:AG137)=0,"",ROUND((F137+G137+H137+I137+J137)/10,2))</f>
        <v/>
      </c>
      <c r="F137" s="34">
        <f>IF(COUNT(K137:AG137)=0,"",(K137*10+L137*8+M137*7+N137*5)/3)</f>
        <v/>
      </c>
      <c r="G137" s="34">
        <f>IF(COUNT(K137:AG137)=0,"",(P137*8+Q137*7+R137*5+S137*5)/3)</f>
        <v/>
      </c>
      <c r="H137" s="34">
        <f>IF(COUNT(K137:AG137)=0,"",(U137*6+V137*6+W137*4+X137*3+Y137*3+Z137*3)/3)</f>
        <v/>
      </c>
      <c r="I137" s="34">
        <f>IF(COUNT(K137:AG137)=0,"",AB137*3+AC137*2+AD137*2+AE137*1)</f>
        <v/>
      </c>
      <c r="J137" s="34">
        <f>IF(COUNT(K137:AG137)=0,"",(AF137*5+AG137*5)/3)</f>
        <v/>
      </c>
      <c r="K137" s="41" t="n"/>
      <c r="L137" s="41" t="n"/>
      <c r="M137" s="41" t="n"/>
      <c r="N137" s="41" t="n"/>
      <c r="P137" s="41" t="n"/>
      <c r="Q137" s="41" t="n"/>
      <c r="R137" s="41" t="n"/>
      <c r="S137" s="41" t="n"/>
      <c r="U137" s="41" t="n"/>
      <c r="V137" s="41" t="n"/>
      <c r="W137" s="41" t="n"/>
      <c r="X137" s="41" t="n"/>
      <c r="Y137" s="41" t="n"/>
      <c r="Z137" s="41" t="n"/>
      <c r="AB137" s="41" t="n"/>
      <c r="AC137" s="41" t="n"/>
      <c r="AD137" s="41" t="n"/>
      <c r="AE137" s="41" t="n"/>
      <c r="AF137" s="41" t="n"/>
      <c r="AG137" s="41" t="n"/>
    </row>
    <row r="138" ht="14.25" customHeight="1" s="60">
      <c r="E138" s="33">
        <f>IF(COUNT(K138:AG138)=0,"",ROUND((F138+G138+H138+I138+J138)/10,2))</f>
        <v/>
      </c>
      <c r="F138" s="34">
        <f>IF(COUNT(K138:AG138)=0,"",(K138*10+L138*8+M138*7+N138*5)/3)</f>
        <v/>
      </c>
      <c r="G138" s="34">
        <f>IF(COUNT(K138:AG138)=0,"",(P138*8+Q138*7+R138*5+S138*5)/3)</f>
        <v/>
      </c>
      <c r="H138" s="34">
        <f>IF(COUNT(K138:AG138)=0,"",(U138*6+V138*6+W138*4+X138*3+Y138*3+Z138*3)/3)</f>
        <v/>
      </c>
      <c r="I138" s="34">
        <f>IF(COUNT(K138:AG138)=0,"",AB138*3+AC138*2+AD138*2+AE138*1)</f>
        <v/>
      </c>
      <c r="J138" s="34">
        <f>IF(COUNT(K138:AG138)=0,"",(AF138*5+AG138*5)/3)</f>
        <v/>
      </c>
      <c r="K138" s="41" t="n"/>
      <c r="L138" s="41" t="n"/>
      <c r="M138" s="41" t="n"/>
      <c r="N138" s="41" t="n"/>
      <c r="P138" s="41" t="n"/>
      <c r="Q138" s="41" t="n"/>
      <c r="R138" s="41" t="n"/>
      <c r="S138" s="41" t="n"/>
      <c r="U138" s="41" t="n"/>
      <c r="V138" s="41" t="n"/>
      <c r="W138" s="41" t="n"/>
      <c r="X138" s="41" t="n"/>
      <c r="Y138" s="41" t="n"/>
      <c r="Z138" s="41" t="n"/>
      <c r="AB138" s="41" t="n"/>
      <c r="AC138" s="41" t="n"/>
      <c r="AD138" s="41" t="n"/>
      <c r="AE138" s="41" t="n"/>
      <c r="AF138" s="41" t="n"/>
      <c r="AG138" s="41" t="n"/>
    </row>
    <row r="139" ht="14.25" customHeight="1" s="60">
      <c r="E139" s="33">
        <f>IF(COUNT(K139:AG139)=0,"",ROUND((F139+G139+H139+I139+J139)/10,2))</f>
        <v/>
      </c>
      <c r="F139" s="34">
        <f>IF(COUNT(K139:AG139)=0,"",(K139*10+L139*8+M139*7+N139*5)/3)</f>
        <v/>
      </c>
      <c r="G139" s="34">
        <f>IF(COUNT(K139:AG139)=0,"",(P139*8+Q139*7+R139*5+S139*5)/3)</f>
        <v/>
      </c>
      <c r="H139" s="34">
        <f>IF(COUNT(K139:AG139)=0,"",(U139*6+V139*6+W139*4+X139*3+Y139*3+Z139*3)/3)</f>
        <v/>
      </c>
      <c r="I139" s="34">
        <f>IF(COUNT(K139:AG139)=0,"",AB139*3+AC139*2+AD139*2+AE139*1)</f>
        <v/>
      </c>
      <c r="J139" s="34">
        <f>IF(COUNT(K139:AG139)=0,"",(AF139*5+AG139*5)/3)</f>
        <v/>
      </c>
      <c r="K139" s="41" t="n"/>
      <c r="L139" s="41" t="n"/>
      <c r="M139" s="41" t="n"/>
      <c r="N139" s="41" t="n"/>
      <c r="P139" s="41" t="n"/>
      <c r="Q139" s="41" t="n"/>
      <c r="R139" s="41" t="n"/>
      <c r="S139" s="41" t="n"/>
      <c r="U139" s="41" t="n"/>
      <c r="V139" s="41" t="n"/>
      <c r="W139" s="41" t="n"/>
      <c r="X139" s="41" t="n"/>
      <c r="Y139" s="41" t="n"/>
      <c r="Z139" s="41" t="n"/>
      <c r="AB139" s="41" t="n"/>
      <c r="AC139" s="41" t="n"/>
      <c r="AD139" s="41" t="n"/>
      <c r="AE139" s="41" t="n"/>
      <c r="AF139" s="41" t="n"/>
      <c r="AG139" s="41" t="n"/>
    </row>
    <row r="140" ht="14.25" customHeight="1" s="60">
      <c r="E140" s="33">
        <f>IF(COUNT(K140:AG140)=0,"",ROUND((F140+G140+H140+I140+J140)/10,2))</f>
        <v/>
      </c>
      <c r="F140" s="34">
        <f>IF(COUNT(K140:AG140)=0,"",(K140*10+L140*8+M140*7+N140*5)/3)</f>
        <v/>
      </c>
      <c r="G140" s="34">
        <f>IF(COUNT(K140:AG140)=0,"",(P140*8+Q140*7+R140*5+S140*5)/3)</f>
        <v/>
      </c>
      <c r="H140" s="34">
        <f>IF(COUNT(K140:AG140)=0,"",(U140*6+V140*6+W140*4+X140*3+Y140*3+Z140*3)/3)</f>
        <v/>
      </c>
      <c r="I140" s="34">
        <f>IF(COUNT(K140:AG140)=0,"",AB140*3+AC140*2+AD140*2+AE140*1)</f>
        <v/>
      </c>
      <c r="J140" s="34">
        <f>IF(COUNT(K140:AG140)=0,"",(AF140*5+AG140*5)/3)</f>
        <v/>
      </c>
      <c r="K140" s="41" t="n"/>
      <c r="L140" s="41" t="n"/>
      <c r="M140" s="41" t="n"/>
      <c r="N140" s="41" t="n"/>
      <c r="P140" s="41" t="n"/>
      <c r="Q140" s="41" t="n"/>
      <c r="R140" s="41" t="n"/>
      <c r="S140" s="41" t="n"/>
      <c r="U140" s="41" t="n"/>
      <c r="V140" s="41" t="n"/>
      <c r="W140" s="41" t="n"/>
      <c r="X140" s="41" t="n"/>
      <c r="Y140" s="41" t="n"/>
      <c r="Z140" s="41" t="n"/>
      <c r="AB140" s="41" t="n"/>
      <c r="AC140" s="41" t="n"/>
      <c r="AD140" s="41" t="n"/>
      <c r="AE140" s="41" t="n"/>
      <c r="AF140" s="41" t="n"/>
      <c r="AG140" s="41" t="n"/>
    </row>
    <row r="141" ht="14.25" customHeight="1" s="60">
      <c r="E141" s="33">
        <f>IF(COUNT(K141:AG141)=0,"",ROUND((F141+G141+H141+I141+J141)/10,2))</f>
        <v/>
      </c>
      <c r="F141" s="34">
        <f>IF(COUNT(K141:AG141)=0,"",(K141*10+L141*8+M141*7+N141*5)/3)</f>
        <v/>
      </c>
      <c r="G141" s="34">
        <f>IF(COUNT(K141:AG141)=0,"",(P141*8+Q141*7+R141*5+S141*5)/3)</f>
        <v/>
      </c>
      <c r="H141" s="34">
        <f>IF(COUNT(K141:AG141)=0,"",(U141*6+V141*6+W141*4+X141*3+Y141*3+Z141*3)/3)</f>
        <v/>
      </c>
      <c r="I141" s="34">
        <f>IF(COUNT(K141:AG141)=0,"",AB141*3+AC141*2+AD141*2+AE141*1)</f>
        <v/>
      </c>
      <c r="J141" s="34">
        <f>IF(COUNT(K141:AG141)=0,"",(AF141*5+AG141*5)/3)</f>
        <v/>
      </c>
      <c r="K141" s="41" t="n"/>
      <c r="L141" s="41" t="n"/>
      <c r="M141" s="41" t="n"/>
      <c r="N141" s="41" t="n"/>
      <c r="P141" s="41" t="n"/>
      <c r="Q141" s="41" t="n"/>
      <c r="R141" s="41" t="n"/>
      <c r="S141" s="41" t="n"/>
      <c r="U141" s="41" t="n"/>
      <c r="V141" s="41" t="n"/>
      <c r="W141" s="41" t="n"/>
      <c r="X141" s="41" t="n"/>
      <c r="Y141" s="41" t="n"/>
      <c r="Z141" s="41" t="n"/>
      <c r="AB141" s="41" t="n"/>
      <c r="AC141" s="41" t="n"/>
      <c r="AD141" s="41" t="n"/>
      <c r="AE141" s="41" t="n"/>
      <c r="AF141" s="41" t="n"/>
      <c r="AG141" s="41" t="n"/>
    </row>
    <row r="142" ht="14.25" customHeight="1" s="60">
      <c r="E142" s="33">
        <f>IF(COUNT(K142:AG142)=0,"",ROUND((F142+G142+H142+I142+J142)/10,2))</f>
        <v/>
      </c>
      <c r="F142" s="34">
        <f>IF(COUNT(K142:AG142)=0,"",(K142*10+L142*8+M142*7+N142*5)/3)</f>
        <v/>
      </c>
      <c r="G142" s="34">
        <f>IF(COUNT(K142:AG142)=0,"",(P142*8+Q142*7+R142*5+S142*5)/3)</f>
        <v/>
      </c>
      <c r="H142" s="34">
        <f>IF(COUNT(K142:AG142)=0,"",(U142*6+V142*6+W142*4+X142*3+Y142*3+Z142*3)/3)</f>
        <v/>
      </c>
      <c r="I142" s="34">
        <f>IF(COUNT(K142:AG142)=0,"",AB142*3+AC142*2+AD142*2+AE142*1)</f>
        <v/>
      </c>
      <c r="J142" s="34">
        <f>IF(COUNT(K142:AG142)=0,"",(AF142*5+AG142*5)/3)</f>
        <v/>
      </c>
      <c r="K142" s="41" t="n"/>
      <c r="L142" s="41" t="n"/>
      <c r="M142" s="41" t="n"/>
      <c r="N142" s="41" t="n"/>
      <c r="P142" s="41" t="n"/>
      <c r="Q142" s="41" t="n"/>
      <c r="R142" s="41" t="n"/>
      <c r="S142" s="41" t="n"/>
      <c r="U142" s="41" t="n"/>
      <c r="V142" s="41" t="n"/>
      <c r="W142" s="41" t="n"/>
      <c r="X142" s="41" t="n"/>
      <c r="Y142" s="41" t="n"/>
      <c r="Z142" s="41" t="n"/>
      <c r="AB142" s="41" t="n"/>
      <c r="AC142" s="41" t="n"/>
      <c r="AD142" s="41" t="n"/>
      <c r="AE142" s="41" t="n"/>
      <c r="AF142" s="41" t="n"/>
      <c r="AG142" s="41" t="n"/>
    </row>
    <row r="143" ht="14.25" customHeight="1" s="60">
      <c r="E143" s="33">
        <f>IF(COUNT(K143:AG143)=0,"",ROUND((F143+G143+H143+I143+J143)/10,2))</f>
        <v/>
      </c>
      <c r="F143" s="34">
        <f>IF(COUNT(K143:AG143)=0,"",(K143*10+L143*8+M143*7+N143*5)/3)</f>
        <v/>
      </c>
      <c r="G143" s="34">
        <f>IF(COUNT(K143:AG143)=0,"",(P143*8+Q143*7+R143*5+S143*5)/3)</f>
        <v/>
      </c>
      <c r="H143" s="34">
        <f>IF(COUNT(K143:AG143)=0,"",(U143*6+V143*6+W143*4+X143*3+Y143*3+Z143*3)/3)</f>
        <v/>
      </c>
      <c r="I143" s="34">
        <f>IF(COUNT(K143:AG143)=0,"",AB143*3+AC143*2+AD143*2+AE143*1)</f>
        <v/>
      </c>
      <c r="J143" s="34">
        <f>IF(COUNT(K143:AG143)=0,"",(AF143*5+AG143*5)/3)</f>
        <v/>
      </c>
      <c r="K143" s="41" t="n"/>
      <c r="L143" s="41" t="n"/>
      <c r="M143" s="41" t="n"/>
      <c r="N143" s="41" t="n"/>
      <c r="P143" s="41" t="n"/>
      <c r="Q143" s="41" t="n"/>
      <c r="R143" s="41" t="n"/>
      <c r="S143" s="41" t="n"/>
      <c r="U143" s="41" t="n"/>
      <c r="V143" s="41" t="n"/>
      <c r="W143" s="41" t="n"/>
      <c r="X143" s="41" t="n"/>
      <c r="Y143" s="41" t="n"/>
      <c r="Z143" s="41" t="n"/>
      <c r="AB143" s="41" t="n"/>
      <c r="AC143" s="41" t="n"/>
      <c r="AD143" s="41" t="n"/>
      <c r="AE143" s="41" t="n"/>
      <c r="AF143" s="41" t="n"/>
      <c r="AG143" s="41" t="n"/>
    </row>
    <row r="144" ht="14.25" customHeight="1" s="60">
      <c r="E144" s="33">
        <f>IF(COUNT(K144:AG144)=0,"",ROUND((F144+G144+H144+I144+J144)/10,2))</f>
        <v/>
      </c>
      <c r="F144" s="34">
        <f>IF(COUNT(K144:AG144)=0,"",(K144*10+L144*8+M144*7+N144*5)/3)</f>
        <v/>
      </c>
      <c r="G144" s="34">
        <f>IF(COUNT(K144:AG144)=0,"",(P144*8+Q144*7+R144*5+S144*5)/3)</f>
        <v/>
      </c>
      <c r="H144" s="34">
        <f>IF(COUNT(K144:AG144)=0,"",(U144*6+V144*6+W144*4+X144*3+Y144*3+Z144*3)/3)</f>
        <v/>
      </c>
      <c r="I144" s="34">
        <f>IF(COUNT(K144:AG144)=0,"",AB144*3+AC144*2+AD144*2+AE144*1)</f>
        <v/>
      </c>
      <c r="J144" s="34">
        <f>IF(COUNT(K144:AG144)=0,"",(AF144*5+AG144*5)/3)</f>
        <v/>
      </c>
      <c r="K144" s="41" t="n"/>
      <c r="L144" s="41" t="n"/>
      <c r="M144" s="41" t="n"/>
      <c r="N144" s="41" t="n"/>
      <c r="P144" s="41" t="n"/>
      <c r="Q144" s="41" t="n"/>
      <c r="R144" s="41" t="n"/>
      <c r="S144" s="41" t="n"/>
      <c r="U144" s="41" t="n"/>
      <c r="V144" s="41" t="n"/>
      <c r="W144" s="41" t="n"/>
      <c r="X144" s="41" t="n"/>
      <c r="Y144" s="41" t="n"/>
      <c r="Z144" s="41" t="n"/>
      <c r="AB144" s="41" t="n"/>
      <c r="AC144" s="41" t="n"/>
      <c r="AD144" s="41" t="n"/>
      <c r="AE144" s="41" t="n"/>
      <c r="AF144" s="41" t="n"/>
      <c r="AG144" s="41" t="n"/>
    </row>
    <row r="145" ht="14.25" customHeight="1" s="60">
      <c r="E145" s="33">
        <f>IF(COUNT(K145:AG145)=0,"",ROUND((F145+G145+H145+I145+J145)/10,2))</f>
        <v/>
      </c>
      <c r="F145" s="34">
        <f>IF(COUNT(K145:AG145)=0,"",(K145*10+L145*8+M145*7+N145*5)/3)</f>
        <v/>
      </c>
      <c r="G145" s="34">
        <f>IF(COUNT(K145:AG145)=0,"",(P145*8+Q145*7+R145*5+S145*5)/3)</f>
        <v/>
      </c>
      <c r="H145" s="34">
        <f>IF(COUNT(K145:AG145)=0,"",(U145*6+V145*6+W145*4+X145*3+Y145*3+Z145*3)/3)</f>
        <v/>
      </c>
      <c r="I145" s="34">
        <f>IF(COUNT(K145:AG145)=0,"",AB145*3+AC145*2+AD145*2+AE145*1)</f>
        <v/>
      </c>
      <c r="J145" s="34">
        <f>IF(COUNT(K145:AG145)=0,"",(AF145*5+AG145*5)/3)</f>
        <v/>
      </c>
      <c r="K145" s="41" t="n"/>
      <c r="L145" s="41" t="n"/>
      <c r="M145" s="41" t="n"/>
      <c r="N145" s="41" t="n"/>
      <c r="P145" s="41" t="n"/>
      <c r="Q145" s="41" t="n"/>
      <c r="R145" s="41" t="n"/>
      <c r="S145" s="41" t="n"/>
      <c r="U145" s="41" t="n"/>
      <c r="V145" s="41" t="n"/>
      <c r="W145" s="41" t="n"/>
      <c r="X145" s="41" t="n"/>
      <c r="Y145" s="41" t="n"/>
      <c r="Z145" s="41" t="n"/>
      <c r="AB145" s="41" t="n"/>
      <c r="AC145" s="41" t="n"/>
      <c r="AD145" s="41" t="n"/>
      <c r="AE145" s="41" t="n"/>
      <c r="AF145" s="41" t="n"/>
      <c r="AG145" s="41" t="n"/>
    </row>
    <row r="146" ht="14.25" customHeight="1" s="60">
      <c r="E146" s="33">
        <f>IF(COUNT(K146:AG146)=0,"",ROUND((F146+G146+H146+I146+J146)/10,2))</f>
        <v/>
      </c>
      <c r="F146" s="34">
        <f>IF(COUNT(K146:AG146)=0,"",(K146*10+L146*8+M146*7+N146*5)/3)</f>
        <v/>
      </c>
      <c r="G146" s="34">
        <f>IF(COUNT(K146:AG146)=0,"",(P146*8+Q146*7+R146*5+S146*5)/3)</f>
        <v/>
      </c>
      <c r="H146" s="34">
        <f>IF(COUNT(K146:AG146)=0,"",(U146*6+V146*6+W146*4+X146*3+Y146*3+Z146*3)/3)</f>
        <v/>
      </c>
      <c r="I146" s="34">
        <f>IF(COUNT(K146:AG146)=0,"",AB146*3+AC146*2+AD146*2+AE146*1)</f>
        <v/>
      </c>
      <c r="J146" s="34">
        <f>IF(COUNT(K146:AG146)=0,"",(AF146*5+AG146*5)/3)</f>
        <v/>
      </c>
      <c r="K146" s="41" t="n"/>
      <c r="L146" s="41" t="n"/>
      <c r="M146" s="41" t="n"/>
      <c r="N146" s="41" t="n"/>
      <c r="P146" s="41" t="n"/>
      <c r="Q146" s="41" t="n"/>
      <c r="R146" s="41" t="n"/>
      <c r="S146" s="41" t="n"/>
      <c r="U146" s="41" t="n"/>
      <c r="V146" s="41" t="n"/>
      <c r="W146" s="41" t="n"/>
      <c r="X146" s="41" t="n"/>
      <c r="Y146" s="41" t="n"/>
      <c r="Z146" s="41" t="n"/>
      <c r="AB146" s="41" t="n"/>
      <c r="AC146" s="41" t="n"/>
      <c r="AD146" s="41" t="n"/>
      <c r="AE146" s="41" t="n"/>
      <c r="AF146" s="41" t="n"/>
      <c r="AG146" s="41" t="n"/>
    </row>
    <row r="147" ht="14.25" customHeight="1" s="60">
      <c r="E147" s="33">
        <f>IF(COUNT(K147:AG147)=0,"",ROUND((F147+G147+H147+I147+J147)/10,2))</f>
        <v/>
      </c>
      <c r="F147" s="34">
        <f>IF(COUNT(K147:AG147)=0,"",(K147*10+L147*8+M147*7+N147*5)/3)</f>
        <v/>
      </c>
      <c r="G147" s="34">
        <f>IF(COUNT(K147:AG147)=0,"",(P147*8+Q147*7+R147*5+S147*5)/3)</f>
        <v/>
      </c>
      <c r="H147" s="34">
        <f>IF(COUNT(K147:AG147)=0,"",(U147*6+V147*6+W147*4+X147*3+Y147*3+Z147*3)/3)</f>
        <v/>
      </c>
      <c r="I147" s="34">
        <f>IF(COUNT(K147:AG147)=0,"",AB147*3+AC147*2+AD147*2+AE147*1)</f>
        <v/>
      </c>
      <c r="J147" s="34">
        <f>IF(COUNT(K147:AG147)=0,"",(AF147*5+AG147*5)/3)</f>
        <v/>
      </c>
      <c r="K147" s="41" t="n"/>
      <c r="L147" s="41" t="n"/>
      <c r="M147" s="41" t="n"/>
      <c r="N147" s="41" t="n"/>
      <c r="P147" s="41" t="n"/>
      <c r="Q147" s="41" t="n"/>
      <c r="R147" s="41" t="n"/>
      <c r="S147" s="41" t="n"/>
      <c r="U147" s="41" t="n"/>
      <c r="V147" s="41" t="n"/>
      <c r="W147" s="41" t="n"/>
      <c r="X147" s="41" t="n"/>
      <c r="Y147" s="41" t="n"/>
      <c r="Z147" s="41" t="n"/>
      <c r="AB147" s="41" t="n"/>
      <c r="AC147" s="41" t="n"/>
      <c r="AD147" s="41" t="n"/>
      <c r="AE147" s="41" t="n"/>
      <c r="AF147" s="41" t="n"/>
      <c r="AG147" s="41" t="n"/>
    </row>
    <row r="148" ht="14.25" customHeight="1" s="60">
      <c r="E148" s="33">
        <f>IF(COUNT(K148:AG148)=0,"",ROUND((F148+G148+H148+I148+J148)/10,2))</f>
        <v/>
      </c>
      <c r="F148" s="34">
        <f>IF(COUNT(K148:AG148)=0,"",(K148*10+L148*8+M148*7+N148*5)/3)</f>
        <v/>
      </c>
      <c r="G148" s="34">
        <f>IF(COUNT(K148:AG148)=0,"",(P148*8+Q148*7+R148*5+S148*5)/3)</f>
        <v/>
      </c>
      <c r="H148" s="34">
        <f>IF(COUNT(K148:AG148)=0,"",(U148*6+V148*6+W148*4+X148*3+Y148*3+Z148*3)/3)</f>
        <v/>
      </c>
      <c r="I148" s="34">
        <f>IF(COUNT(K148:AG148)=0,"",AB148*3+AC148*2+AD148*2+AE148*1)</f>
        <v/>
      </c>
      <c r="J148" s="34">
        <f>IF(COUNT(K148:AG148)=0,"",(AF148*5+AG148*5)/3)</f>
        <v/>
      </c>
      <c r="K148" s="41" t="n"/>
      <c r="L148" s="41" t="n"/>
      <c r="M148" s="41" t="n"/>
      <c r="N148" s="41" t="n"/>
      <c r="P148" s="41" t="n"/>
      <c r="Q148" s="41" t="n"/>
      <c r="R148" s="41" t="n"/>
      <c r="S148" s="41" t="n"/>
      <c r="U148" s="41" t="n"/>
      <c r="V148" s="41" t="n"/>
      <c r="W148" s="41" t="n"/>
      <c r="X148" s="41" t="n"/>
      <c r="Y148" s="41" t="n"/>
      <c r="Z148" s="41" t="n"/>
      <c r="AB148" s="41" t="n"/>
      <c r="AC148" s="41" t="n"/>
      <c r="AD148" s="41" t="n"/>
      <c r="AE148" s="41" t="n"/>
      <c r="AF148" s="41" t="n"/>
      <c r="AG148" s="41" t="n"/>
    </row>
    <row r="149" ht="14.25" customHeight="1" s="60">
      <c r="E149" s="33">
        <f>IF(COUNT(K149:AG149)=0,"",ROUND((F149+G149+H149+I149+J149)/10,2))</f>
        <v/>
      </c>
      <c r="F149" s="34">
        <f>IF(COUNT(K149:AG149)=0,"",(K149*10+L149*8+M149*7+N149*5)/3)</f>
        <v/>
      </c>
      <c r="G149" s="34">
        <f>IF(COUNT(K149:AG149)=0,"",(P149*8+Q149*7+R149*5+S149*5)/3)</f>
        <v/>
      </c>
      <c r="H149" s="34">
        <f>IF(COUNT(K149:AG149)=0,"",(U149*6+V149*6+W149*4+X149*3+Y149*3+Z149*3)/3)</f>
        <v/>
      </c>
      <c r="I149" s="34">
        <f>IF(COUNT(K149:AG149)=0,"",AB149*3+AC149*2+AD149*2+AE149*1)</f>
        <v/>
      </c>
      <c r="J149" s="34">
        <f>IF(COUNT(K149:AG149)=0,"",(AF149*5+AG149*5)/3)</f>
        <v/>
      </c>
      <c r="K149" s="41" t="n"/>
      <c r="L149" s="41" t="n"/>
      <c r="M149" s="41" t="n"/>
      <c r="N149" s="41" t="n"/>
      <c r="P149" s="41" t="n"/>
      <c r="Q149" s="41" t="n"/>
      <c r="R149" s="41" t="n"/>
      <c r="S149" s="41" t="n"/>
      <c r="U149" s="41" t="n"/>
      <c r="V149" s="41" t="n"/>
      <c r="W149" s="41" t="n"/>
      <c r="X149" s="41" t="n"/>
      <c r="Y149" s="41" t="n"/>
      <c r="Z149" s="41" t="n"/>
      <c r="AB149" s="41" t="n"/>
      <c r="AC149" s="41" t="n"/>
      <c r="AD149" s="41" t="n"/>
      <c r="AE149" s="41" t="n"/>
      <c r="AF149" s="41" t="n"/>
      <c r="AG149" s="41" t="n"/>
    </row>
    <row r="150" ht="14.25" customHeight="1" s="60">
      <c r="E150" s="33">
        <f>IF(COUNT(K150:AG150)=0,"",ROUND((F150+G150+H150+I150+J150)/10,2))</f>
        <v/>
      </c>
      <c r="F150" s="34">
        <f>IF(COUNT(K150:AG150)=0,"",(K150*10+L150*8+M150*7+N150*5)/3)</f>
        <v/>
      </c>
      <c r="G150" s="34">
        <f>IF(COUNT(K150:AG150)=0,"",(P150*8+Q150*7+R150*5+S150*5)/3)</f>
        <v/>
      </c>
      <c r="H150" s="34">
        <f>IF(COUNT(K150:AG150)=0,"",(U150*6+V150*6+W150*4+X150*3+Y150*3+Z150*3)/3)</f>
        <v/>
      </c>
      <c r="I150" s="34">
        <f>IF(COUNT(K150:AG150)=0,"",AB150*3+AC150*2+AD150*2+AE150*1)</f>
        <v/>
      </c>
      <c r="J150" s="34">
        <f>IF(COUNT(K150:AG150)=0,"",(AF150*5+AG150*5)/3)</f>
        <v/>
      </c>
      <c r="K150" s="41" t="n"/>
      <c r="L150" s="41" t="n"/>
      <c r="M150" s="41" t="n"/>
      <c r="N150" s="41" t="n"/>
      <c r="P150" s="41" t="n"/>
      <c r="Q150" s="41" t="n"/>
      <c r="R150" s="41" t="n"/>
      <c r="S150" s="41" t="n"/>
      <c r="U150" s="41" t="n"/>
      <c r="V150" s="41" t="n"/>
      <c r="W150" s="41" t="n"/>
      <c r="X150" s="41" t="n"/>
      <c r="Y150" s="41" t="n"/>
      <c r="Z150" s="41" t="n"/>
      <c r="AB150" s="41" t="n"/>
      <c r="AC150" s="41" t="n"/>
      <c r="AD150" s="41" t="n"/>
      <c r="AE150" s="41" t="n"/>
      <c r="AF150" s="41" t="n"/>
      <c r="AG150" s="41" t="n"/>
    </row>
    <row r="151" ht="14.25" customHeight="1" s="60">
      <c r="E151" s="33">
        <f>IF(COUNT(K151:AG151)=0,"",ROUND((F151+G151+H151+I151+J151)/10,2))</f>
        <v/>
      </c>
      <c r="F151" s="34">
        <f>IF(COUNT(K151:AG151)=0,"",(K151*10+L151*8+M151*7+N151*5)/3)</f>
        <v/>
      </c>
      <c r="G151" s="34">
        <f>IF(COUNT(K151:AG151)=0,"",(P151*8+Q151*7+R151*5+S151*5)/3)</f>
        <v/>
      </c>
      <c r="H151" s="34">
        <f>IF(COUNT(K151:AG151)=0,"",(U151*6+V151*6+W151*4+X151*3+Y151*3+Z151*3)/3)</f>
        <v/>
      </c>
      <c r="I151" s="34">
        <f>IF(COUNT(K151:AG151)=0,"",AB151*3+AC151*2+AD151*2+AE151*1)</f>
        <v/>
      </c>
      <c r="J151" s="34">
        <f>IF(COUNT(K151:AG151)=0,"",(AF151*5+AG151*5)/3)</f>
        <v/>
      </c>
      <c r="K151" s="41" t="n"/>
      <c r="L151" s="41" t="n"/>
      <c r="M151" s="41" t="n"/>
      <c r="N151" s="41" t="n"/>
      <c r="P151" s="41" t="n"/>
      <c r="Q151" s="41" t="n"/>
      <c r="R151" s="41" t="n"/>
      <c r="S151" s="41" t="n"/>
      <c r="U151" s="41" t="n"/>
      <c r="V151" s="41" t="n"/>
      <c r="W151" s="41" t="n"/>
      <c r="X151" s="41" t="n"/>
      <c r="Y151" s="41" t="n"/>
      <c r="Z151" s="41" t="n"/>
      <c r="AB151" s="41" t="n"/>
      <c r="AC151" s="41" t="n"/>
      <c r="AD151" s="41" t="n"/>
      <c r="AE151" s="41" t="n"/>
      <c r="AF151" s="41" t="n"/>
      <c r="AG151" s="41" t="n"/>
    </row>
    <row r="152" ht="14.25" customHeight="1" s="60">
      <c r="E152" s="33">
        <f>IF(COUNT(K152:AG152)=0,"",ROUND((F152+G152+H152+I152+J152)/10,2))</f>
        <v/>
      </c>
      <c r="F152" s="34">
        <f>IF(COUNT(K152:AG152)=0,"",(K152*10+L152*8+M152*7+N152*5)/3)</f>
        <v/>
      </c>
      <c r="G152" s="34">
        <f>IF(COUNT(K152:AG152)=0,"",(P152*8+Q152*7+R152*5+S152*5)/3)</f>
        <v/>
      </c>
      <c r="H152" s="34">
        <f>IF(COUNT(K152:AG152)=0,"",(U152*6+V152*6+W152*4+X152*3+Y152*3+Z152*3)/3)</f>
        <v/>
      </c>
      <c r="I152" s="34">
        <f>IF(COUNT(K152:AG152)=0,"",AB152*3+AC152*2+AD152*2+AE152*1)</f>
        <v/>
      </c>
      <c r="J152" s="34">
        <f>IF(COUNT(K152:AG152)=0,"",(AF152*5+AG152*5)/3)</f>
        <v/>
      </c>
      <c r="K152" s="41" t="n"/>
      <c r="L152" s="41" t="n"/>
      <c r="M152" s="41" t="n"/>
      <c r="N152" s="41" t="n"/>
      <c r="P152" s="41" t="n"/>
      <c r="Q152" s="41" t="n"/>
      <c r="R152" s="41" t="n"/>
      <c r="S152" s="41" t="n"/>
      <c r="U152" s="41" t="n"/>
      <c r="V152" s="41" t="n"/>
      <c r="W152" s="41" t="n"/>
      <c r="X152" s="41" t="n"/>
      <c r="Y152" s="41" t="n"/>
      <c r="Z152" s="41" t="n"/>
      <c r="AB152" s="41" t="n"/>
      <c r="AC152" s="41" t="n"/>
      <c r="AD152" s="41" t="n"/>
      <c r="AE152" s="41" t="n"/>
      <c r="AF152" s="41" t="n"/>
      <c r="AG152" s="41" t="n"/>
    </row>
    <row r="153" ht="14.25" customHeight="1" s="60">
      <c r="E153" s="33">
        <f>IF(COUNT(K153:AG153)=0,"",ROUND((F153+G153+H153+I153+J153)/10,2))</f>
        <v/>
      </c>
      <c r="F153" s="34">
        <f>IF(COUNT(K153:AG153)=0,"",(K153*10+L153*8+M153*7+N153*5)/3)</f>
        <v/>
      </c>
      <c r="G153" s="34">
        <f>IF(COUNT(K153:AG153)=0,"",(P153*8+Q153*7+R153*5+S153*5)/3)</f>
        <v/>
      </c>
      <c r="H153" s="34">
        <f>IF(COUNT(K153:AG153)=0,"",(U153*6+V153*6+W153*4+X153*3+Y153*3+Z153*3)/3)</f>
        <v/>
      </c>
      <c r="I153" s="34">
        <f>IF(COUNT(K153:AG153)=0,"",AB153*3+AC153*2+AD153*2+AE153*1)</f>
        <v/>
      </c>
      <c r="J153" s="34">
        <f>IF(COUNT(K153:AG153)=0,"",(AF153*5+AG153*5)/3)</f>
        <v/>
      </c>
      <c r="K153" s="41" t="n"/>
      <c r="L153" s="41" t="n"/>
      <c r="M153" s="41" t="n"/>
      <c r="N153" s="41" t="n"/>
      <c r="P153" s="41" t="n"/>
      <c r="Q153" s="41" t="n"/>
      <c r="R153" s="41" t="n"/>
      <c r="S153" s="41" t="n"/>
      <c r="U153" s="41" t="n"/>
      <c r="V153" s="41" t="n"/>
      <c r="W153" s="41" t="n"/>
      <c r="X153" s="41" t="n"/>
      <c r="Y153" s="41" t="n"/>
      <c r="Z153" s="41" t="n"/>
      <c r="AB153" s="41" t="n"/>
      <c r="AC153" s="41" t="n"/>
      <c r="AD153" s="41" t="n"/>
      <c r="AE153" s="41" t="n"/>
      <c r="AF153" s="41" t="n"/>
      <c r="AG153" s="41" t="n"/>
    </row>
    <row r="154" ht="14.25" customHeight="1" s="60">
      <c r="E154" s="33">
        <f>IF(COUNT(K154:AG154)=0,"",ROUND((F154+G154+H154+I154+J154)/10,2))</f>
        <v/>
      </c>
      <c r="F154" s="34">
        <f>IF(COUNT(K154:AG154)=0,"",(K154*10+L154*8+M154*7+N154*5)/3)</f>
        <v/>
      </c>
      <c r="G154" s="34">
        <f>IF(COUNT(K154:AG154)=0,"",(P154*8+Q154*7+R154*5+S154*5)/3)</f>
        <v/>
      </c>
      <c r="H154" s="34">
        <f>IF(COUNT(K154:AG154)=0,"",(U154*6+V154*6+W154*4+X154*3+Y154*3+Z154*3)/3)</f>
        <v/>
      </c>
      <c r="I154" s="34">
        <f>IF(COUNT(K154:AG154)=0,"",AB154*3+AC154*2+AD154*2+AE154*1)</f>
        <v/>
      </c>
      <c r="J154" s="34">
        <f>IF(COUNT(K154:AG154)=0,"",(AF154*5+AG154*5)/3)</f>
        <v/>
      </c>
      <c r="K154" s="41" t="n"/>
      <c r="L154" s="41" t="n"/>
      <c r="M154" s="41" t="n"/>
      <c r="N154" s="41" t="n"/>
      <c r="P154" s="41" t="n"/>
      <c r="Q154" s="41" t="n"/>
      <c r="R154" s="41" t="n"/>
      <c r="S154" s="41" t="n"/>
      <c r="U154" s="41" t="n"/>
      <c r="V154" s="41" t="n"/>
      <c r="W154" s="41" t="n"/>
      <c r="X154" s="41" t="n"/>
      <c r="Y154" s="41" t="n"/>
      <c r="Z154" s="41" t="n"/>
      <c r="AB154" s="41" t="n"/>
      <c r="AC154" s="41" t="n"/>
      <c r="AD154" s="41" t="n"/>
      <c r="AE154" s="41" t="n"/>
      <c r="AF154" s="41" t="n"/>
      <c r="AG154" s="41" t="n"/>
    </row>
    <row r="155" ht="14.25" customHeight="1" s="60">
      <c r="E155" s="33">
        <f>IF(COUNT(K155:AG155)=0,"",ROUND((F155+G155+H155+I155+J155)/10,2))</f>
        <v/>
      </c>
      <c r="F155" s="34">
        <f>IF(COUNT(K155:AG155)=0,"",(K155*10+L155*8+M155*7+N155*5)/3)</f>
        <v/>
      </c>
      <c r="G155" s="34">
        <f>IF(COUNT(K155:AG155)=0,"",(P155*8+Q155*7+R155*5+S155*5)/3)</f>
        <v/>
      </c>
      <c r="H155" s="34">
        <f>IF(COUNT(K155:AG155)=0,"",(U155*6+V155*6+W155*4+X155*3+Y155*3+Z155*3)/3)</f>
        <v/>
      </c>
      <c r="I155" s="34">
        <f>IF(COUNT(K155:AG155)=0,"",AB155*3+AC155*2+AD155*2+AE155*1)</f>
        <v/>
      </c>
      <c r="J155" s="34">
        <f>IF(COUNT(K155:AG155)=0,"",(AF155*5+AG155*5)/3)</f>
        <v/>
      </c>
      <c r="K155" s="41" t="n"/>
      <c r="L155" s="41" t="n"/>
      <c r="M155" s="41" t="n"/>
      <c r="N155" s="41" t="n"/>
      <c r="P155" s="41" t="n"/>
      <c r="Q155" s="41" t="n"/>
      <c r="R155" s="41" t="n"/>
      <c r="S155" s="41" t="n"/>
      <c r="U155" s="41" t="n"/>
      <c r="V155" s="41" t="n"/>
      <c r="W155" s="41" t="n"/>
      <c r="X155" s="41" t="n"/>
      <c r="Y155" s="41" t="n"/>
      <c r="Z155" s="41" t="n"/>
      <c r="AB155" s="41" t="n"/>
      <c r="AC155" s="41" t="n"/>
      <c r="AD155" s="41" t="n"/>
      <c r="AE155" s="41" t="n"/>
      <c r="AF155" s="41" t="n"/>
      <c r="AG155" s="41" t="n"/>
    </row>
    <row r="156" ht="14.25" customHeight="1" s="60">
      <c r="E156" s="33">
        <f>IF(COUNT(K156:AG156)=0,"",ROUND((F156+G156+H156+I156+J156)/10,2))</f>
        <v/>
      </c>
      <c r="F156" s="34">
        <f>IF(COUNT(K156:AG156)=0,"",(K156*10+L156*8+M156*7+N156*5)/3)</f>
        <v/>
      </c>
      <c r="G156" s="34">
        <f>IF(COUNT(K156:AG156)=0,"",(P156*8+Q156*7+R156*5+S156*5)/3)</f>
        <v/>
      </c>
      <c r="H156" s="34">
        <f>IF(COUNT(K156:AG156)=0,"",(U156*6+V156*6+W156*4+X156*3+Y156*3+Z156*3)/3)</f>
        <v/>
      </c>
      <c r="I156" s="34">
        <f>IF(COUNT(K156:AG156)=0,"",AB156*3+AC156*2+AD156*2+AE156*1)</f>
        <v/>
      </c>
      <c r="J156" s="34">
        <f>IF(COUNT(K156:AG156)=0,"",(AF156*5+AG156*5)/3)</f>
        <v/>
      </c>
      <c r="K156" s="41" t="n"/>
      <c r="L156" s="41" t="n"/>
      <c r="M156" s="41" t="n"/>
      <c r="N156" s="41" t="n"/>
      <c r="P156" s="41" t="n"/>
      <c r="Q156" s="41" t="n"/>
      <c r="R156" s="41" t="n"/>
      <c r="S156" s="41" t="n"/>
      <c r="U156" s="41" t="n"/>
      <c r="V156" s="41" t="n"/>
      <c r="W156" s="41" t="n"/>
      <c r="X156" s="41" t="n"/>
      <c r="Y156" s="41" t="n"/>
      <c r="Z156" s="41" t="n"/>
      <c r="AB156" s="41" t="n"/>
      <c r="AC156" s="41" t="n"/>
      <c r="AD156" s="41" t="n"/>
      <c r="AE156" s="41" t="n"/>
      <c r="AF156" s="41" t="n"/>
      <c r="AG156" s="41" t="n"/>
    </row>
    <row r="157" ht="14.25" customHeight="1" s="60">
      <c r="E157" s="33">
        <f>IF(COUNT(K157:AG157)=0,"",ROUND((F157+G157+H157+I157+J157)/10,2))</f>
        <v/>
      </c>
      <c r="F157" s="34">
        <f>IF(COUNT(K157:AG157)=0,"",(K157*10+L157*8+M157*7+N157*5)/3)</f>
        <v/>
      </c>
      <c r="G157" s="34">
        <f>IF(COUNT(K157:AG157)=0,"",(P157*8+Q157*7+R157*5+S157*5)/3)</f>
        <v/>
      </c>
      <c r="H157" s="34">
        <f>IF(COUNT(K157:AG157)=0,"",(U157*6+V157*6+W157*4+X157*3+Y157*3+Z157*3)/3)</f>
        <v/>
      </c>
      <c r="I157" s="34">
        <f>IF(COUNT(K157:AG157)=0,"",AB157*3+AC157*2+AD157*2+AE157*1)</f>
        <v/>
      </c>
      <c r="J157" s="34">
        <f>IF(COUNT(K157:AG157)=0,"",(AF157*5+AG157*5)/3)</f>
        <v/>
      </c>
      <c r="K157" s="41" t="n"/>
      <c r="L157" s="41" t="n"/>
      <c r="M157" s="41" t="n"/>
      <c r="N157" s="41" t="n"/>
      <c r="P157" s="41" t="n"/>
      <c r="Q157" s="41" t="n"/>
      <c r="R157" s="41" t="n"/>
      <c r="S157" s="41" t="n"/>
      <c r="U157" s="41" t="n"/>
      <c r="V157" s="41" t="n"/>
      <c r="W157" s="41" t="n"/>
      <c r="X157" s="41" t="n"/>
      <c r="Y157" s="41" t="n"/>
      <c r="Z157" s="41" t="n"/>
      <c r="AB157" s="41" t="n"/>
      <c r="AC157" s="41" t="n"/>
      <c r="AD157" s="41" t="n"/>
      <c r="AE157" s="41" t="n"/>
      <c r="AF157" s="41" t="n"/>
      <c r="AG157" s="41" t="n"/>
    </row>
    <row r="158" ht="14.25" customHeight="1" s="60">
      <c r="E158" s="33">
        <f>IF(COUNT(K158:AG158)=0,"",ROUND((F158+G158+H158+I158+J158)/10,2))</f>
        <v/>
      </c>
      <c r="F158" s="34">
        <f>IF(COUNT(K158:AG158)=0,"",(K158*10+L158*8+M158*7+N158*5)/3)</f>
        <v/>
      </c>
      <c r="G158" s="34">
        <f>IF(COUNT(K158:AG158)=0,"",(P158*8+Q158*7+R158*5+S158*5)/3)</f>
        <v/>
      </c>
      <c r="H158" s="34">
        <f>IF(COUNT(K158:AG158)=0,"",(U158*6+V158*6+W158*4+X158*3+Y158*3+Z158*3)/3)</f>
        <v/>
      </c>
      <c r="I158" s="34">
        <f>IF(COUNT(K158:AG158)=0,"",AB158*3+AC158*2+AD158*2+AE158*1)</f>
        <v/>
      </c>
      <c r="J158" s="34">
        <f>IF(COUNT(K158:AG158)=0,"",(AF158*5+AG158*5)/3)</f>
        <v/>
      </c>
      <c r="K158" s="41" t="n"/>
      <c r="L158" s="41" t="n"/>
      <c r="M158" s="41" t="n"/>
      <c r="N158" s="41" t="n"/>
      <c r="P158" s="41" t="n"/>
      <c r="Q158" s="41" t="n"/>
      <c r="R158" s="41" t="n"/>
      <c r="S158" s="41" t="n"/>
      <c r="U158" s="41" t="n"/>
      <c r="V158" s="41" t="n"/>
      <c r="W158" s="41" t="n"/>
      <c r="X158" s="41" t="n"/>
      <c r="Y158" s="41" t="n"/>
      <c r="Z158" s="41" t="n"/>
      <c r="AB158" s="41" t="n"/>
      <c r="AC158" s="41" t="n"/>
      <c r="AD158" s="41" t="n"/>
      <c r="AE158" s="41" t="n"/>
      <c r="AF158" s="41" t="n"/>
      <c r="AG158" s="41" t="n"/>
    </row>
    <row r="159" ht="14.25" customHeight="1" s="60">
      <c r="E159" s="33">
        <f>IF(COUNT(K159:AG159)=0,"",ROUND((F159+G159+H159+I159+J159)/10,2))</f>
        <v/>
      </c>
      <c r="F159" s="34">
        <f>IF(COUNT(K159:AG159)=0,"",(K159*10+L159*8+M159*7+N159*5)/3)</f>
        <v/>
      </c>
      <c r="G159" s="34">
        <f>IF(COUNT(K159:AG159)=0,"",(P159*8+Q159*7+R159*5+S159*5)/3)</f>
        <v/>
      </c>
      <c r="H159" s="34">
        <f>IF(COUNT(K159:AG159)=0,"",(U159*6+V159*6+W159*4+X159*3+Y159*3+Z159*3)/3)</f>
        <v/>
      </c>
      <c r="I159" s="34">
        <f>IF(COUNT(K159:AG159)=0,"",AB159*3+AC159*2+AD159*2+AE159*1)</f>
        <v/>
      </c>
      <c r="J159" s="34">
        <f>IF(COUNT(K159:AG159)=0,"",(AF159*5+AG159*5)/3)</f>
        <v/>
      </c>
      <c r="K159" s="41" t="n"/>
      <c r="L159" s="41" t="n"/>
      <c r="M159" s="41" t="n"/>
      <c r="N159" s="41" t="n"/>
      <c r="P159" s="41" t="n"/>
      <c r="Q159" s="41" t="n"/>
      <c r="R159" s="41" t="n"/>
      <c r="S159" s="41" t="n"/>
      <c r="U159" s="41" t="n"/>
      <c r="V159" s="41" t="n"/>
      <c r="W159" s="41" t="n"/>
      <c r="X159" s="41" t="n"/>
      <c r="Y159" s="41" t="n"/>
      <c r="Z159" s="41" t="n"/>
      <c r="AB159" s="41" t="n"/>
      <c r="AC159" s="41" t="n"/>
      <c r="AD159" s="41" t="n"/>
      <c r="AE159" s="41" t="n"/>
      <c r="AF159" s="41" t="n"/>
      <c r="AG159" s="41" t="n"/>
    </row>
    <row r="160" ht="14.25" customHeight="1" s="60">
      <c r="E160" s="33">
        <f>IF(COUNT(K160:AG160)=0,"",ROUND((F160+G160+H160+I160+J160)/10,2))</f>
        <v/>
      </c>
      <c r="F160" s="34">
        <f>IF(COUNT(K160:AG160)=0,"",(K160*10+L160*8+M160*7+N160*5)/3)</f>
        <v/>
      </c>
      <c r="G160" s="34">
        <f>IF(COUNT(K160:AG160)=0,"",(P160*8+Q160*7+R160*5+S160*5)/3)</f>
        <v/>
      </c>
      <c r="H160" s="34">
        <f>IF(COUNT(K160:AG160)=0,"",(U160*6+V160*6+W160*4+X160*3+Y160*3+Z160*3)/3)</f>
        <v/>
      </c>
      <c r="I160" s="34">
        <f>IF(COUNT(K160:AG160)=0,"",AB160*3+AC160*2+AD160*2+AE160*1)</f>
        <v/>
      </c>
      <c r="J160" s="34">
        <f>IF(COUNT(K160:AG160)=0,"",(AF160*5+AG160*5)/3)</f>
        <v/>
      </c>
      <c r="K160" s="41" t="n"/>
      <c r="L160" s="41" t="n"/>
      <c r="M160" s="41" t="n"/>
      <c r="N160" s="41" t="n"/>
      <c r="P160" s="41" t="n"/>
      <c r="Q160" s="41" t="n"/>
      <c r="R160" s="41" t="n"/>
      <c r="S160" s="41" t="n"/>
      <c r="U160" s="41" t="n"/>
      <c r="V160" s="41" t="n"/>
      <c r="W160" s="41" t="n"/>
      <c r="X160" s="41" t="n"/>
      <c r="Y160" s="41" t="n"/>
      <c r="Z160" s="41" t="n"/>
      <c r="AB160" s="41" t="n"/>
      <c r="AC160" s="41" t="n"/>
      <c r="AD160" s="41" t="n"/>
      <c r="AE160" s="41" t="n"/>
      <c r="AF160" s="41" t="n"/>
      <c r="AG160" s="41" t="n"/>
    </row>
    <row r="161" ht="14.25" customHeight="1" s="60">
      <c r="E161" s="33">
        <f>IF(COUNT(K161:AG161)=0,"",ROUND((F161+G161+H161+I161+J161)/10,2))</f>
        <v/>
      </c>
      <c r="F161" s="34">
        <f>IF(COUNT(K161:AG161)=0,"",(K161*10+L161*8+M161*7+N161*5)/3)</f>
        <v/>
      </c>
      <c r="G161" s="34">
        <f>IF(COUNT(K161:AG161)=0,"",(P161*8+Q161*7+R161*5+S161*5)/3)</f>
        <v/>
      </c>
      <c r="H161" s="34">
        <f>IF(COUNT(K161:AG161)=0,"",(U161*6+V161*6+W161*4+X161*3+Y161*3+Z161*3)/3)</f>
        <v/>
      </c>
      <c r="I161" s="34">
        <f>IF(COUNT(K161:AG161)=0,"",AB161*3+AC161*2+AD161*2+AE161*1)</f>
        <v/>
      </c>
      <c r="J161" s="34">
        <f>IF(COUNT(K161:AG161)=0,"",(AF161*5+AG161*5)/3)</f>
        <v/>
      </c>
      <c r="K161" s="41" t="n"/>
      <c r="L161" s="41" t="n"/>
      <c r="M161" s="41" t="n"/>
      <c r="N161" s="41" t="n"/>
      <c r="P161" s="41" t="n"/>
      <c r="Q161" s="41" t="n"/>
      <c r="R161" s="41" t="n"/>
      <c r="S161" s="41" t="n"/>
      <c r="U161" s="41" t="n"/>
      <c r="V161" s="41" t="n"/>
      <c r="W161" s="41" t="n"/>
      <c r="X161" s="41" t="n"/>
      <c r="Y161" s="41" t="n"/>
      <c r="Z161" s="41" t="n"/>
      <c r="AB161" s="41" t="n"/>
      <c r="AC161" s="41" t="n"/>
      <c r="AD161" s="41" t="n"/>
      <c r="AE161" s="41" t="n"/>
      <c r="AF161" s="41" t="n"/>
      <c r="AG161" s="41" t="n"/>
    </row>
    <row r="162" ht="14.25" customHeight="1" s="60">
      <c r="E162" s="33">
        <f>IF(COUNT(K162:AG162)=0,"",ROUND((F162+G162+H162+I162+J162)/10,2))</f>
        <v/>
      </c>
      <c r="F162" s="34">
        <f>IF(COUNT(K162:AG162)=0,"",(K162*10+L162*8+M162*7+N162*5)/3)</f>
        <v/>
      </c>
      <c r="G162" s="34">
        <f>IF(COUNT(K162:AG162)=0,"",(P162*8+Q162*7+R162*5+S162*5)/3)</f>
        <v/>
      </c>
      <c r="H162" s="34">
        <f>IF(COUNT(K162:AG162)=0,"",(U162*6+V162*6+W162*4+X162*3+Y162*3+Z162*3)/3)</f>
        <v/>
      </c>
      <c r="I162" s="34">
        <f>IF(COUNT(K162:AG162)=0,"",AB162*3+AC162*2+AD162*2+AE162*1)</f>
        <v/>
      </c>
      <c r="J162" s="34">
        <f>IF(COUNT(K162:AG162)=0,"",(AF162*5+AG162*5)/3)</f>
        <v/>
      </c>
      <c r="K162" s="41" t="n"/>
      <c r="L162" s="41" t="n"/>
      <c r="M162" s="41" t="n"/>
      <c r="N162" s="41" t="n"/>
      <c r="P162" s="41" t="n"/>
      <c r="Q162" s="41" t="n"/>
      <c r="R162" s="41" t="n"/>
      <c r="S162" s="41" t="n"/>
      <c r="U162" s="41" t="n"/>
      <c r="V162" s="41" t="n"/>
      <c r="W162" s="41" t="n"/>
      <c r="X162" s="41" t="n"/>
      <c r="Y162" s="41" t="n"/>
      <c r="Z162" s="41" t="n"/>
      <c r="AB162" s="41" t="n"/>
      <c r="AC162" s="41" t="n"/>
      <c r="AD162" s="41" t="n"/>
      <c r="AE162" s="41" t="n"/>
      <c r="AF162" s="41" t="n"/>
      <c r="AG162" s="41" t="n"/>
    </row>
    <row r="163" ht="14.25" customHeight="1" s="60">
      <c r="E163" s="33">
        <f>IF(COUNT(K163:AG163)=0,"",ROUND((F163+G163+H163+I163+J163)/10,2))</f>
        <v/>
      </c>
      <c r="F163" s="34">
        <f>IF(COUNT(K163:AG163)=0,"",(K163*10+L163*8+M163*7+N163*5)/3)</f>
        <v/>
      </c>
      <c r="G163" s="34">
        <f>IF(COUNT(K163:AG163)=0,"",(P163*8+Q163*7+R163*5+S163*5)/3)</f>
        <v/>
      </c>
      <c r="H163" s="34">
        <f>IF(COUNT(K163:AG163)=0,"",(U163*6+V163*6+W163*4+X163*3+Y163*3+Z163*3)/3)</f>
        <v/>
      </c>
      <c r="I163" s="34">
        <f>IF(COUNT(K163:AG163)=0,"",AB163*3+AC163*2+AD163*2+AE163*1)</f>
        <v/>
      </c>
      <c r="J163" s="34">
        <f>IF(COUNT(K163:AG163)=0,"",(AF163*5+AG163*5)/3)</f>
        <v/>
      </c>
      <c r="K163" s="41" t="n"/>
      <c r="L163" s="41" t="n"/>
      <c r="M163" s="41" t="n"/>
      <c r="N163" s="41" t="n"/>
      <c r="P163" s="41" t="n"/>
      <c r="Q163" s="41" t="n"/>
      <c r="R163" s="41" t="n"/>
      <c r="S163" s="41" t="n"/>
      <c r="U163" s="41" t="n"/>
      <c r="V163" s="41" t="n"/>
      <c r="W163" s="41" t="n"/>
      <c r="X163" s="41" t="n"/>
      <c r="Y163" s="41" t="n"/>
      <c r="Z163" s="41" t="n"/>
      <c r="AB163" s="41" t="n"/>
      <c r="AC163" s="41" t="n"/>
      <c r="AD163" s="41" t="n"/>
      <c r="AE163" s="41" t="n"/>
      <c r="AF163" s="41" t="n"/>
      <c r="AG163" s="41" t="n"/>
    </row>
    <row r="164" ht="14.25" customHeight="1" s="60">
      <c r="E164" s="33">
        <f>IF(COUNT(K164:AG164)=0,"",ROUND((F164+G164+H164+I164+J164)/10,2))</f>
        <v/>
      </c>
      <c r="F164" s="34">
        <f>IF(COUNT(K164:AG164)=0,"",(K164*10+L164*8+M164*7+N164*5)/3)</f>
        <v/>
      </c>
      <c r="G164" s="34">
        <f>IF(COUNT(K164:AG164)=0,"",(P164*8+Q164*7+R164*5+S164*5)/3)</f>
        <v/>
      </c>
      <c r="H164" s="34">
        <f>IF(COUNT(K164:AG164)=0,"",(U164*6+V164*6+W164*4+X164*3+Y164*3+Z164*3)/3)</f>
        <v/>
      </c>
      <c r="I164" s="34">
        <f>IF(COUNT(K164:AG164)=0,"",AB164*3+AC164*2+AD164*2+AE164*1)</f>
        <v/>
      </c>
      <c r="J164" s="34">
        <f>IF(COUNT(K164:AG164)=0,"",(AF164*5+AG164*5)/3)</f>
        <v/>
      </c>
      <c r="K164" s="41" t="n"/>
      <c r="L164" s="41" t="n"/>
      <c r="M164" s="41" t="n"/>
      <c r="N164" s="41" t="n"/>
      <c r="P164" s="41" t="n"/>
      <c r="Q164" s="41" t="n"/>
      <c r="R164" s="41" t="n"/>
      <c r="S164" s="41" t="n"/>
      <c r="U164" s="41" t="n"/>
      <c r="V164" s="41" t="n"/>
      <c r="W164" s="41" t="n"/>
      <c r="X164" s="41" t="n"/>
      <c r="Y164" s="41" t="n"/>
      <c r="Z164" s="41" t="n"/>
      <c r="AB164" s="41" t="n"/>
      <c r="AC164" s="41" t="n"/>
      <c r="AD164" s="41" t="n"/>
      <c r="AE164" s="41" t="n"/>
      <c r="AF164" s="41" t="n"/>
      <c r="AG164" s="41" t="n"/>
    </row>
    <row r="165" ht="14.25" customHeight="1" s="60">
      <c r="E165" s="33">
        <f>IF(COUNT(K165:AG165)=0,"",ROUND((F165+G165+H165+I165+J165)/10,2))</f>
        <v/>
      </c>
      <c r="F165" s="34">
        <f>IF(COUNT(K165:AG165)=0,"",(K165*10+L165*8+M165*7+N165*5)/3)</f>
        <v/>
      </c>
      <c r="G165" s="34">
        <f>IF(COUNT(K165:AG165)=0,"",(P165*8+Q165*7+R165*5+S165*5)/3)</f>
        <v/>
      </c>
      <c r="H165" s="34">
        <f>IF(COUNT(K165:AG165)=0,"",(U165*6+V165*6+W165*4+X165*3+Y165*3+Z165*3)/3)</f>
        <v/>
      </c>
      <c r="I165" s="34">
        <f>IF(COUNT(K165:AG165)=0,"",AB165*3+AC165*2+AD165*2+AE165*1)</f>
        <v/>
      </c>
      <c r="J165" s="34">
        <f>IF(COUNT(K165:AG165)=0,"",(AF165*5+AG165*5)/3)</f>
        <v/>
      </c>
      <c r="K165" s="41" t="n"/>
      <c r="L165" s="41" t="n"/>
      <c r="M165" s="41" t="n"/>
      <c r="N165" s="41" t="n"/>
      <c r="P165" s="41" t="n"/>
      <c r="Q165" s="41" t="n"/>
      <c r="R165" s="41" t="n"/>
      <c r="S165" s="41" t="n"/>
      <c r="U165" s="41" t="n"/>
      <c r="V165" s="41" t="n"/>
      <c r="W165" s="41" t="n"/>
      <c r="X165" s="41" t="n"/>
      <c r="Y165" s="41" t="n"/>
      <c r="Z165" s="41" t="n"/>
      <c r="AB165" s="41" t="n"/>
      <c r="AC165" s="41" t="n"/>
      <c r="AD165" s="41" t="n"/>
      <c r="AE165" s="41" t="n"/>
      <c r="AF165" s="41" t="n"/>
      <c r="AG165" s="41" t="n"/>
    </row>
    <row r="166" ht="14.25" customHeight="1" s="60">
      <c r="E166" s="33">
        <f>IF(COUNT(K166:AG166)=0,"",ROUND((F166+G166+H166+I166+J166)/10,2))</f>
        <v/>
      </c>
      <c r="F166" s="34">
        <f>IF(COUNT(K166:AG166)=0,"",(K166*10+L166*8+M166*7+N166*5)/3)</f>
        <v/>
      </c>
      <c r="G166" s="34">
        <f>IF(COUNT(K166:AG166)=0,"",(P166*8+Q166*7+R166*5+S166*5)/3)</f>
        <v/>
      </c>
      <c r="H166" s="34">
        <f>IF(COUNT(K166:AG166)=0,"",(U166*6+V166*6+W166*4+X166*3+Y166*3+Z166*3)/3)</f>
        <v/>
      </c>
      <c r="I166" s="34">
        <f>IF(COUNT(K166:AG166)=0,"",AB166*3+AC166*2+AD166*2+AE166*1)</f>
        <v/>
      </c>
      <c r="J166" s="34">
        <f>IF(COUNT(K166:AG166)=0,"",(AF166*5+AG166*5)/3)</f>
        <v/>
      </c>
      <c r="K166" s="41" t="n"/>
      <c r="L166" s="41" t="n"/>
      <c r="M166" s="41" t="n"/>
      <c r="N166" s="41" t="n"/>
      <c r="P166" s="41" t="n"/>
      <c r="Q166" s="41" t="n"/>
      <c r="R166" s="41" t="n"/>
      <c r="S166" s="41" t="n"/>
      <c r="U166" s="41" t="n"/>
      <c r="V166" s="41" t="n"/>
      <c r="W166" s="41" t="n"/>
      <c r="X166" s="41" t="n"/>
      <c r="Y166" s="41" t="n"/>
      <c r="Z166" s="41" t="n"/>
      <c r="AB166" s="41" t="n"/>
      <c r="AC166" s="41" t="n"/>
      <c r="AD166" s="41" t="n"/>
      <c r="AE166" s="41" t="n"/>
      <c r="AF166" s="41" t="n"/>
      <c r="AG166" s="41" t="n"/>
    </row>
    <row r="167" ht="14.25" customHeight="1" s="60">
      <c r="E167" s="33">
        <f>IF(COUNT(K167:AG167)=0,"",ROUND((F167+G167+H167+I167+J167)/10,2))</f>
        <v/>
      </c>
      <c r="F167" s="34">
        <f>IF(COUNT(K167:AG167)=0,"",(K167*10+L167*8+M167*7+N167*5)/3)</f>
        <v/>
      </c>
      <c r="G167" s="34">
        <f>IF(COUNT(K167:AG167)=0,"",(P167*8+Q167*7+R167*5+S167*5)/3)</f>
        <v/>
      </c>
      <c r="H167" s="34">
        <f>IF(COUNT(K167:AG167)=0,"",(U167*6+V167*6+W167*4+X167*3+Y167*3+Z167*3)/3)</f>
        <v/>
      </c>
      <c r="I167" s="34">
        <f>IF(COUNT(K167:AG167)=0,"",AB167*3+AC167*2+AD167*2+AE167*1)</f>
        <v/>
      </c>
      <c r="J167" s="34">
        <f>IF(COUNT(K167:AG167)=0,"",(AF167*5+AG167*5)/3)</f>
        <v/>
      </c>
      <c r="K167" s="41" t="n"/>
      <c r="L167" s="41" t="n"/>
      <c r="M167" s="41" t="n"/>
      <c r="N167" s="41" t="n"/>
      <c r="P167" s="41" t="n"/>
      <c r="Q167" s="41" t="n"/>
      <c r="R167" s="41" t="n"/>
      <c r="S167" s="41" t="n"/>
      <c r="U167" s="41" t="n"/>
      <c r="V167" s="41" t="n"/>
      <c r="W167" s="41" t="n"/>
      <c r="X167" s="41" t="n"/>
      <c r="Y167" s="41" t="n"/>
      <c r="Z167" s="41" t="n"/>
      <c r="AB167" s="41" t="n"/>
      <c r="AC167" s="41" t="n"/>
      <c r="AD167" s="41" t="n"/>
      <c r="AE167" s="41" t="n"/>
      <c r="AF167" s="41" t="n"/>
      <c r="AG167" s="41" t="n"/>
    </row>
    <row r="168" ht="14.25" customHeight="1" s="60">
      <c r="E168" s="33">
        <f>IF(COUNT(K168:AG168)=0,"",ROUND((F168+G168+H168+I168+J168)/10,2))</f>
        <v/>
      </c>
      <c r="F168" s="34">
        <f>IF(COUNT(K168:AG168)=0,"",(K168*10+L168*8+M168*7+N168*5)/3)</f>
        <v/>
      </c>
      <c r="G168" s="34">
        <f>IF(COUNT(K168:AG168)=0,"",(P168*8+Q168*7+R168*5+S168*5)/3)</f>
        <v/>
      </c>
      <c r="H168" s="34">
        <f>IF(COUNT(K168:AG168)=0,"",(U168*6+V168*6+W168*4+X168*3+Y168*3+Z168*3)/3)</f>
        <v/>
      </c>
      <c r="I168" s="34">
        <f>IF(COUNT(K168:AG168)=0,"",AB168*3+AC168*2+AD168*2+AE168*1)</f>
        <v/>
      </c>
      <c r="J168" s="34">
        <f>IF(COUNT(K168:AG168)=0,"",(AF168*5+AG168*5)/3)</f>
        <v/>
      </c>
      <c r="K168" s="41" t="n"/>
      <c r="L168" s="41" t="n"/>
      <c r="M168" s="41" t="n"/>
      <c r="N168" s="41" t="n"/>
      <c r="P168" s="41" t="n"/>
      <c r="Q168" s="41" t="n"/>
      <c r="R168" s="41" t="n"/>
      <c r="S168" s="41" t="n"/>
      <c r="U168" s="41" t="n"/>
      <c r="V168" s="41" t="n"/>
      <c r="W168" s="41" t="n"/>
      <c r="X168" s="41" t="n"/>
      <c r="Y168" s="41" t="n"/>
      <c r="Z168" s="41" t="n"/>
      <c r="AB168" s="41" t="n"/>
      <c r="AC168" s="41" t="n"/>
      <c r="AD168" s="41" t="n"/>
      <c r="AE168" s="41" t="n"/>
      <c r="AF168" s="41" t="n"/>
      <c r="AG168" s="41" t="n"/>
    </row>
    <row r="169" ht="14.25" customHeight="1" s="60">
      <c r="E169" s="33">
        <f>IF(COUNT(K169:AG169)=0,"",ROUND((F169+G169+H169+I169+J169)/10,2))</f>
        <v/>
      </c>
      <c r="F169" s="34">
        <f>IF(COUNT(K169:AG169)=0,"",(K169*10+L169*8+M169*7+N169*5)/3)</f>
        <v/>
      </c>
      <c r="G169" s="34">
        <f>IF(COUNT(K169:AG169)=0,"",(P169*8+Q169*7+R169*5+S169*5)/3)</f>
        <v/>
      </c>
      <c r="H169" s="34">
        <f>IF(COUNT(K169:AG169)=0,"",(U169*6+V169*6+W169*4+X169*3+Y169*3+Z169*3)/3)</f>
        <v/>
      </c>
      <c r="I169" s="34">
        <f>IF(COUNT(K169:AG169)=0,"",AB169*3+AC169*2+AD169*2+AE169*1)</f>
        <v/>
      </c>
      <c r="J169" s="34">
        <f>IF(COUNT(K169:AG169)=0,"",(AF169*5+AG169*5)/3)</f>
        <v/>
      </c>
      <c r="K169" s="41" t="n"/>
      <c r="L169" s="41" t="n"/>
      <c r="M169" s="41" t="n"/>
      <c r="N169" s="41" t="n"/>
      <c r="P169" s="41" t="n"/>
      <c r="Q169" s="41" t="n"/>
      <c r="R169" s="41" t="n"/>
      <c r="S169" s="41" t="n"/>
      <c r="U169" s="41" t="n"/>
      <c r="V169" s="41" t="n"/>
      <c r="W169" s="41" t="n"/>
      <c r="X169" s="41" t="n"/>
      <c r="Y169" s="41" t="n"/>
      <c r="Z169" s="41" t="n"/>
      <c r="AB169" s="41" t="n"/>
      <c r="AC169" s="41" t="n"/>
      <c r="AD169" s="41" t="n"/>
      <c r="AE169" s="41" t="n"/>
      <c r="AF169" s="41" t="n"/>
      <c r="AG169" s="41" t="n"/>
    </row>
    <row r="170" ht="14.25" customHeight="1" s="60">
      <c r="E170" s="33">
        <f>IF(COUNT(K170:AG170)=0,"",ROUND((F170+G170+H170+I170+J170)/10,2))</f>
        <v/>
      </c>
      <c r="F170" s="34">
        <f>IF(COUNT(K170:AG170)=0,"",(K170*10+L170*8+M170*7+N170*5)/3)</f>
        <v/>
      </c>
      <c r="G170" s="34">
        <f>IF(COUNT(K170:AG170)=0,"",(P170*8+Q170*7+R170*5+S170*5)/3)</f>
        <v/>
      </c>
      <c r="H170" s="34">
        <f>IF(COUNT(K170:AG170)=0,"",(U170*6+V170*6+W170*4+X170*3+Y170*3+Z170*3)/3)</f>
        <v/>
      </c>
      <c r="I170" s="34">
        <f>IF(COUNT(K170:AG170)=0,"",AB170*3+AC170*2+AD170*2+AE170*1)</f>
        <v/>
      </c>
      <c r="J170" s="34">
        <f>IF(COUNT(K170:AG170)=0,"",(AF170*5+AG170*5)/3)</f>
        <v/>
      </c>
      <c r="K170" s="41" t="n"/>
      <c r="L170" s="41" t="n"/>
      <c r="M170" s="41" t="n"/>
      <c r="N170" s="41" t="n"/>
      <c r="P170" s="41" t="n"/>
      <c r="Q170" s="41" t="n"/>
      <c r="R170" s="41" t="n"/>
      <c r="S170" s="41" t="n"/>
      <c r="U170" s="41" t="n"/>
      <c r="V170" s="41" t="n"/>
      <c r="W170" s="41" t="n"/>
      <c r="X170" s="41" t="n"/>
      <c r="Y170" s="41" t="n"/>
      <c r="Z170" s="41" t="n"/>
      <c r="AB170" s="41" t="n"/>
      <c r="AC170" s="41" t="n"/>
      <c r="AD170" s="41" t="n"/>
      <c r="AE170" s="41" t="n"/>
      <c r="AF170" s="41" t="n"/>
      <c r="AG170" s="41" t="n"/>
    </row>
    <row r="171" ht="14.25" customHeight="1" s="60">
      <c r="E171" s="33">
        <f>IF(COUNT(K171:AG171)=0,"",ROUND((F171+G171+H171+I171+J171)/10,2))</f>
        <v/>
      </c>
      <c r="F171" s="34">
        <f>IF(COUNT(K171:AG171)=0,"",(K171*10+L171*8+M171*7+N171*5)/3)</f>
        <v/>
      </c>
      <c r="G171" s="34">
        <f>IF(COUNT(K171:AG171)=0,"",(P171*8+Q171*7+R171*5+S171*5)/3)</f>
        <v/>
      </c>
      <c r="H171" s="34">
        <f>IF(COUNT(K171:AG171)=0,"",(U171*6+V171*6+W171*4+X171*3+Y171*3+Z171*3)/3)</f>
        <v/>
      </c>
      <c r="I171" s="34">
        <f>IF(COUNT(K171:AG171)=0,"",AB171*3+AC171*2+AD171*2+AE171*1)</f>
        <v/>
      </c>
      <c r="J171" s="34">
        <f>IF(COUNT(K171:AG171)=0,"",(AF171*5+AG171*5)/3)</f>
        <v/>
      </c>
      <c r="K171" s="41" t="n"/>
      <c r="L171" s="41" t="n"/>
      <c r="M171" s="41" t="n"/>
      <c r="N171" s="41" t="n"/>
      <c r="P171" s="41" t="n"/>
      <c r="Q171" s="41" t="n"/>
      <c r="R171" s="41" t="n"/>
      <c r="S171" s="41" t="n"/>
      <c r="U171" s="41" t="n"/>
      <c r="V171" s="41" t="n"/>
      <c r="W171" s="41" t="n"/>
      <c r="X171" s="41" t="n"/>
      <c r="Y171" s="41" t="n"/>
      <c r="Z171" s="41" t="n"/>
      <c r="AB171" s="41" t="n"/>
      <c r="AC171" s="41" t="n"/>
      <c r="AD171" s="41" t="n"/>
      <c r="AE171" s="41" t="n"/>
      <c r="AF171" s="41" t="n"/>
      <c r="AG171" s="41" t="n"/>
    </row>
    <row r="172" ht="14.25" customHeight="1" s="60">
      <c r="E172" s="33">
        <f>IF(COUNT(K172:AG172)=0,"",ROUND((F172+G172+H172+I172+J172)/10,2))</f>
        <v/>
      </c>
      <c r="F172" s="34">
        <f>IF(COUNT(K172:AG172)=0,"",(K172*10+L172*8+M172*7+N172*5)/3)</f>
        <v/>
      </c>
      <c r="G172" s="34">
        <f>IF(COUNT(K172:AG172)=0,"",(P172*8+Q172*7+R172*5+S172*5)/3)</f>
        <v/>
      </c>
      <c r="H172" s="34">
        <f>IF(COUNT(K172:AG172)=0,"",(U172*6+V172*6+W172*4+X172*3+Y172*3+Z172*3)/3)</f>
        <v/>
      </c>
      <c r="I172" s="34">
        <f>IF(COUNT(K172:AG172)=0,"",AB172*3+AC172*2+AD172*2+AE172*1)</f>
        <v/>
      </c>
      <c r="J172" s="34">
        <f>IF(COUNT(K172:AG172)=0,"",(AF172*5+AG172*5)/3)</f>
        <v/>
      </c>
      <c r="K172" s="41" t="n"/>
      <c r="L172" s="41" t="n"/>
      <c r="M172" s="41" t="n"/>
      <c r="N172" s="41" t="n"/>
      <c r="P172" s="41" t="n"/>
      <c r="Q172" s="41" t="n"/>
      <c r="R172" s="41" t="n"/>
      <c r="S172" s="41" t="n"/>
      <c r="U172" s="41" t="n"/>
      <c r="V172" s="41" t="n"/>
      <c r="W172" s="41" t="n"/>
      <c r="X172" s="41" t="n"/>
      <c r="Y172" s="41" t="n"/>
      <c r="Z172" s="41" t="n"/>
      <c r="AB172" s="41" t="n"/>
      <c r="AC172" s="41" t="n"/>
      <c r="AD172" s="41" t="n"/>
      <c r="AE172" s="41" t="n"/>
      <c r="AF172" s="41" t="n"/>
      <c r="AG172" s="41" t="n"/>
    </row>
    <row r="173" ht="14.25" customHeight="1" s="60">
      <c r="E173" s="33">
        <f>IF(COUNT(K173:AG173)=0,"",ROUND((F173+G173+H173+I173+J173)/10,2))</f>
        <v/>
      </c>
      <c r="F173" s="34">
        <f>IF(COUNT(K173:AG173)=0,"",(K173*10+L173*8+M173*7+N173*5)/3)</f>
        <v/>
      </c>
      <c r="G173" s="34">
        <f>IF(COUNT(K173:AG173)=0,"",(P173*8+Q173*7+R173*5+S173*5)/3)</f>
        <v/>
      </c>
      <c r="H173" s="34">
        <f>IF(COUNT(K173:AG173)=0,"",(U173*6+V173*6+W173*4+X173*3+Y173*3+Z173*3)/3)</f>
        <v/>
      </c>
      <c r="I173" s="34">
        <f>IF(COUNT(K173:AG173)=0,"",AB173*3+AC173*2+AD173*2+AE173*1)</f>
        <v/>
      </c>
      <c r="J173" s="34">
        <f>IF(COUNT(K173:AG173)=0,"",(AF173*5+AG173*5)/3)</f>
        <v/>
      </c>
      <c r="K173" s="41" t="n"/>
      <c r="L173" s="41" t="n"/>
      <c r="M173" s="41" t="n"/>
      <c r="N173" s="41" t="n"/>
      <c r="P173" s="41" t="n"/>
      <c r="Q173" s="41" t="n"/>
      <c r="R173" s="41" t="n"/>
      <c r="S173" s="41" t="n"/>
      <c r="U173" s="41" t="n"/>
      <c r="V173" s="41" t="n"/>
      <c r="W173" s="41" t="n"/>
      <c r="X173" s="41" t="n"/>
      <c r="Y173" s="41" t="n"/>
      <c r="Z173" s="41" t="n"/>
      <c r="AB173" s="41" t="n"/>
      <c r="AC173" s="41" t="n"/>
      <c r="AD173" s="41" t="n"/>
      <c r="AE173" s="41" t="n"/>
      <c r="AF173" s="41" t="n"/>
      <c r="AG173" s="41" t="n"/>
    </row>
    <row r="174" ht="14.25" customHeight="1" s="60">
      <c r="E174" s="33">
        <f>IF(COUNT(K174:AG174)=0,"",ROUND((F174+G174+H174+I174+J174)/10,2))</f>
        <v/>
      </c>
      <c r="F174" s="34">
        <f>IF(COUNT(K174:AG174)=0,"",(K174*10+L174*8+M174*7+N174*5)/3)</f>
        <v/>
      </c>
      <c r="G174" s="34">
        <f>IF(COUNT(K174:AG174)=0,"",(P174*8+Q174*7+R174*5+S174*5)/3)</f>
        <v/>
      </c>
      <c r="H174" s="34">
        <f>IF(COUNT(K174:AG174)=0,"",(U174*6+V174*6+W174*4+X174*3+Y174*3+Z174*3)/3)</f>
        <v/>
      </c>
      <c r="I174" s="34">
        <f>IF(COUNT(K174:AG174)=0,"",AB174*3+AC174*2+AD174*2+AE174*1)</f>
        <v/>
      </c>
      <c r="J174" s="34">
        <f>IF(COUNT(K174:AG174)=0,"",(AF174*5+AG174*5)/3)</f>
        <v/>
      </c>
      <c r="K174" s="41" t="n"/>
      <c r="L174" s="41" t="n"/>
      <c r="M174" s="41" t="n"/>
      <c r="N174" s="41" t="n"/>
      <c r="P174" s="41" t="n"/>
      <c r="Q174" s="41" t="n"/>
      <c r="R174" s="41" t="n"/>
      <c r="S174" s="41" t="n"/>
      <c r="U174" s="41" t="n"/>
      <c r="V174" s="41" t="n"/>
      <c r="W174" s="41" t="n"/>
      <c r="X174" s="41" t="n"/>
      <c r="Y174" s="41" t="n"/>
      <c r="Z174" s="41" t="n"/>
      <c r="AB174" s="41" t="n"/>
      <c r="AC174" s="41" t="n"/>
      <c r="AD174" s="41" t="n"/>
      <c r="AE174" s="41" t="n"/>
      <c r="AF174" s="41" t="n"/>
      <c r="AG174" s="41" t="n"/>
    </row>
    <row r="175" ht="14.25" customHeight="1" s="60">
      <c r="E175" s="33">
        <f>IF(COUNT(K175:AG175)=0,"",ROUND((F175+G175+H175+I175+J175)/10,2))</f>
        <v/>
      </c>
      <c r="F175" s="34">
        <f>IF(COUNT(K175:AG175)=0,"",(K175*10+L175*8+M175*7+N175*5)/3)</f>
        <v/>
      </c>
      <c r="G175" s="34">
        <f>IF(COUNT(K175:AG175)=0,"",(P175*8+Q175*7+R175*5+S175*5)/3)</f>
        <v/>
      </c>
      <c r="H175" s="34">
        <f>IF(COUNT(K175:AG175)=0,"",(U175*6+V175*6+W175*4+X175*3+Y175*3+Z175*3)/3)</f>
        <v/>
      </c>
      <c r="I175" s="34">
        <f>IF(COUNT(K175:AG175)=0,"",AB175*3+AC175*2+AD175*2+AE175*1)</f>
        <v/>
      </c>
      <c r="J175" s="34">
        <f>IF(COUNT(K175:AG175)=0,"",(AF175*5+AG175*5)/3)</f>
        <v/>
      </c>
      <c r="K175" s="41" t="n"/>
      <c r="L175" s="41" t="n"/>
      <c r="M175" s="41" t="n"/>
      <c r="N175" s="41" t="n"/>
      <c r="P175" s="41" t="n"/>
      <c r="Q175" s="41" t="n"/>
      <c r="R175" s="41" t="n"/>
      <c r="S175" s="41" t="n"/>
      <c r="U175" s="41" t="n"/>
      <c r="V175" s="41" t="n"/>
      <c r="W175" s="41" t="n"/>
      <c r="X175" s="41" t="n"/>
      <c r="Y175" s="41" t="n"/>
      <c r="Z175" s="41" t="n"/>
      <c r="AB175" s="41" t="n"/>
      <c r="AC175" s="41" t="n"/>
      <c r="AD175" s="41" t="n"/>
      <c r="AE175" s="41" t="n"/>
      <c r="AF175" s="41" t="n"/>
      <c r="AG175" s="41" t="n"/>
    </row>
    <row r="176" ht="14.25" customHeight="1" s="60">
      <c r="E176" s="33">
        <f>IF(COUNT(K176:AG176)=0,"",ROUND((F176+G176+H176+I176+J176)/10,2))</f>
        <v/>
      </c>
      <c r="F176" s="34">
        <f>IF(COUNT(K176:AG176)=0,"",(K176*10+L176*8+M176*7+N176*5)/3)</f>
        <v/>
      </c>
      <c r="G176" s="34">
        <f>IF(COUNT(K176:AG176)=0,"",(P176*8+Q176*7+R176*5+S176*5)/3)</f>
        <v/>
      </c>
      <c r="H176" s="34">
        <f>IF(COUNT(K176:AG176)=0,"",(U176*6+V176*6+W176*4+X176*3+Y176*3+Z176*3)/3)</f>
        <v/>
      </c>
      <c r="I176" s="34">
        <f>IF(COUNT(K176:AG176)=0,"",AB176*3+AC176*2+AD176*2+AE176*1)</f>
        <v/>
      </c>
      <c r="J176" s="34">
        <f>IF(COUNT(K176:AG176)=0,"",(AF176*5+AG176*5)/3)</f>
        <v/>
      </c>
      <c r="K176" s="41" t="n"/>
      <c r="L176" s="41" t="n"/>
      <c r="M176" s="41" t="n"/>
      <c r="N176" s="41" t="n"/>
      <c r="P176" s="41" t="n"/>
      <c r="Q176" s="41" t="n"/>
      <c r="R176" s="41" t="n"/>
      <c r="S176" s="41" t="n"/>
      <c r="U176" s="41" t="n"/>
      <c r="V176" s="41" t="n"/>
      <c r="W176" s="41" t="n"/>
      <c r="X176" s="41" t="n"/>
      <c r="Y176" s="41" t="n"/>
      <c r="Z176" s="41" t="n"/>
      <c r="AB176" s="41" t="n"/>
      <c r="AC176" s="41" t="n"/>
      <c r="AD176" s="41" t="n"/>
      <c r="AE176" s="41" t="n"/>
      <c r="AF176" s="41" t="n"/>
      <c r="AG176" s="41" t="n"/>
    </row>
    <row r="177" ht="14.25" customHeight="1" s="60">
      <c r="E177" s="33">
        <f>IF(COUNT(K177:AG177)=0,"",ROUND((F177+G177+H177+I177+J177)/10,2))</f>
        <v/>
      </c>
      <c r="F177" s="34">
        <f>IF(COUNT(K177:AG177)=0,"",(K177*10+L177*8+M177*7+N177*5)/3)</f>
        <v/>
      </c>
      <c r="G177" s="34">
        <f>IF(COUNT(K177:AG177)=0,"",(P177*8+Q177*7+R177*5+S177*5)/3)</f>
        <v/>
      </c>
      <c r="H177" s="34">
        <f>IF(COUNT(K177:AG177)=0,"",(U177*6+V177*6+W177*4+X177*3+Y177*3+Z177*3)/3)</f>
        <v/>
      </c>
      <c r="I177" s="34">
        <f>IF(COUNT(K177:AG177)=0,"",AB177*3+AC177*2+AD177*2+AE177*1)</f>
        <v/>
      </c>
      <c r="J177" s="34">
        <f>IF(COUNT(K177:AG177)=0,"",(AF177*5+AG177*5)/3)</f>
        <v/>
      </c>
      <c r="K177" s="41" t="n"/>
      <c r="L177" s="41" t="n"/>
      <c r="M177" s="41" t="n"/>
      <c r="N177" s="41" t="n"/>
      <c r="P177" s="41" t="n"/>
      <c r="Q177" s="41" t="n"/>
      <c r="R177" s="41" t="n"/>
      <c r="S177" s="41" t="n"/>
      <c r="U177" s="41" t="n"/>
      <c r="V177" s="41" t="n"/>
      <c r="W177" s="41" t="n"/>
      <c r="X177" s="41" t="n"/>
      <c r="Y177" s="41" t="n"/>
      <c r="Z177" s="41" t="n"/>
      <c r="AB177" s="41" t="n"/>
      <c r="AC177" s="41" t="n"/>
      <c r="AD177" s="41" t="n"/>
      <c r="AE177" s="41" t="n"/>
      <c r="AF177" s="41" t="n"/>
      <c r="AG177" s="41" t="n"/>
    </row>
    <row r="178" ht="14.25" customHeight="1" s="60">
      <c r="E178" s="33">
        <f>IF(COUNT(K178:AG178)=0,"",ROUND((F178+G178+H178+I178+J178)/10,2))</f>
        <v/>
      </c>
      <c r="F178" s="34">
        <f>IF(COUNT(K178:AG178)=0,"",(K178*10+L178*8+M178*7+N178*5)/3)</f>
        <v/>
      </c>
      <c r="G178" s="34">
        <f>IF(COUNT(K178:AG178)=0,"",(P178*8+Q178*7+R178*5+S178*5)/3)</f>
        <v/>
      </c>
      <c r="H178" s="34">
        <f>IF(COUNT(K178:AG178)=0,"",(U178*6+V178*6+W178*4+X178*3+Y178*3+Z178*3)/3)</f>
        <v/>
      </c>
      <c r="I178" s="34">
        <f>IF(COUNT(K178:AG178)=0,"",AB178*3+AC178*2+AD178*2+AE178*1)</f>
        <v/>
      </c>
      <c r="J178" s="34">
        <f>IF(COUNT(K178:AG178)=0,"",(AF178*5+AG178*5)/3)</f>
        <v/>
      </c>
      <c r="K178" s="41" t="n"/>
      <c r="L178" s="41" t="n"/>
      <c r="M178" s="41" t="n"/>
      <c r="N178" s="41" t="n"/>
      <c r="P178" s="41" t="n"/>
      <c r="Q178" s="41" t="n"/>
      <c r="R178" s="41" t="n"/>
      <c r="S178" s="41" t="n"/>
      <c r="U178" s="41" t="n"/>
      <c r="V178" s="41" t="n"/>
      <c r="W178" s="41" t="n"/>
      <c r="X178" s="41" t="n"/>
      <c r="Y178" s="41" t="n"/>
      <c r="Z178" s="41" t="n"/>
      <c r="AB178" s="41" t="n"/>
      <c r="AC178" s="41" t="n"/>
      <c r="AD178" s="41" t="n"/>
      <c r="AE178" s="41" t="n"/>
      <c r="AF178" s="41" t="n"/>
      <c r="AG178" s="41" t="n"/>
    </row>
    <row r="179" ht="14.25" customHeight="1" s="60">
      <c r="E179" s="33">
        <f>IF(COUNT(K179:AG179)=0,"",ROUND((F179+G179+H179+I179+J179)/10,2))</f>
        <v/>
      </c>
      <c r="F179" s="34">
        <f>IF(COUNT(K179:AG179)=0,"",(K179*10+L179*8+M179*7+N179*5)/3)</f>
        <v/>
      </c>
      <c r="G179" s="34">
        <f>IF(COUNT(K179:AG179)=0,"",(P179*8+Q179*7+R179*5+S179*5)/3)</f>
        <v/>
      </c>
      <c r="H179" s="34">
        <f>IF(COUNT(K179:AG179)=0,"",(U179*6+V179*6+W179*4+X179*3+Y179*3+Z179*3)/3)</f>
        <v/>
      </c>
      <c r="I179" s="34">
        <f>IF(COUNT(K179:AG179)=0,"",AB179*3+AC179*2+AD179*2+AE179*1)</f>
        <v/>
      </c>
      <c r="J179" s="34">
        <f>IF(COUNT(K179:AG179)=0,"",(AF179*5+AG179*5)/3)</f>
        <v/>
      </c>
      <c r="K179" s="41" t="n"/>
      <c r="L179" s="41" t="n"/>
      <c r="M179" s="41" t="n"/>
      <c r="N179" s="41" t="n"/>
      <c r="P179" s="41" t="n"/>
      <c r="Q179" s="41" t="n"/>
      <c r="R179" s="41" t="n"/>
      <c r="S179" s="41" t="n"/>
      <c r="U179" s="41" t="n"/>
      <c r="V179" s="41" t="n"/>
      <c r="W179" s="41" t="n"/>
      <c r="X179" s="41" t="n"/>
      <c r="Y179" s="41" t="n"/>
      <c r="Z179" s="41" t="n"/>
      <c r="AB179" s="41" t="n"/>
      <c r="AC179" s="41" t="n"/>
      <c r="AD179" s="41" t="n"/>
      <c r="AE179" s="41" t="n"/>
      <c r="AF179" s="41" t="n"/>
      <c r="AG179" s="41" t="n"/>
    </row>
    <row r="180" ht="14.25" customHeight="1" s="60">
      <c r="E180" s="33">
        <f>IF(COUNT(K180:AG180)=0,"",ROUND((F180+G180+H180+I180+J180)/10,2))</f>
        <v/>
      </c>
      <c r="F180" s="34">
        <f>IF(COUNT(K180:AG180)=0,"",(K180*10+L180*8+M180*7+N180*5)/3)</f>
        <v/>
      </c>
      <c r="G180" s="34">
        <f>IF(COUNT(K180:AG180)=0,"",(P180*8+Q180*7+R180*5+S180*5)/3)</f>
        <v/>
      </c>
      <c r="H180" s="34">
        <f>IF(COUNT(K180:AG180)=0,"",(U180*6+V180*6+W180*4+X180*3+Y180*3+Z180*3)/3)</f>
        <v/>
      </c>
      <c r="I180" s="34">
        <f>IF(COUNT(K180:AG180)=0,"",AB180*3+AC180*2+AD180*2+AE180*1)</f>
        <v/>
      </c>
      <c r="J180" s="34">
        <f>IF(COUNT(K180:AG180)=0,"",(AF180*5+AG180*5)/3)</f>
        <v/>
      </c>
      <c r="K180" s="41" t="n"/>
      <c r="L180" s="41" t="n"/>
      <c r="M180" s="41" t="n"/>
      <c r="N180" s="41" t="n"/>
      <c r="P180" s="41" t="n"/>
      <c r="Q180" s="41" t="n"/>
      <c r="R180" s="41" t="n"/>
      <c r="S180" s="41" t="n"/>
      <c r="U180" s="41" t="n"/>
      <c r="V180" s="41" t="n"/>
      <c r="W180" s="41" t="n"/>
      <c r="X180" s="41" t="n"/>
      <c r="Y180" s="41" t="n"/>
      <c r="Z180" s="41" t="n"/>
      <c r="AB180" s="41" t="n"/>
      <c r="AC180" s="41" t="n"/>
      <c r="AD180" s="41" t="n"/>
      <c r="AE180" s="41" t="n"/>
      <c r="AF180" s="41" t="n"/>
      <c r="AG180" s="41" t="n"/>
    </row>
    <row r="181" ht="14.25" customHeight="1" s="60">
      <c r="E181" s="33">
        <f>IF(COUNT(K181:AG181)=0,"",ROUND((F181+G181+H181+I181+J181)/10,2))</f>
        <v/>
      </c>
      <c r="F181" s="34">
        <f>IF(COUNT(K181:AG181)=0,"",(K181*10+L181*8+M181*7+N181*5)/3)</f>
        <v/>
      </c>
      <c r="G181" s="34">
        <f>IF(COUNT(K181:AG181)=0,"",(P181*8+Q181*7+R181*5+S181*5)/3)</f>
        <v/>
      </c>
      <c r="H181" s="34">
        <f>IF(COUNT(K181:AG181)=0,"",(U181*6+V181*6+W181*4+X181*3+Y181*3+Z181*3)/3)</f>
        <v/>
      </c>
      <c r="I181" s="34">
        <f>IF(COUNT(K181:AG181)=0,"",AB181*3+AC181*2+AD181*2+AE181*1)</f>
        <v/>
      </c>
      <c r="J181" s="34">
        <f>IF(COUNT(K181:AG181)=0,"",(AF181*5+AG181*5)/3)</f>
        <v/>
      </c>
      <c r="K181" s="41" t="n"/>
      <c r="L181" s="41" t="n"/>
      <c r="M181" s="41" t="n"/>
      <c r="N181" s="41" t="n"/>
      <c r="P181" s="41" t="n"/>
      <c r="Q181" s="41" t="n"/>
      <c r="R181" s="41" t="n"/>
      <c r="S181" s="41" t="n"/>
      <c r="U181" s="41" t="n"/>
      <c r="V181" s="41" t="n"/>
      <c r="W181" s="41" t="n"/>
      <c r="X181" s="41" t="n"/>
      <c r="Y181" s="41" t="n"/>
      <c r="Z181" s="41" t="n"/>
      <c r="AB181" s="41" t="n"/>
      <c r="AC181" s="41" t="n"/>
      <c r="AD181" s="41" t="n"/>
      <c r="AE181" s="41" t="n"/>
      <c r="AF181" s="41" t="n"/>
      <c r="AG181" s="41" t="n"/>
    </row>
    <row r="182" ht="14.25" customHeight="1" s="60">
      <c r="E182" s="33">
        <f>IF(COUNT(K182:AG182)=0,"",ROUND((F182+G182+H182+I182+J182)/10,2))</f>
        <v/>
      </c>
      <c r="F182" s="34">
        <f>IF(COUNT(K182:AG182)=0,"",(K182*10+L182*8+M182*7+N182*5)/3)</f>
        <v/>
      </c>
      <c r="G182" s="34">
        <f>IF(COUNT(K182:AG182)=0,"",(P182*8+Q182*7+R182*5+S182*5)/3)</f>
        <v/>
      </c>
      <c r="H182" s="34">
        <f>IF(COUNT(K182:AG182)=0,"",(U182*6+V182*6+W182*4+X182*3+Y182*3+Z182*3)/3)</f>
        <v/>
      </c>
      <c r="I182" s="34">
        <f>IF(COUNT(K182:AG182)=0,"",AB182*3+AC182*2+AD182*2+AE182*1)</f>
        <v/>
      </c>
      <c r="J182" s="34">
        <f>IF(COUNT(K182:AG182)=0,"",(AF182*5+AG182*5)/3)</f>
        <v/>
      </c>
      <c r="K182" s="41" t="n"/>
      <c r="L182" s="41" t="n"/>
      <c r="M182" s="41" t="n"/>
      <c r="N182" s="41" t="n"/>
      <c r="P182" s="41" t="n"/>
      <c r="Q182" s="41" t="n"/>
      <c r="R182" s="41" t="n"/>
      <c r="S182" s="41" t="n"/>
      <c r="U182" s="41" t="n"/>
      <c r="V182" s="41" t="n"/>
      <c r="W182" s="41" t="n"/>
      <c r="X182" s="41" t="n"/>
      <c r="Y182" s="41" t="n"/>
      <c r="Z182" s="41" t="n"/>
      <c r="AB182" s="41" t="n"/>
      <c r="AC182" s="41" t="n"/>
      <c r="AD182" s="41" t="n"/>
      <c r="AE182" s="41" t="n"/>
      <c r="AF182" s="41" t="n"/>
      <c r="AG182" s="41" t="n"/>
    </row>
    <row r="183" ht="14.25" customHeight="1" s="60">
      <c r="E183" s="33">
        <f>IF(COUNT(K183:AG183)=0,"",ROUND((F183+G183+H183+I183+J183)/10,2))</f>
        <v/>
      </c>
      <c r="F183" s="34">
        <f>IF(COUNT(K183:AG183)=0,"",(K183*10+L183*8+M183*7+N183*5)/3)</f>
        <v/>
      </c>
      <c r="G183" s="34">
        <f>IF(COUNT(K183:AG183)=0,"",(P183*8+Q183*7+R183*5+S183*5)/3)</f>
        <v/>
      </c>
      <c r="H183" s="34">
        <f>IF(COUNT(K183:AG183)=0,"",(U183*6+V183*6+W183*4+X183*3+Y183*3+Z183*3)/3)</f>
        <v/>
      </c>
      <c r="I183" s="34">
        <f>IF(COUNT(K183:AG183)=0,"",AB183*3+AC183*2+AD183*2+AE183*1)</f>
        <v/>
      </c>
      <c r="J183" s="34">
        <f>IF(COUNT(K183:AG183)=0,"",(AF183*5+AG183*5)/3)</f>
        <v/>
      </c>
      <c r="K183" s="41" t="n"/>
      <c r="L183" s="41" t="n"/>
      <c r="M183" s="41" t="n"/>
      <c r="N183" s="41" t="n"/>
      <c r="P183" s="41" t="n"/>
      <c r="Q183" s="41" t="n"/>
      <c r="R183" s="41" t="n"/>
      <c r="S183" s="41" t="n"/>
      <c r="U183" s="41" t="n"/>
      <c r="V183" s="41" t="n"/>
      <c r="W183" s="41" t="n"/>
      <c r="X183" s="41" t="n"/>
      <c r="Y183" s="41" t="n"/>
      <c r="Z183" s="41" t="n"/>
      <c r="AB183" s="41" t="n"/>
      <c r="AC183" s="41" t="n"/>
      <c r="AD183" s="41" t="n"/>
      <c r="AE183" s="41" t="n"/>
      <c r="AF183" s="41" t="n"/>
      <c r="AG183" s="41" t="n"/>
    </row>
    <row r="184" ht="14.25" customHeight="1" s="60">
      <c r="E184" s="33">
        <f>IF(COUNT(K184:AG184)=0,"",ROUND((F184+G184+H184+I184+J184)/10,2))</f>
        <v/>
      </c>
      <c r="F184" s="34">
        <f>IF(COUNT(K184:AG184)=0,"",(K184*10+L184*8+M184*7+N184*5)/3)</f>
        <v/>
      </c>
      <c r="G184" s="34">
        <f>IF(COUNT(K184:AG184)=0,"",(P184*8+Q184*7+R184*5+S184*5)/3)</f>
        <v/>
      </c>
      <c r="H184" s="34">
        <f>IF(COUNT(K184:AG184)=0,"",(U184*6+V184*6+W184*4+X184*3+Y184*3+Z184*3)/3)</f>
        <v/>
      </c>
      <c r="I184" s="34">
        <f>IF(COUNT(K184:AG184)=0,"",AB184*3+AC184*2+AD184*2+AE184*1)</f>
        <v/>
      </c>
      <c r="J184" s="34">
        <f>IF(COUNT(K184:AG184)=0,"",(AF184*5+AG184*5)/3)</f>
        <v/>
      </c>
      <c r="K184" s="41" t="n"/>
      <c r="L184" s="41" t="n"/>
      <c r="M184" s="41" t="n"/>
      <c r="N184" s="41" t="n"/>
      <c r="P184" s="41" t="n"/>
      <c r="Q184" s="41" t="n"/>
      <c r="R184" s="41" t="n"/>
      <c r="S184" s="41" t="n"/>
      <c r="U184" s="41" t="n"/>
      <c r="V184" s="41" t="n"/>
      <c r="W184" s="41" t="n"/>
      <c r="X184" s="41" t="n"/>
      <c r="Y184" s="41" t="n"/>
      <c r="Z184" s="41" t="n"/>
      <c r="AB184" s="41" t="n"/>
      <c r="AC184" s="41" t="n"/>
      <c r="AD184" s="41" t="n"/>
      <c r="AE184" s="41" t="n"/>
      <c r="AF184" s="41" t="n"/>
      <c r="AG184" s="41" t="n"/>
    </row>
    <row r="185" ht="14.25" customHeight="1" s="60">
      <c r="E185" s="33">
        <f>IF(COUNT(K185:AG185)=0,"",ROUND((F185+G185+H185+I185+J185)/10,2))</f>
        <v/>
      </c>
      <c r="F185" s="34">
        <f>IF(COUNT(K185:AG185)=0,"",(K185*10+L185*8+M185*7+N185*5)/3)</f>
        <v/>
      </c>
      <c r="G185" s="34">
        <f>IF(COUNT(K185:AG185)=0,"",(P185*8+Q185*7+R185*5+S185*5)/3)</f>
        <v/>
      </c>
      <c r="H185" s="34">
        <f>IF(COUNT(K185:AG185)=0,"",(U185*6+V185*6+W185*4+X185*3+Y185*3+Z185*3)/3)</f>
        <v/>
      </c>
      <c r="I185" s="34">
        <f>IF(COUNT(K185:AG185)=0,"",AB185*3+AC185*2+AD185*2+AE185*1)</f>
        <v/>
      </c>
      <c r="J185" s="34">
        <f>IF(COUNT(K185:AG185)=0,"",(AF185*5+AG185*5)/3)</f>
        <v/>
      </c>
      <c r="K185" s="41" t="n"/>
      <c r="L185" s="41" t="n"/>
      <c r="M185" s="41" t="n"/>
      <c r="N185" s="41" t="n"/>
      <c r="P185" s="41" t="n"/>
      <c r="Q185" s="41" t="n"/>
      <c r="R185" s="41" t="n"/>
      <c r="S185" s="41" t="n"/>
      <c r="U185" s="41" t="n"/>
      <c r="V185" s="41" t="n"/>
      <c r="W185" s="41" t="n"/>
      <c r="X185" s="41" t="n"/>
      <c r="Y185" s="41" t="n"/>
      <c r="Z185" s="41" t="n"/>
      <c r="AB185" s="41" t="n"/>
      <c r="AC185" s="41" t="n"/>
      <c r="AD185" s="41" t="n"/>
      <c r="AE185" s="41" t="n"/>
      <c r="AF185" s="41" t="n"/>
      <c r="AG185" s="41" t="n"/>
    </row>
    <row r="186" ht="14.25" customHeight="1" s="60">
      <c r="E186" s="33">
        <f>IF(COUNT(K186:AG186)=0,"",ROUND((F186+G186+H186+I186+J186)/10,2))</f>
        <v/>
      </c>
      <c r="F186" s="34">
        <f>IF(COUNT(K186:AG186)=0,"",(K186*10+L186*8+M186*7+N186*5)/3)</f>
        <v/>
      </c>
      <c r="G186" s="34">
        <f>IF(COUNT(K186:AG186)=0,"",(P186*8+Q186*7+R186*5+S186*5)/3)</f>
        <v/>
      </c>
      <c r="H186" s="34">
        <f>IF(COUNT(K186:AG186)=0,"",(U186*6+V186*6+W186*4+X186*3+Y186*3+Z186*3)/3)</f>
        <v/>
      </c>
      <c r="I186" s="34">
        <f>IF(COUNT(K186:AG186)=0,"",AB186*3+AC186*2+AD186*2+AE186*1)</f>
        <v/>
      </c>
      <c r="J186" s="34">
        <f>IF(COUNT(K186:AG186)=0,"",(AF186*5+AG186*5)/3)</f>
        <v/>
      </c>
      <c r="K186" s="41" t="n"/>
      <c r="L186" s="41" t="n"/>
      <c r="M186" s="41" t="n"/>
      <c r="N186" s="41" t="n"/>
      <c r="P186" s="41" t="n"/>
      <c r="Q186" s="41" t="n"/>
      <c r="R186" s="41" t="n"/>
      <c r="S186" s="41" t="n"/>
      <c r="U186" s="41" t="n"/>
      <c r="V186" s="41" t="n"/>
      <c r="W186" s="41" t="n"/>
      <c r="X186" s="41" t="n"/>
      <c r="Y186" s="41" t="n"/>
      <c r="Z186" s="41" t="n"/>
      <c r="AB186" s="41" t="n"/>
      <c r="AC186" s="41" t="n"/>
      <c r="AD186" s="41" t="n"/>
      <c r="AE186" s="41" t="n"/>
      <c r="AF186" s="41" t="n"/>
      <c r="AG186" s="41" t="n"/>
    </row>
    <row r="187" ht="14.25" customHeight="1" s="60">
      <c r="E187" s="33">
        <f>IF(COUNT(K187:AG187)=0,"",ROUND((F187+G187+H187+I187+J187)/10,2))</f>
        <v/>
      </c>
      <c r="F187" s="34">
        <f>IF(COUNT(K187:AG187)=0,"",(K187*10+L187*8+M187*7+N187*5)/3)</f>
        <v/>
      </c>
      <c r="G187" s="34">
        <f>IF(COUNT(K187:AG187)=0,"",(P187*8+Q187*7+R187*5+S187*5)/3)</f>
        <v/>
      </c>
      <c r="H187" s="34">
        <f>IF(COUNT(K187:AG187)=0,"",(U187*6+V187*6+W187*4+X187*3+Y187*3+Z187*3)/3)</f>
        <v/>
      </c>
      <c r="I187" s="34">
        <f>IF(COUNT(K187:AG187)=0,"",AB187*3+AC187*2+AD187*2+AE187*1)</f>
        <v/>
      </c>
      <c r="J187" s="34">
        <f>IF(COUNT(K187:AG187)=0,"",(AF187*5+AG187*5)/3)</f>
        <v/>
      </c>
      <c r="K187" s="41" t="n"/>
      <c r="L187" s="41" t="n"/>
      <c r="M187" s="41" t="n"/>
      <c r="N187" s="41" t="n"/>
      <c r="P187" s="41" t="n"/>
      <c r="Q187" s="41" t="n"/>
      <c r="R187" s="41" t="n"/>
      <c r="S187" s="41" t="n"/>
      <c r="U187" s="41" t="n"/>
      <c r="V187" s="41" t="n"/>
      <c r="W187" s="41" t="n"/>
      <c r="X187" s="41" t="n"/>
      <c r="Y187" s="41" t="n"/>
      <c r="Z187" s="41" t="n"/>
      <c r="AB187" s="41" t="n"/>
      <c r="AC187" s="41" t="n"/>
      <c r="AD187" s="41" t="n"/>
      <c r="AE187" s="41" t="n"/>
      <c r="AF187" s="41" t="n"/>
      <c r="AG187" s="41" t="n"/>
    </row>
    <row r="188" ht="14.25" customHeight="1" s="60">
      <c r="E188" s="33">
        <f>IF(COUNT(K188:AG188)=0,"",ROUND((F188+G188+H188+I188+J188)/10,2))</f>
        <v/>
      </c>
      <c r="F188" s="34">
        <f>IF(COUNT(K188:AG188)=0,"",(K188*10+L188*8+M188*7+N188*5)/3)</f>
        <v/>
      </c>
      <c r="G188" s="34">
        <f>IF(COUNT(K188:AG188)=0,"",(P188*8+Q188*7+R188*5+S188*5)/3)</f>
        <v/>
      </c>
      <c r="H188" s="34">
        <f>IF(COUNT(K188:AG188)=0,"",(U188*6+V188*6+W188*4+X188*3+Y188*3+Z188*3)/3)</f>
        <v/>
      </c>
      <c r="I188" s="34">
        <f>IF(COUNT(K188:AG188)=0,"",AB188*3+AC188*2+AD188*2+AE188*1)</f>
        <v/>
      </c>
      <c r="J188" s="34">
        <f>IF(COUNT(K188:AG188)=0,"",(AF188*5+AG188*5)/3)</f>
        <v/>
      </c>
      <c r="K188" s="41" t="n"/>
      <c r="L188" s="41" t="n"/>
      <c r="M188" s="41" t="n"/>
      <c r="N188" s="41" t="n"/>
      <c r="P188" s="41" t="n"/>
      <c r="Q188" s="41" t="n"/>
      <c r="R188" s="41" t="n"/>
      <c r="S188" s="41" t="n"/>
      <c r="U188" s="41" t="n"/>
      <c r="V188" s="41" t="n"/>
      <c r="W188" s="41" t="n"/>
      <c r="X188" s="41" t="n"/>
      <c r="Y188" s="41" t="n"/>
      <c r="Z188" s="41" t="n"/>
      <c r="AB188" s="41" t="n"/>
      <c r="AC188" s="41" t="n"/>
      <c r="AD188" s="41" t="n"/>
      <c r="AE188" s="41" t="n"/>
      <c r="AF188" s="41" t="n"/>
      <c r="AG188" s="41" t="n"/>
    </row>
    <row r="189" ht="14.25" customHeight="1" s="60">
      <c r="E189" s="33">
        <f>IF(COUNT(K189:AG189)=0,"",ROUND((F189+G189+H189+I189+J189)/10,2))</f>
        <v/>
      </c>
      <c r="F189" s="34">
        <f>IF(COUNT(K189:AG189)=0,"",(K189*10+L189*8+M189*7+N189*5)/3)</f>
        <v/>
      </c>
      <c r="G189" s="34">
        <f>IF(COUNT(K189:AG189)=0,"",(P189*8+Q189*7+R189*5+S189*5)/3)</f>
        <v/>
      </c>
      <c r="H189" s="34">
        <f>IF(COUNT(K189:AG189)=0,"",(U189*6+V189*6+W189*4+X189*3+Y189*3+Z189*3)/3)</f>
        <v/>
      </c>
      <c r="I189" s="34">
        <f>IF(COUNT(K189:AG189)=0,"",AB189*3+AC189*2+AD189*2+AE189*1)</f>
        <v/>
      </c>
      <c r="J189" s="34">
        <f>IF(COUNT(K189:AG189)=0,"",(AF189*5+AG189*5)/3)</f>
        <v/>
      </c>
      <c r="K189" s="41" t="n"/>
      <c r="L189" s="41" t="n"/>
      <c r="M189" s="41" t="n"/>
      <c r="N189" s="41" t="n"/>
      <c r="P189" s="41" t="n"/>
      <c r="Q189" s="41" t="n"/>
      <c r="R189" s="41" t="n"/>
      <c r="S189" s="41" t="n"/>
      <c r="U189" s="41" t="n"/>
      <c r="V189" s="41" t="n"/>
      <c r="W189" s="41" t="n"/>
      <c r="X189" s="41" t="n"/>
      <c r="Y189" s="41" t="n"/>
      <c r="Z189" s="41" t="n"/>
      <c r="AB189" s="41" t="n"/>
      <c r="AC189" s="41" t="n"/>
      <c r="AD189" s="41" t="n"/>
      <c r="AE189" s="41" t="n"/>
      <c r="AF189" s="41" t="n"/>
      <c r="AG189" s="41" t="n"/>
    </row>
    <row r="190" ht="14.25" customHeight="1" s="60">
      <c r="E190" s="33">
        <f>IF(COUNT(K190:AG190)=0,"",ROUND((F190+G190+H190+I190+J190)/10,2))</f>
        <v/>
      </c>
      <c r="F190" s="34">
        <f>IF(COUNT(K190:AG190)=0,"",(K190*10+L190*8+M190*7+N190*5)/3)</f>
        <v/>
      </c>
      <c r="G190" s="34">
        <f>IF(COUNT(K190:AG190)=0,"",(P190*8+Q190*7+R190*5+S190*5)/3)</f>
        <v/>
      </c>
      <c r="H190" s="34">
        <f>IF(COUNT(K190:AG190)=0,"",(U190*6+V190*6+W190*4+X190*3+Y190*3+Z190*3)/3)</f>
        <v/>
      </c>
      <c r="I190" s="34">
        <f>IF(COUNT(K190:AG190)=0,"",AB190*3+AC190*2+AD190*2+AE190*1)</f>
        <v/>
      </c>
      <c r="J190" s="34">
        <f>IF(COUNT(K190:AG190)=0,"",(AF190*5+AG190*5)/3)</f>
        <v/>
      </c>
      <c r="K190" s="41" t="n"/>
      <c r="L190" s="41" t="n"/>
      <c r="M190" s="41" t="n"/>
      <c r="N190" s="41" t="n"/>
      <c r="P190" s="41" t="n"/>
      <c r="Q190" s="41" t="n"/>
      <c r="R190" s="41" t="n"/>
      <c r="S190" s="41" t="n"/>
      <c r="U190" s="41" t="n"/>
      <c r="V190" s="41" t="n"/>
      <c r="W190" s="41" t="n"/>
      <c r="X190" s="41" t="n"/>
      <c r="Y190" s="41" t="n"/>
      <c r="Z190" s="41" t="n"/>
      <c r="AB190" s="41" t="n"/>
      <c r="AC190" s="41" t="n"/>
      <c r="AD190" s="41" t="n"/>
      <c r="AE190" s="41" t="n"/>
      <c r="AF190" s="41" t="n"/>
      <c r="AG190" s="41" t="n"/>
    </row>
    <row r="191" ht="14.25" customHeight="1" s="60">
      <c r="E191" s="33">
        <f>IF(COUNT(K191:AG191)=0,"",ROUND((F191+G191+H191+I191+J191)/10,2))</f>
        <v/>
      </c>
      <c r="F191" s="34">
        <f>IF(COUNT(K191:AG191)=0,"",(K191*10+L191*8+M191*7+N191*5)/3)</f>
        <v/>
      </c>
      <c r="G191" s="34">
        <f>IF(COUNT(K191:AG191)=0,"",(P191*8+Q191*7+R191*5+S191*5)/3)</f>
        <v/>
      </c>
      <c r="H191" s="34">
        <f>IF(COUNT(K191:AG191)=0,"",(U191*6+V191*6+W191*4+X191*3+Y191*3+Z191*3)/3)</f>
        <v/>
      </c>
      <c r="I191" s="34">
        <f>IF(COUNT(K191:AG191)=0,"",AB191*3+AC191*2+AD191*2+AE191*1)</f>
        <v/>
      </c>
      <c r="J191" s="34">
        <f>IF(COUNT(K191:AG191)=0,"",(AF191*5+AG191*5)/3)</f>
        <v/>
      </c>
      <c r="K191" s="41" t="n"/>
      <c r="L191" s="41" t="n"/>
      <c r="M191" s="41" t="n"/>
      <c r="N191" s="41" t="n"/>
      <c r="P191" s="41" t="n"/>
      <c r="Q191" s="41" t="n"/>
      <c r="R191" s="41" t="n"/>
      <c r="S191" s="41" t="n"/>
      <c r="U191" s="41" t="n"/>
      <c r="V191" s="41" t="n"/>
      <c r="W191" s="41" t="n"/>
      <c r="X191" s="41" t="n"/>
      <c r="Y191" s="41" t="n"/>
      <c r="Z191" s="41" t="n"/>
      <c r="AB191" s="41" t="n"/>
      <c r="AC191" s="41" t="n"/>
      <c r="AD191" s="41" t="n"/>
      <c r="AE191" s="41" t="n"/>
      <c r="AF191" s="41" t="n"/>
      <c r="AG191" s="41" t="n"/>
    </row>
    <row r="192" ht="14.25" customHeight="1" s="60">
      <c r="E192" s="33">
        <f>IF(COUNT(K192:AG192)=0,"",ROUND((F192+G192+H192+I192+J192)/10,2))</f>
        <v/>
      </c>
      <c r="F192" s="34">
        <f>IF(COUNT(K192:AG192)=0,"",(K192*10+L192*8+M192*7+N192*5)/3)</f>
        <v/>
      </c>
      <c r="G192" s="34">
        <f>IF(COUNT(K192:AG192)=0,"",(P192*8+Q192*7+R192*5+S192*5)/3)</f>
        <v/>
      </c>
      <c r="H192" s="34">
        <f>IF(COUNT(K192:AG192)=0,"",(U192*6+V192*6+W192*4+X192*3+Y192*3+Z192*3)/3)</f>
        <v/>
      </c>
      <c r="I192" s="34">
        <f>IF(COUNT(K192:AG192)=0,"",AB192*3+AC192*2+AD192*2+AE192*1)</f>
        <v/>
      </c>
      <c r="J192" s="34">
        <f>IF(COUNT(K192:AG192)=0,"",(AF192*5+AG192*5)/3)</f>
        <v/>
      </c>
      <c r="K192" s="41" t="n"/>
      <c r="L192" s="41" t="n"/>
      <c r="M192" s="41" t="n"/>
      <c r="N192" s="41" t="n"/>
      <c r="P192" s="41" t="n"/>
      <c r="Q192" s="41" t="n"/>
      <c r="R192" s="41" t="n"/>
      <c r="S192" s="41" t="n"/>
      <c r="U192" s="41" t="n"/>
      <c r="V192" s="41" t="n"/>
      <c r="W192" s="41" t="n"/>
      <c r="X192" s="41" t="n"/>
      <c r="Y192" s="41" t="n"/>
      <c r="Z192" s="41" t="n"/>
      <c r="AB192" s="41" t="n"/>
      <c r="AC192" s="41" t="n"/>
      <c r="AD192" s="41" t="n"/>
      <c r="AE192" s="41" t="n"/>
      <c r="AF192" s="41" t="n"/>
      <c r="AG192" s="41" t="n"/>
    </row>
    <row r="193" ht="14.25" customHeight="1" s="60">
      <c r="E193" s="33">
        <f>IF(COUNT(K193:AG193)=0,"",ROUND((F193+G193+H193+I193+J193)/10,2))</f>
        <v/>
      </c>
      <c r="F193" s="34">
        <f>IF(COUNT(K193:AG193)=0,"",(K193*10+L193*8+M193*7+N193*5)/3)</f>
        <v/>
      </c>
      <c r="G193" s="34">
        <f>IF(COUNT(K193:AG193)=0,"",(P193*8+Q193*7+R193*5+S193*5)/3)</f>
        <v/>
      </c>
      <c r="H193" s="34">
        <f>IF(COUNT(K193:AG193)=0,"",(U193*6+V193*6+W193*4+X193*3+Y193*3+Z193*3)/3)</f>
        <v/>
      </c>
      <c r="I193" s="34">
        <f>IF(COUNT(K193:AG193)=0,"",AB193*3+AC193*2+AD193*2+AE193*1)</f>
        <v/>
      </c>
      <c r="J193" s="34">
        <f>IF(COUNT(K193:AG193)=0,"",(AF193*5+AG193*5)/3)</f>
        <v/>
      </c>
      <c r="K193" s="41" t="n"/>
      <c r="L193" s="41" t="n"/>
      <c r="M193" s="41" t="n"/>
      <c r="N193" s="41" t="n"/>
      <c r="P193" s="41" t="n"/>
      <c r="Q193" s="41" t="n"/>
      <c r="R193" s="41" t="n"/>
      <c r="S193" s="41" t="n"/>
      <c r="U193" s="41" t="n"/>
      <c r="V193" s="41" t="n"/>
      <c r="W193" s="41" t="n"/>
      <c r="X193" s="41" t="n"/>
      <c r="Y193" s="41" t="n"/>
      <c r="Z193" s="41" t="n"/>
      <c r="AB193" s="41" t="n"/>
      <c r="AC193" s="41" t="n"/>
      <c r="AD193" s="41" t="n"/>
      <c r="AE193" s="41" t="n"/>
      <c r="AF193" s="41" t="n"/>
      <c r="AG193" s="41" t="n"/>
    </row>
    <row r="194" ht="14.25" customHeight="1" s="60">
      <c r="E194" s="33">
        <f>IF(COUNT(K194:AG194)=0,"",ROUND((F194+G194+H194+I194+J194)/10,2))</f>
        <v/>
      </c>
      <c r="F194" s="34">
        <f>IF(COUNT(K194:AG194)=0,"",(K194*10+L194*8+M194*7+N194*5)/3)</f>
        <v/>
      </c>
      <c r="G194" s="34">
        <f>IF(COUNT(K194:AG194)=0,"",(P194*8+Q194*7+R194*5+S194*5)/3)</f>
        <v/>
      </c>
      <c r="H194" s="34">
        <f>IF(COUNT(K194:AG194)=0,"",(U194*6+V194*6+W194*4+X194*3+Y194*3+Z194*3)/3)</f>
        <v/>
      </c>
      <c r="I194" s="34">
        <f>IF(COUNT(K194:AG194)=0,"",AB194*3+AC194*2+AD194*2+AE194*1)</f>
        <v/>
      </c>
      <c r="J194" s="34">
        <f>IF(COUNT(K194:AG194)=0,"",(AF194*5+AG194*5)/3)</f>
        <v/>
      </c>
      <c r="K194" s="41" t="n"/>
      <c r="L194" s="41" t="n"/>
      <c r="M194" s="41" t="n"/>
      <c r="N194" s="41" t="n"/>
      <c r="P194" s="41" t="n"/>
      <c r="Q194" s="41" t="n"/>
      <c r="R194" s="41" t="n"/>
      <c r="S194" s="41" t="n"/>
      <c r="U194" s="41" t="n"/>
      <c r="V194" s="41" t="n"/>
      <c r="W194" s="41" t="n"/>
      <c r="X194" s="41" t="n"/>
      <c r="Y194" s="41" t="n"/>
      <c r="Z194" s="41" t="n"/>
      <c r="AB194" s="41" t="n"/>
      <c r="AC194" s="41" t="n"/>
      <c r="AD194" s="41" t="n"/>
      <c r="AE194" s="41" t="n"/>
      <c r="AF194" s="41" t="n"/>
      <c r="AG194" s="41" t="n"/>
    </row>
    <row r="195" ht="14.25" customHeight="1" s="60">
      <c r="E195" s="33">
        <f>IF(COUNT(K195:AG195)=0,"",ROUND((F195+G195+H195+I195+J195)/10,2))</f>
        <v/>
      </c>
      <c r="F195" s="34">
        <f>IF(COUNT(K195:AG195)=0,"",(K195*10+L195*8+M195*7+N195*5)/3)</f>
        <v/>
      </c>
      <c r="G195" s="34">
        <f>IF(COUNT(K195:AG195)=0,"",(P195*8+Q195*7+R195*5+S195*5)/3)</f>
        <v/>
      </c>
      <c r="H195" s="34">
        <f>IF(COUNT(K195:AG195)=0,"",(U195*6+V195*6+W195*4+X195*3+Y195*3+Z195*3)/3)</f>
        <v/>
      </c>
      <c r="I195" s="34">
        <f>IF(COUNT(K195:AG195)=0,"",AB195*3+AC195*2+AD195*2+AE195*1)</f>
        <v/>
      </c>
      <c r="J195" s="34">
        <f>IF(COUNT(K195:AG195)=0,"",(AF195*5+AG195*5)/3)</f>
        <v/>
      </c>
      <c r="K195" s="41" t="n"/>
      <c r="L195" s="41" t="n"/>
      <c r="M195" s="41" t="n"/>
      <c r="N195" s="41" t="n"/>
      <c r="P195" s="41" t="n"/>
      <c r="Q195" s="41" t="n"/>
      <c r="R195" s="41" t="n"/>
      <c r="S195" s="41" t="n"/>
      <c r="U195" s="41" t="n"/>
      <c r="V195" s="41" t="n"/>
      <c r="W195" s="41" t="n"/>
      <c r="X195" s="41" t="n"/>
      <c r="Y195" s="41" t="n"/>
      <c r="Z195" s="41" t="n"/>
      <c r="AB195" s="41" t="n"/>
      <c r="AC195" s="41" t="n"/>
      <c r="AD195" s="41" t="n"/>
      <c r="AE195" s="41" t="n"/>
      <c r="AF195" s="41" t="n"/>
      <c r="AG195" s="41" t="n"/>
    </row>
    <row r="196" ht="14.25" customHeight="1" s="60">
      <c r="E196" s="33">
        <f>IF(COUNT(K196:AG196)=0,"",ROUND((F196+G196+H196+I196+J196)/10,2))</f>
        <v/>
      </c>
      <c r="F196" s="34">
        <f>IF(COUNT(K196:AG196)=0,"",(K196*10+L196*8+M196*7+N196*5)/3)</f>
        <v/>
      </c>
      <c r="G196" s="34">
        <f>IF(COUNT(K196:AG196)=0,"",(P196*8+Q196*7+R196*5+S196*5)/3)</f>
        <v/>
      </c>
      <c r="H196" s="34">
        <f>IF(COUNT(K196:AG196)=0,"",(U196*6+V196*6+W196*4+X196*3+Y196*3+Z196*3)/3)</f>
        <v/>
      </c>
      <c r="I196" s="34">
        <f>IF(COUNT(K196:AG196)=0,"",AB196*3+AC196*2+AD196*2+AE196*1)</f>
        <v/>
      </c>
      <c r="J196" s="34">
        <f>IF(COUNT(K196:AG196)=0,"",(AF196*5+AG196*5)/3)</f>
        <v/>
      </c>
      <c r="K196" s="41" t="n"/>
      <c r="L196" s="41" t="n"/>
      <c r="M196" s="41" t="n"/>
      <c r="N196" s="41" t="n"/>
      <c r="P196" s="41" t="n"/>
      <c r="Q196" s="41" t="n"/>
      <c r="R196" s="41" t="n"/>
      <c r="S196" s="41" t="n"/>
      <c r="U196" s="41" t="n"/>
      <c r="V196" s="41" t="n"/>
      <c r="W196" s="41" t="n"/>
      <c r="X196" s="41" t="n"/>
      <c r="Y196" s="41" t="n"/>
      <c r="Z196" s="41" t="n"/>
      <c r="AB196" s="41" t="n"/>
      <c r="AC196" s="41" t="n"/>
      <c r="AD196" s="41" t="n"/>
      <c r="AE196" s="41" t="n"/>
      <c r="AF196" s="41" t="n"/>
      <c r="AG196" s="41" t="n"/>
    </row>
    <row r="197" ht="14.25" customHeight="1" s="60">
      <c r="E197" s="33">
        <f>IF(COUNT(K197:AG197)=0,"",ROUND((F197+G197+H197+I197+J197)/10,2))</f>
        <v/>
      </c>
      <c r="F197" s="34">
        <f>IF(COUNT(K197:AG197)=0,"",(K197*10+L197*8+M197*7+N197*5)/3)</f>
        <v/>
      </c>
      <c r="G197" s="34">
        <f>IF(COUNT(K197:AG197)=0,"",(P197*8+Q197*7+R197*5+S197*5)/3)</f>
        <v/>
      </c>
      <c r="H197" s="34">
        <f>IF(COUNT(K197:AG197)=0,"",(U197*6+V197*6+W197*4+X197*3+Y197*3+Z197*3)/3)</f>
        <v/>
      </c>
      <c r="I197" s="34">
        <f>IF(COUNT(K197:AG197)=0,"",AB197*3+AC197*2+AD197*2+AE197*1)</f>
        <v/>
      </c>
      <c r="J197" s="34">
        <f>IF(COUNT(K197:AG197)=0,"",(AF197*5+AG197*5)/3)</f>
        <v/>
      </c>
      <c r="K197" s="41" t="n"/>
      <c r="L197" s="41" t="n"/>
      <c r="M197" s="41" t="n"/>
      <c r="N197" s="41" t="n"/>
      <c r="P197" s="41" t="n"/>
      <c r="Q197" s="41" t="n"/>
      <c r="R197" s="41" t="n"/>
      <c r="S197" s="41" t="n"/>
      <c r="U197" s="41" t="n"/>
      <c r="V197" s="41" t="n"/>
      <c r="W197" s="41" t="n"/>
      <c r="X197" s="41" t="n"/>
      <c r="Y197" s="41" t="n"/>
      <c r="Z197" s="41" t="n"/>
      <c r="AB197" s="41" t="n"/>
      <c r="AC197" s="41" t="n"/>
      <c r="AD197" s="41" t="n"/>
      <c r="AE197" s="41" t="n"/>
      <c r="AF197" s="41" t="n"/>
      <c r="AG197" s="41" t="n"/>
    </row>
    <row r="198" ht="14.25" customHeight="1" s="60">
      <c r="E198" s="33">
        <f>IF(COUNT(K198:AG198)=0,"",ROUND((F198+G198+H198+I198+J198)/10,2))</f>
        <v/>
      </c>
      <c r="F198" s="34">
        <f>IF(COUNT(K198:AG198)=0,"",(K198*10+L198*8+M198*7+N198*5)/3)</f>
        <v/>
      </c>
      <c r="G198" s="34">
        <f>IF(COUNT(K198:AG198)=0,"",(P198*8+Q198*7+R198*5+S198*5)/3)</f>
        <v/>
      </c>
      <c r="H198" s="34">
        <f>IF(COUNT(K198:AG198)=0,"",(U198*6+V198*6+W198*4+X198*3+Y198*3+Z198*3)/3)</f>
        <v/>
      </c>
      <c r="I198" s="34">
        <f>IF(COUNT(K198:AG198)=0,"",AB198*3+AC198*2+AD198*2+AE198*1)</f>
        <v/>
      </c>
      <c r="J198" s="34">
        <f>IF(COUNT(K198:AG198)=0,"",(AF198*5+AG198*5)/3)</f>
        <v/>
      </c>
      <c r="K198" s="41" t="n"/>
      <c r="L198" s="41" t="n"/>
      <c r="M198" s="41" t="n"/>
      <c r="N198" s="41" t="n"/>
      <c r="P198" s="41" t="n"/>
      <c r="Q198" s="41" t="n"/>
      <c r="R198" s="41" t="n"/>
      <c r="S198" s="41" t="n"/>
      <c r="U198" s="41" t="n"/>
      <c r="V198" s="41" t="n"/>
      <c r="W198" s="41" t="n"/>
      <c r="X198" s="41" t="n"/>
      <c r="Y198" s="41" t="n"/>
      <c r="Z198" s="41" t="n"/>
      <c r="AB198" s="41" t="n"/>
      <c r="AC198" s="41" t="n"/>
      <c r="AD198" s="41" t="n"/>
      <c r="AE198" s="41" t="n"/>
      <c r="AF198" s="41" t="n"/>
      <c r="AG198" s="41" t="n"/>
    </row>
    <row r="199" ht="14.25" customHeight="1" s="60">
      <c r="E199" s="33">
        <f>IF(COUNT(K199:AG199)=0,"",ROUND((F199+G199+H199+I199+J199)/10,2))</f>
        <v/>
      </c>
      <c r="F199" s="34">
        <f>IF(COUNT(K199:AG199)=0,"",(K199*10+L199*8+M199*7+N199*5)/3)</f>
        <v/>
      </c>
      <c r="G199" s="34">
        <f>IF(COUNT(K199:AG199)=0,"",(P199*8+Q199*7+R199*5+S199*5)/3)</f>
        <v/>
      </c>
      <c r="H199" s="34">
        <f>IF(COUNT(K199:AG199)=0,"",(U199*6+V199*6+W199*4+X199*3+Y199*3+Z199*3)/3)</f>
        <v/>
      </c>
      <c r="I199" s="34">
        <f>IF(COUNT(K199:AG199)=0,"",AB199*3+AC199*2+AD199*2+AE199*1)</f>
        <v/>
      </c>
      <c r="J199" s="34">
        <f>IF(COUNT(K199:AG199)=0,"",(AF199*5+AG199*5)/3)</f>
        <v/>
      </c>
      <c r="K199" s="41" t="n"/>
      <c r="L199" s="41" t="n"/>
      <c r="M199" s="41" t="n"/>
      <c r="N199" s="41" t="n"/>
      <c r="P199" s="41" t="n"/>
      <c r="Q199" s="41" t="n"/>
      <c r="R199" s="41" t="n"/>
      <c r="S199" s="41" t="n"/>
      <c r="U199" s="41" t="n"/>
      <c r="V199" s="41" t="n"/>
      <c r="W199" s="41" t="n"/>
      <c r="X199" s="41" t="n"/>
      <c r="Y199" s="41" t="n"/>
      <c r="Z199" s="41" t="n"/>
      <c r="AB199" s="41" t="n"/>
      <c r="AC199" s="41" t="n"/>
      <c r="AD199" s="41" t="n"/>
      <c r="AE199" s="41" t="n"/>
      <c r="AF199" s="41" t="n"/>
      <c r="AG199" s="41" t="n"/>
    </row>
    <row r="200" ht="14.25" customHeight="1" s="60">
      <c r="E200" s="33">
        <f>IF(COUNT(K200:AG200)=0,"",ROUND((F200+G200+H200+I200+J200)/10,2))</f>
        <v/>
      </c>
      <c r="F200" s="34">
        <f>IF(COUNT(K200:AG200)=0,"",(K200*10+L200*8+M200*7+N200*5)/3)</f>
        <v/>
      </c>
      <c r="G200" s="34">
        <f>IF(COUNT(K200:AG200)=0,"",(P200*8+Q200*7+R200*5+S200*5)/3)</f>
        <v/>
      </c>
      <c r="H200" s="34">
        <f>IF(COUNT(K200:AG200)=0,"",(U200*6+V200*6+W200*4+X200*3+Y200*3+Z200*3)/3)</f>
        <v/>
      </c>
      <c r="I200" s="34">
        <f>IF(COUNT(K200:AG200)=0,"",AB200*3+AC200*2+AD200*2+AE200*1)</f>
        <v/>
      </c>
      <c r="J200" s="34">
        <f>IF(COUNT(K200:AG200)=0,"",(AF200*5+AG200*5)/3)</f>
        <v/>
      </c>
      <c r="K200" s="41" t="n"/>
      <c r="L200" s="41" t="n"/>
      <c r="M200" s="41" t="n"/>
      <c r="N200" s="41" t="n"/>
      <c r="P200" s="41" t="n"/>
      <c r="Q200" s="41" t="n"/>
      <c r="R200" s="41" t="n"/>
      <c r="S200" s="41" t="n"/>
      <c r="U200" s="41" t="n"/>
      <c r="V200" s="41" t="n"/>
      <c r="W200" s="41" t="n"/>
      <c r="X200" s="41" t="n"/>
      <c r="Y200" s="41" t="n"/>
      <c r="Z200" s="41" t="n"/>
      <c r="AB200" s="41" t="n"/>
      <c r="AC200" s="41" t="n"/>
      <c r="AD200" s="41" t="n"/>
      <c r="AE200" s="41" t="n"/>
      <c r="AF200" s="41" t="n"/>
      <c r="AG200" s="41" t="n"/>
    </row>
    <row r="201" ht="14.25" customHeight="1" s="60">
      <c r="E201" s="33">
        <f>IF(COUNT(K201:AG201)=0,"",ROUND((F201+G201+H201+I201+J201)/10,2))</f>
        <v/>
      </c>
      <c r="F201" s="34">
        <f>IF(COUNT(K201:AG201)=0,"",(K201*10+L201*8+M201*7+N201*5)/3)</f>
        <v/>
      </c>
      <c r="G201" s="34">
        <f>IF(COUNT(K201:AG201)=0,"",(P201*8+Q201*7+R201*5+S201*5)/3)</f>
        <v/>
      </c>
      <c r="H201" s="34">
        <f>IF(COUNT(K201:AG201)=0,"",(U201*6+V201*6+W201*4+X201*3+Y201*3+Z201*3)/3)</f>
        <v/>
      </c>
      <c r="I201" s="34">
        <f>IF(COUNT(K201:AG201)=0,"",AB201*3+AC201*2+AD201*2+AE201*1)</f>
        <v/>
      </c>
      <c r="J201" s="34">
        <f>IF(COUNT(K201:AG201)=0,"",(AF201*5+AG201*5)/3)</f>
        <v/>
      </c>
      <c r="K201" s="41" t="n"/>
      <c r="L201" s="41" t="n"/>
      <c r="M201" s="41" t="n"/>
      <c r="N201" s="41" t="n"/>
      <c r="P201" s="41" t="n"/>
      <c r="Q201" s="41" t="n"/>
      <c r="R201" s="41" t="n"/>
      <c r="S201" s="41" t="n"/>
      <c r="U201" s="41" t="n"/>
      <c r="V201" s="41" t="n"/>
      <c r="W201" s="41" t="n"/>
      <c r="X201" s="41" t="n"/>
      <c r="Y201" s="41" t="n"/>
      <c r="Z201" s="41" t="n"/>
      <c r="AB201" s="41" t="n"/>
      <c r="AC201" s="41" t="n"/>
      <c r="AD201" s="41" t="n"/>
      <c r="AE201" s="41" t="n"/>
      <c r="AF201" s="41" t="n"/>
      <c r="AG201" s="41" t="n"/>
    </row>
    <row r="202" ht="14.25" customHeight="1" s="60">
      <c r="E202" s="33">
        <f>IF(COUNT(K202:AG202)=0,"",ROUND((F202+G202+H202+I202+J202)/10,2))</f>
        <v/>
      </c>
      <c r="F202" s="34">
        <f>IF(COUNT(K202:AG202)=0,"",(K202*10+L202*8+M202*7+N202*5)/3)</f>
        <v/>
      </c>
      <c r="G202" s="34">
        <f>IF(COUNT(K202:AG202)=0,"",(P202*8+Q202*7+R202*5+S202*5)/3)</f>
        <v/>
      </c>
      <c r="H202" s="34">
        <f>IF(COUNT(K202:AG202)=0,"",(U202*6+V202*6+W202*4+X202*3+Y202*3+Z202*3)/3)</f>
        <v/>
      </c>
      <c r="I202" s="34">
        <f>IF(COUNT(K202:AG202)=0,"",AB202*3+AC202*2+AD202*2+AE202*1)</f>
        <v/>
      </c>
      <c r="J202" s="34">
        <f>IF(COUNT(K202:AG202)=0,"",(AF202*5+AG202*5)/3)</f>
        <v/>
      </c>
      <c r="K202" s="41" t="n"/>
      <c r="L202" s="41" t="n"/>
      <c r="M202" s="41" t="n"/>
      <c r="N202" s="41" t="n"/>
      <c r="P202" s="41" t="n"/>
      <c r="Q202" s="41" t="n"/>
      <c r="R202" s="41" t="n"/>
      <c r="S202" s="41" t="n"/>
      <c r="U202" s="41" t="n"/>
      <c r="V202" s="41" t="n"/>
      <c r="W202" s="41" t="n"/>
      <c r="X202" s="41" t="n"/>
      <c r="Y202" s="41" t="n"/>
      <c r="Z202" s="41" t="n"/>
      <c r="AB202" s="41" t="n"/>
      <c r="AC202" s="41" t="n"/>
      <c r="AD202" s="41" t="n"/>
      <c r="AE202" s="41" t="n"/>
      <c r="AF202" s="41" t="n"/>
      <c r="AG202" s="41" t="n"/>
    </row>
    <row r="203" ht="14.25" customHeight="1" s="60">
      <c r="E203" s="33">
        <f>IF(COUNT(K203:AG203)=0,"",ROUND((F203+G203+H203+I203+J203)/10,2))</f>
        <v/>
      </c>
      <c r="F203" s="34">
        <f>IF(COUNT(K203:AG203)=0,"",(K203*10+L203*8+M203*7+N203*5)/3)</f>
        <v/>
      </c>
      <c r="G203" s="34">
        <f>IF(COUNT(K203:AG203)=0,"",(P203*8+Q203*7+R203*5+S203*5)/3)</f>
        <v/>
      </c>
      <c r="H203" s="34">
        <f>IF(COUNT(K203:AG203)=0,"",(U203*6+V203*6+W203*4+X203*3+Y203*3+Z203*3)/3)</f>
        <v/>
      </c>
      <c r="I203" s="34">
        <f>IF(COUNT(K203:AG203)=0,"",AB203*3+AC203*2+AD203*2+AE203*1)</f>
        <v/>
      </c>
      <c r="J203" s="34">
        <f>IF(COUNT(K203:AG203)=0,"",(AF203*5+AG203*5)/3)</f>
        <v/>
      </c>
      <c r="K203" s="41" t="n"/>
      <c r="L203" s="41" t="n"/>
      <c r="M203" s="41" t="n"/>
      <c r="N203" s="41" t="n"/>
      <c r="P203" s="41" t="n"/>
      <c r="Q203" s="41" t="n"/>
      <c r="R203" s="41" t="n"/>
      <c r="S203" s="41" t="n"/>
      <c r="U203" s="41" t="n"/>
      <c r="V203" s="41" t="n"/>
      <c r="W203" s="41" t="n"/>
      <c r="X203" s="41" t="n"/>
      <c r="Y203" s="41" t="n"/>
      <c r="Z203" s="41" t="n"/>
      <c r="AB203" s="41" t="n"/>
      <c r="AC203" s="41" t="n"/>
      <c r="AD203" s="41" t="n"/>
      <c r="AE203" s="41" t="n"/>
      <c r="AF203" s="41" t="n"/>
      <c r="AG203" s="41" t="n"/>
    </row>
    <row r="204" ht="14.25" customHeight="1" s="60">
      <c r="E204" s="33">
        <f>IF(COUNT(K204:AG204)=0,"",ROUND((F204+G204+H204+I204+J204)/10,2))</f>
        <v/>
      </c>
      <c r="F204" s="34">
        <f>IF(COUNT(K204:AG204)=0,"",(K204*10+L204*8+M204*7+N204*5)/3)</f>
        <v/>
      </c>
      <c r="G204" s="34">
        <f>IF(COUNT(K204:AG204)=0,"",(P204*8+Q204*7+R204*5+S204*5)/3)</f>
        <v/>
      </c>
      <c r="H204" s="34">
        <f>IF(COUNT(K204:AG204)=0,"",(U204*6+V204*6+W204*4+X204*3+Y204*3+Z204*3)/3)</f>
        <v/>
      </c>
      <c r="I204" s="34">
        <f>IF(COUNT(K204:AG204)=0,"",AB204*3+AC204*2+AD204*2+AE204*1)</f>
        <v/>
      </c>
      <c r="J204" s="34">
        <f>IF(COUNT(K204:AG204)=0,"",(AF204*5+AG204*5)/3)</f>
        <v/>
      </c>
      <c r="K204" s="41" t="n"/>
      <c r="L204" s="41" t="n"/>
      <c r="M204" s="41" t="n"/>
      <c r="N204" s="41" t="n"/>
      <c r="P204" s="41" t="n"/>
      <c r="Q204" s="41" t="n"/>
      <c r="R204" s="41" t="n"/>
      <c r="S204" s="41" t="n"/>
      <c r="U204" s="41" t="n"/>
      <c r="V204" s="41" t="n"/>
      <c r="W204" s="41" t="n"/>
      <c r="X204" s="41" t="n"/>
      <c r="Y204" s="41" t="n"/>
      <c r="Z204" s="41" t="n"/>
      <c r="AB204" s="41" t="n"/>
      <c r="AC204" s="41" t="n"/>
      <c r="AD204" s="41" t="n"/>
      <c r="AE204" s="41" t="n"/>
      <c r="AF204" s="41" t="n"/>
      <c r="AG204" s="41" t="n"/>
    </row>
    <row r="205" ht="14.25" customHeight="1" s="60">
      <c r="E205" s="33">
        <f>IF(COUNT(K205:AG205)=0,"",ROUND((F205+G205+H205+I205+J205)/10,2))</f>
        <v/>
      </c>
      <c r="F205" s="34">
        <f>IF(COUNT(K205:AG205)=0,"",(K205*10+L205*8+M205*7+N205*5)/3)</f>
        <v/>
      </c>
      <c r="G205" s="34">
        <f>IF(COUNT(K205:AG205)=0,"",(P205*8+Q205*7+R205*5+S205*5)/3)</f>
        <v/>
      </c>
      <c r="H205" s="34">
        <f>IF(COUNT(K205:AG205)=0,"",(U205*6+V205*6+W205*4+X205*3+Y205*3+Z205*3)/3)</f>
        <v/>
      </c>
      <c r="I205" s="34">
        <f>IF(COUNT(K205:AG205)=0,"",AB205*3+AC205*2+AD205*2+AE205*1)</f>
        <v/>
      </c>
      <c r="J205" s="34">
        <f>IF(COUNT(K205:AG205)=0,"",(AF205*5+AG205*5)/3)</f>
        <v/>
      </c>
      <c r="K205" s="41" t="n"/>
      <c r="L205" s="41" t="n"/>
      <c r="M205" s="41" t="n"/>
      <c r="N205" s="41" t="n"/>
      <c r="P205" s="41" t="n"/>
      <c r="Q205" s="41" t="n"/>
      <c r="R205" s="41" t="n"/>
      <c r="S205" s="41" t="n"/>
      <c r="U205" s="41" t="n"/>
      <c r="V205" s="41" t="n"/>
      <c r="W205" s="41" t="n"/>
      <c r="X205" s="41" t="n"/>
      <c r="Y205" s="41" t="n"/>
      <c r="Z205" s="41" t="n"/>
      <c r="AB205" s="41" t="n"/>
      <c r="AC205" s="41" t="n"/>
      <c r="AD205" s="41" t="n"/>
      <c r="AE205" s="41" t="n"/>
      <c r="AF205" s="41" t="n"/>
      <c r="AG205" s="41" t="n"/>
    </row>
    <row r="206" ht="14.25" customHeight="1" s="60">
      <c r="E206" s="33">
        <f>IF(COUNT(K206:AG206)=0,"",ROUND((F206+G206+H206+I206+J206)/10,2))</f>
        <v/>
      </c>
      <c r="F206" s="34">
        <f>IF(COUNT(K206:AG206)=0,"",(K206*10+L206*8+M206*7+N206*5)/3)</f>
        <v/>
      </c>
      <c r="G206" s="34">
        <f>IF(COUNT(K206:AG206)=0,"",(P206*8+Q206*7+R206*5+S206*5)/3)</f>
        <v/>
      </c>
      <c r="H206" s="34">
        <f>IF(COUNT(K206:AG206)=0,"",(U206*6+V206*6+W206*4+X206*3+Y206*3+Z206*3)/3)</f>
        <v/>
      </c>
      <c r="I206" s="34">
        <f>IF(COUNT(K206:AG206)=0,"",AB206*3+AC206*2+AD206*2+AE206*1)</f>
        <v/>
      </c>
      <c r="J206" s="34">
        <f>IF(COUNT(K206:AG206)=0,"",(AF206*5+AG206*5)/3)</f>
        <v/>
      </c>
      <c r="K206" s="41" t="n"/>
      <c r="L206" s="41" t="n"/>
      <c r="M206" s="41" t="n"/>
      <c r="N206" s="41" t="n"/>
      <c r="P206" s="41" t="n"/>
      <c r="Q206" s="41" t="n"/>
      <c r="R206" s="41" t="n"/>
      <c r="S206" s="41" t="n"/>
      <c r="U206" s="41" t="n"/>
      <c r="V206" s="41" t="n"/>
      <c r="W206" s="41" t="n"/>
      <c r="X206" s="41" t="n"/>
      <c r="Y206" s="41" t="n"/>
      <c r="Z206" s="41" t="n"/>
      <c r="AB206" s="41" t="n"/>
      <c r="AC206" s="41" t="n"/>
      <c r="AD206" s="41" t="n"/>
      <c r="AE206" s="41" t="n"/>
      <c r="AF206" s="41" t="n"/>
      <c r="AG206" s="41" t="n"/>
    </row>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autoFilter ref="$A$5:$AI$206">
    <sortState ref="A5:AI206">
      <sortCondition ref="B5:B206"/>
    </sortState>
  </autoFilter>
  <mergeCells count="6">
    <mergeCell ref="P4:T4"/>
    <mergeCell ref="AB4:AE4"/>
    <mergeCell ref="U4:AA4"/>
    <mergeCell ref="AF4:AH4"/>
    <mergeCell ref="K4:O4"/>
    <mergeCell ref="B2:J2"/>
  </mergeCells>
  <conditionalFormatting sqref="E7:E206">
    <cfRule type="cellIs" priority="1" operator="greaterThanOrEqual" dxfId="0">
      <formula>7</formula>
    </cfRule>
    <cfRule type="cellIs" priority="2" operator="lessThan" dxfId="1">
      <formula>5</formula>
    </cfRule>
  </conditionalFormatting>
  <dataValidations count="2">
    <dataValidation sqref="AB7:AD206" showDropDown="0" showInputMessage="1" showErrorMessage="1" allowBlank="1" prompt="Só 0 ou 1 - Item binário: enviou = 1, não enviou = 0." type="list">
      <formula1>"0,1"</formula1>
    </dataValidation>
    <dataValidation sqref="K7:N206 P7:S206 U7:Z206 AE7:AG206" showDropDown="0" showInputMessage="1" showErrorMessage="1" allowBlank="1" prompt="Só 0, 1, 2 ou 3 - Esta escala não aceita decimais. Consulte a aba 'Base avaliação' e escolha o nível que a entrega atende." type="list">
      <formula1>"0,1,2,3"</formula1>
    </dataValidation>
  </dataValidation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2:O7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0" min="1" max="1"/>
    <col width="34" customWidth="1" style="60" min="2" max="2"/>
    <col width="9" customWidth="1" style="60" min="3" max="4"/>
    <col width="11" customWidth="1" style="60" min="5" max="5"/>
    <col width="12" customWidth="1" style="60" min="6" max="7"/>
    <col width="9" customWidth="1" style="60" min="8" max="8"/>
    <col width="30" customWidth="1" style="60" min="9" max="9"/>
    <col width="12" customWidth="1" style="60" min="10" max="10"/>
    <col width="10" customWidth="1" style="60" min="11" max="11"/>
    <col width="44" customWidth="1" style="60" min="12" max="12"/>
    <col width="9" customWidth="1" style="60" min="13" max="13"/>
    <col width="22" customWidth="1" style="60" min="14" max="14"/>
    <col width="15" customWidth="1" style="60" min="15" max="15"/>
    <col width="8.710000000000001" customWidth="1" style="60" min="16" max="27"/>
  </cols>
  <sheetData>
    <row r="1" ht="14.25" customHeight="1" s="60"/>
    <row r="2" ht="25.5" customHeight="1" s="60">
      <c r="B2" s="66" t="inlineStr">
        <is>
          <t>CONSOLIDADO — cole os nomes na coluna B; o resto se calcula sozinho.</t>
        </is>
      </c>
    </row>
    <row r="3" ht="21.75" customHeight="1" s="60">
      <c r="B3" s="67">
        <f>IF(COUNTA($B$5:$B$64)=0,"Cole os nomes dos candidatos na coluna B para começar.","Avaliações completas: "&amp;COUNTIF($D$5:$D$64,"&gt;=2")&amp;" de "&amp;COUNTA($B$5:$B$64)&amp;" candidatos  ("&amp;TEXT(COUNTIF($D$5:$D$64,"&gt;=2")/COUNTA($B$5:$B$64),"0%")&amp;")     •     Ainda com 1 avaliador só: "&amp;COUNTIF($D$5:$D$64,1)&amp;"     •     Sem nenhuma nota: "&amp;COUNTIF($D$5:$D$64,0))</f>
        <v/>
      </c>
    </row>
    <row r="4" ht="30" customHeight="1" s="60">
      <c r="A4" s="24" t="inlineStr">
        <is>
          <t>#</t>
        </is>
      </c>
      <c r="B4" s="24" t="inlineStr">
        <is>
          <t>Candidato(a)</t>
        </is>
      </c>
      <c r="C4" s="24" t="inlineStr">
        <is>
          <t>Nome</t>
        </is>
      </c>
      <c r="D4" s="24" t="inlineStr">
        <is>
          <t>Nº aval.</t>
        </is>
      </c>
      <c r="E4" s="24" t="inlineStr">
        <is>
          <t>NOTA FINAL</t>
        </is>
      </c>
      <c r="F4" s="24" t="inlineStr">
        <is>
          <t>Nota aval. 1</t>
        </is>
      </c>
      <c r="G4" s="24" t="inlineStr">
        <is>
          <t>Nota aval. 2</t>
        </is>
      </c>
      <c r="H4" s="24" t="inlineStr">
        <is>
          <t>Diverg.</t>
        </is>
      </c>
      <c r="I4" s="24" t="inlineStr">
        <is>
          <t>Alerta</t>
        </is>
      </c>
      <c r="J4" s="24" t="inlineStr">
        <is>
          <t>Flag</t>
        </is>
      </c>
      <c r="K4" s="24" t="inlineStr">
        <is>
          <t>Horas/sem</t>
        </is>
      </c>
      <c r="L4" s="24" t="inlineStr">
        <is>
          <t>Motivo da flag / o que perguntar na entrevista</t>
        </is>
      </c>
      <c r="M4" s="24" t="inlineStr">
        <is>
          <t>Ranking</t>
        </is>
      </c>
      <c r="N4" s="24" t="inlineStr">
        <is>
          <t>Entrevista: refez a conta?</t>
        </is>
      </c>
      <c r="O4" s="24" t="inlineStr">
        <is>
          <t>Decisão final</t>
        </is>
      </c>
    </row>
    <row r="5" ht="14.25" customHeight="1" s="60">
      <c r="A5" s="30">
        <f>IF($B5="","",ROW()-4)</f>
        <v/>
      </c>
      <c r="B5" s="30" t="inlineStr">
        <is>
          <t>g278083@dac.unicamp.br</t>
        </is>
      </c>
      <c r="C5" s="30" t="inlineStr">
        <is>
          <t>Gabrielle Cristofani do Rosario</t>
        </is>
      </c>
      <c r="D5" s="41">
        <f>IF($B5="","",COUNTIFS('Avaliação'!$C$7:$C$206,$B5,'Avaliação'!$E$7:$E$206,"&gt;=0"))</f>
        <v/>
      </c>
      <c r="E5" s="33">
        <f>IF($B5="","",IFERROR(ROUND(AVERAGEIF('Avaliação'!$C$7:$C$206,$B5,'Avaliação'!$E$7:$E$206),2),""))</f>
        <v/>
      </c>
      <c r="F5" s="41">
        <f t="array" ref="F5">IF($B5="","",IFERROR(INDEX('Avaliação'!$E$7:$E$206,MATCH($B5,'Avaliação'!$C$7:$C$206,0)),""))</f>
        <v/>
      </c>
      <c r="G5" s="41">
        <f>IF($B5="","",IF($D5&lt;&gt;2,"",IF($F5="","",ROUND(SUMIF('Avaliação'!$C$7:$C$206,$B5,'Avaliação'!$E$7:$E$206)-$F5,2))))</f>
        <v/>
      </c>
      <c r="H5" s="41">
        <f>IF($B5="","",IF(OR($F5="",$G5=""),"",ROUND(ABS($F5-$G5),2)))</f>
        <v/>
      </c>
      <c r="I5" s="30">
        <f>IF($B5="","",IF($D5&lt;2,"⚠ falta 2º avaliador",IF($D5&gt;2,"⚠ mais de 2 avaliações — conferir",IF(AND(ISNUMBER($H5),$H5&gt;1),"⚠ divergência &gt; 1,0 — média suspensa, calibrar","OK"))))</f>
        <v/>
      </c>
      <c r="J5" s="30" t="n"/>
      <c r="K5" s="41" t="n"/>
      <c r="L5" s="35" t="n"/>
      <c r="M5" s="41">
        <f>IF($E5="","",COUNTIF($E$5:$E$64,"&gt;"&amp;$E5)+1)</f>
        <v/>
      </c>
      <c r="N5" s="41">
        <f>IF($B5="","",IF(Entrevista!$H5="","",Entrevista!$H5))</f>
        <v/>
      </c>
      <c r="O5" s="30">
        <f>IF($B5="","",IF(Entrevista!$L5="","",Entrevista!$L5))</f>
        <v/>
      </c>
    </row>
    <row r="6" ht="14.25" customHeight="1" s="60">
      <c r="A6" s="30">
        <f>IF($B6="","",ROW()-4)</f>
        <v/>
      </c>
      <c r="B6" s="30" t="inlineStr">
        <is>
          <t>b309603@dac.unicamp.br</t>
        </is>
      </c>
      <c r="C6" s="30" t="inlineStr">
        <is>
          <t>Bruno Heberth Oliveira Bastos</t>
        </is>
      </c>
      <c r="D6" s="41">
        <f>IF($B6="","",COUNTIFS('Avaliação'!$C$7:$C$206,$B6,'Avaliação'!$E$7:$E$206,"&gt;=0"))</f>
        <v/>
      </c>
      <c r="E6" s="33">
        <f>IF($B6="","",IFERROR(ROUND(AVERAGEIF('Avaliação'!$C$7:$C$206,$B6,'Avaliação'!$E$7:$E$206),2),""))</f>
        <v/>
      </c>
      <c r="F6" s="41">
        <f t="array" ref="F6">IF($B6="","",IFERROR(INDEX('Avaliação'!$E$7:$E$206,MATCH($B6,'Avaliação'!$C$7:$C$206,0)),""))</f>
        <v/>
      </c>
      <c r="G6" s="41">
        <f>IF($B6="","",IF($D6&lt;&gt;2,"",IF($F6="","",ROUND(SUMIF('Avaliação'!$C$7:$C$206,$B6,'Avaliação'!$E$7:$E$206)-$F6,2))))</f>
        <v/>
      </c>
      <c r="H6" s="41">
        <f>IF($B6="","",IF(OR($F6="",$G6=""),"",ROUND(ABS($F6-$G6),2)))</f>
        <v/>
      </c>
      <c r="I6" s="30">
        <f>IF($B6="","",IF($D6&lt;2,"⚠ falta 2º avaliador",IF($D6&gt;2,"⚠ mais de 2 avaliações — conferir",IF(AND(ISNUMBER($H6),$H6&gt;1),"⚠ divergência &gt; 1,0 — média suspensa, calibrar","OK"))))</f>
        <v/>
      </c>
      <c r="J6" s="30" t="n"/>
      <c r="K6" s="41" t="n"/>
      <c r="L6" s="35" t="n"/>
      <c r="M6" s="41">
        <f>IF($E6="","",COUNTIF($E$5:$E$64,"&gt;"&amp;$E6)+1)</f>
        <v/>
      </c>
      <c r="N6" s="41">
        <f>IF($B6="","",IF(Entrevista!$H6="","",Entrevista!$H6))</f>
        <v/>
      </c>
      <c r="O6" s="30">
        <f>IF($B6="","",IF(Entrevista!$L6="","",Entrevista!$L6))</f>
        <v/>
      </c>
    </row>
    <row r="7" ht="14.25" customHeight="1" s="60">
      <c r="A7" s="30">
        <f>IF($B7="","",ROW()-4)</f>
        <v/>
      </c>
      <c r="B7" s="30" t="inlineStr">
        <is>
          <t>j309764@dac.unicamp.br</t>
        </is>
      </c>
      <c r="C7" s="30" t="inlineStr">
        <is>
          <t>João Pedro Mendes Stama</t>
        </is>
      </c>
      <c r="D7" s="41">
        <f>IF($B7="","",COUNTIFS('Avaliação'!$C$7:$C$206,$B7,'Avaliação'!$E$7:$E$206,"&gt;=0"))</f>
        <v/>
      </c>
      <c r="E7" s="33">
        <f>IF($B7="","",IFERROR(ROUND(AVERAGEIF('Avaliação'!$C$7:$C$206,$B7,'Avaliação'!$E$7:$E$206),2),""))</f>
        <v/>
      </c>
      <c r="F7" s="41">
        <f t="array" ref="F7">IF($B7="","",IFERROR(INDEX('Avaliação'!$E$7:$E$206,MATCH($B7,'Avaliação'!$C$7:$C$206,0)),""))</f>
        <v/>
      </c>
      <c r="G7" s="41">
        <f>IF($B7="","",IF($D7&lt;&gt;2,"",IF($F7="","",ROUND(SUMIF('Avaliação'!$C$7:$C$206,$B7,'Avaliação'!$E$7:$E$206)-$F7,2))))</f>
        <v/>
      </c>
      <c r="H7" s="41">
        <f>IF($B7="","",IF(OR($F7="",$G7=""),"",ROUND(ABS($F7-$G7),2)))</f>
        <v/>
      </c>
      <c r="I7" s="30">
        <f>IF($B7="","",IF($D7&lt;2,"⚠ falta 2º avaliador",IF($D7&gt;2,"⚠ mais de 2 avaliações — conferir",IF(AND(ISNUMBER($H7),$H7&gt;1),"⚠ divergência &gt; 1,0 — média suspensa, calibrar","OK"))))</f>
        <v/>
      </c>
      <c r="J7" s="30" t="n"/>
      <c r="K7" s="41" t="n"/>
      <c r="L7" s="35" t="n"/>
      <c r="M7" s="41">
        <f>IF($E7="","",COUNTIF($E$5:$E$64,"&gt;"&amp;$E7)+1)</f>
        <v/>
      </c>
      <c r="N7" s="41">
        <f>IF($B7="","",IF(Entrevista!$H7="","",Entrevista!$H7))</f>
        <v/>
      </c>
      <c r="O7" s="30">
        <f>IF($B7="","",IF(Entrevista!$L7="","",Entrevista!$L7))</f>
        <v/>
      </c>
    </row>
    <row r="8" ht="14.25" customHeight="1" s="60">
      <c r="A8" s="30">
        <f>IF($B8="","",ROW()-4)</f>
        <v/>
      </c>
      <c r="B8" s="30" t="inlineStr">
        <is>
          <t>r238449@dac.unicamp.br</t>
        </is>
      </c>
      <c r="C8" s="30" t="inlineStr">
        <is>
          <t>Rafael Ponciano Rodrigues dos Santos</t>
        </is>
      </c>
      <c r="D8" s="41">
        <f>IF($B8="","",COUNTIFS('Avaliação'!$C$7:$C$206,$B8,'Avaliação'!$E$7:$E$206,"&gt;=0"))</f>
        <v/>
      </c>
      <c r="E8" s="33">
        <f>IF($B8="","",IFERROR(ROUND(AVERAGEIF('Avaliação'!$C$7:$C$206,$B8,'Avaliação'!$E$7:$E$206),2),""))</f>
        <v/>
      </c>
      <c r="F8" s="41">
        <f t="array" ref="F8">IF($B8="","",IFERROR(INDEX('Avaliação'!$E$7:$E$206,MATCH($B8,'Avaliação'!$C$7:$C$206,0)),""))</f>
        <v/>
      </c>
      <c r="G8" s="41">
        <f>IF($B8="","",IF($D8&lt;&gt;2,"",IF($F8="","",ROUND(SUMIF('Avaliação'!$C$7:$C$206,$B8,'Avaliação'!$E$7:$E$206)-$F8,2))))</f>
        <v/>
      </c>
      <c r="H8" s="41">
        <f>IF($B8="","",IF(OR($F8="",$G8=""),"",ROUND(ABS($F8-$G8),2)))</f>
        <v/>
      </c>
      <c r="I8" s="30">
        <f>IF($B8="","",IF($D8&lt;2,"⚠ falta 2º avaliador",IF($D8&gt;2,"⚠ mais de 2 avaliações — conferir",IF(AND(ISNUMBER($H8),$H8&gt;1),"⚠ divergência &gt; 1,0 — média suspensa, calibrar","OK"))))</f>
        <v/>
      </c>
      <c r="J8" s="30" t="n"/>
      <c r="K8" s="41" t="n"/>
      <c r="L8" s="35" t="n"/>
      <c r="M8" s="41">
        <f>IF($E8="","",COUNTIF($E$5:$E$64,"&gt;"&amp;$E8)+1)</f>
        <v/>
      </c>
      <c r="N8" s="41">
        <f>IF($B8="","",IF(Entrevista!$H8="","",Entrevista!$H8))</f>
        <v/>
      </c>
      <c r="O8" s="30">
        <f>IF($B8="","",IF(Entrevista!$L8="","",Entrevista!$L8))</f>
        <v/>
      </c>
    </row>
    <row r="9" ht="14.25" customHeight="1" s="60">
      <c r="A9" s="30">
        <f>IF($B9="","",ROW()-4)</f>
        <v/>
      </c>
      <c r="B9" s="30" t="inlineStr">
        <is>
          <t>enzo.gag17@gmail.com</t>
        </is>
      </c>
      <c r="C9" s="30" t="inlineStr">
        <is>
          <t>Enzo Chofakian Gagliardi</t>
        </is>
      </c>
      <c r="D9" s="41">
        <f>IF($B9="","",COUNTIFS('Avaliação'!$C$7:$C$206,$B9,'Avaliação'!$E$7:$E$206,"&gt;=0"))</f>
        <v/>
      </c>
      <c r="E9" s="33">
        <f>IF($B9="","",IFERROR(ROUND(AVERAGEIF('Avaliação'!$C$7:$C$206,$B9,'Avaliação'!$E$7:$E$206),2),""))</f>
        <v/>
      </c>
      <c r="F9" s="41">
        <f t="array" ref="F9">IF($B9="","",IFERROR(INDEX('Avaliação'!$E$7:$E$206,MATCH($B9,'Avaliação'!$C$7:$C$206,0)),""))</f>
        <v/>
      </c>
      <c r="G9" s="41">
        <f>IF($B9="","",IF($D9&lt;&gt;2,"",IF($F9="","",ROUND(SUMIF('Avaliação'!$C$7:$C$206,$B9,'Avaliação'!$E$7:$E$206)-$F9,2))))</f>
        <v/>
      </c>
      <c r="H9" s="41">
        <f>IF($B9="","",IF(OR($F9="",$G9=""),"",ROUND(ABS($F9-$G9),2)))</f>
        <v/>
      </c>
      <c r="I9" s="30">
        <f>IF($B9="","",IF($D9&lt;2,"⚠ falta 2º avaliador",IF($D9&gt;2,"⚠ mais de 2 avaliações — conferir",IF(AND(ISNUMBER($H9),$H9&gt;1),"⚠ divergência &gt; 1,0 — média suspensa, calibrar","OK"))))</f>
        <v/>
      </c>
      <c r="J9" s="30" t="n"/>
      <c r="K9" s="41" t="n"/>
      <c r="L9" s="35" t="n"/>
      <c r="M9" s="41">
        <f>IF($E9="","",COUNTIF($E$5:$E$64,"&gt;"&amp;$E9)+1)</f>
        <v/>
      </c>
      <c r="N9" s="41">
        <f>IF($B9="","",IF(Entrevista!$H9="","",Entrevista!$H9))</f>
        <v/>
      </c>
      <c r="O9" s="30">
        <f>IF($B9="","",IF(Entrevista!$L9="","",Entrevista!$L9))</f>
        <v/>
      </c>
    </row>
    <row r="10" ht="14.25" customHeight="1" s="60">
      <c r="A10" s="30">
        <f>IF($B10="","",ROW()-4)</f>
        <v/>
      </c>
      <c r="B10" s="30" t="inlineStr">
        <is>
          <t>e278588@dac.unicamp.br</t>
        </is>
      </c>
      <c r="C10" s="30" t="inlineStr">
        <is>
          <t>Enrico Tristão e Mello de Oliveira</t>
        </is>
      </c>
      <c r="D10" s="41">
        <f>IF($B10="","",COUNTIFS('Avaliação'!$C$7:$C$206,$B10,'Avaliação'!$E$7:$E$206,"&gt;=0"))</f>
        <v/>
      </c>
      <c r="E10" s="33">
        <f>IF($B10="","",IFERROR(ROUND(AVERAGEIF('Avaliação'!$C$7:$C$206,$B10,'Avaliação'!$E$7:$E$206),2),""))</f>
        <v/>
      </c>
      <c r="F10" s="41">
        <f t="array" ref="F10">IF($B10="","",IFERROR(INDEX('Avaliação'!$E$7:$E$206,MATCH($B10,'Avaliação'!$C$7:$C$206,0)),""))</f>
        <v/>
      </c>
      <c r="G10" s="41">
        <f>IF($B10="","",IF($D10&lt;&gt;2,"",IF($F10="","",ROUND(SUMIF('Avaliação'!$C$7:$C$206,$B10,'Avaliação'!$E$7:$E$206)-$F10,2))))</f>
        <v/>
      </c>
      <c r="H10" s="41">
        <f>IF($B10="","",IF(OR($F10="",$G10=""),"",ROUND(ABS($F10-$G10),2)))</f>
        <v/>
      </c>
      <c r="I10" s="30">
        <f>IF($B10="","",IF($D10&lt;2,"⚠ falta 2º avaliador",IF($D10&gt;2,"⚠ mais de 2 avaliações — conferir",IF(AND(ISNUMBER($H10),$H10&gt;1),"⚠ divergência &gt; 1,0 — média suspensa, calibrar","OK"))))</f>
        <v/>
      </c>
      <c r="J10" s="30" t="n"/>
      <c r="K10" s="41" t="n"/>
      <c r="L10" s="35" t="n"/>
      <c r="M10" s="41">
        <f>IF($E10="","",COUNTIF($E$5:$E$64,"&gt;"&amp;$E10)+1)</f>
        <v/>
      </c>
      <c r="N10" s="41">
        <f>IF($B10="","",IF(Entrevista!$H10="","",Entrevista!$H10))</f>
        <v/>
      </c>
      <c r="O10" s="30">
        <f>IF($B10="","",IF(Entrevista!$L10="","",Entrevista!$L10))</f>
        <v/>
      </c>
    </row>
    <row r="11" ht="14.25" customHeight="1" s="60">
      <c r="A11" s="30">
        <f>IF($B11="","",ROW()-4)</f>
        <v/>
      </c>
      <c r="B11" s="30" t="inlineStr">
        <is>
          <t>e221509@dac.unicamp.br</t>
        </is>
      </c>
      <c r="C11" s="30" t="inlineStr">
        <is>
          <t>Eduardo Alves Henrique</t>
        </is>
      </c>
      <c r="D11" s="41">
        <f>IF($B11="","",COUNTIFS('Avaliação'!$C$7:$C$206,$B11,'Avaliação'!$E$7:$E$206,"&gt;=0"))</f>
        <v/>
      </c>
      <c r="E11" s="33">
        <f>IF($B11="","",IFERROR(ROUND(AVERAGEIF('Avaliação'!$C$7:$C$206,$B11,'Avaliação'!$E$7:$E$206),2),""))</f>
        <v/>
      </c>
      <c r="F11" s="41">
        <f t="array" ref="F11">IF($B11="","",IFERROR(INDEX('Avaliação'!$E$7:$E$206,MATCH($B11,'Avaliação'!$C$7:$C$206,0)),""))</f>
        <v/>
      </c>
      <c r="G11" s="41">
        <f>IF($B11="","",IF($D11&lt;&gt;2,"",IF($F11="","",ROUND(SUMIF('Avaliação'!$C$7:$C$206,$B11,'Avaliação'!$E$7:$E$206)-$F11,2))))</f>
        <v/>
      </c>
      <c r="H11" s="41">
        <f>IF($B11="","",IF(OR($F11="",$G11=""),"",ROUND(ABS($F11-$G11),2)))</f>
        <v/>
      </c>
      <c r="I11" s="30">
        <f>IF($B11="","",IF($D11&lt;2,"⚠ falta 2º avaliador",IF($D11&gt;2,"⚠ mais de 2 avaliações — conferir",IF(AND(ISNUMBER($H11),$H11&gt;1),"⚠ divergência &gt; 1,0 — média suspensa, calibrar","OK"))))</f>
        <v/>
      </c>
      <c r="J11" s="30" t="n"/>
      <c r="K11" s="41" t="n"/>
      <c r="L11" s="35" t="n"/>
      <c r="M11" s="41">
        <f>IF($E11="","",COUNTIF($E$5:$E$64,"&gt;"&amp;$E11)+1)</f>
        <v/>
      </c>
      <c r="N11" s="41">
        <f>IF($B11="","",IF(Entrevista!$H11="","",Entrevista!$H11))</f>
        <v/>
      </c>
      <c r="O11" s="30">
        <f>IF($B11="","",IF(Entrevista!$L11="","",Entrevista!$L11))</f>
        <v/>
      </c>
    </row>
    <row r="12" ht="14.25" customHeight="1" s="60">
      <c r="A12" s="30">
        <f>IF($B12="","",ROW()-4)</f>
        <v/>
      </c>
      <c r="B12" s="30" t="inlineStr">
        <is>
          <t>l304532@dac.unicamp.br</t>
        </is>
      </c>
      <c r="C12" s="30" t="inlineStr">
        <is>
          <t>Leandra Cunha de Souza</t>
        </is>
      </c>
      <c r="D12" s="41">
        <f>IF($B12="","",COUNTIFS('Avaliação'!$C$7:$C$206,$B12,'Avaliação'!$E$7:$E$206,"&gt;=0"))</f>
        <v/>
      </c>
      <c r="E12" s="33">
        <f>IF($B12="","",IFERROR(ROUND(AVERAGEIF('Avaliação'!$C$7:$C$206,$B12,'Avaliação'!$E$7:$E$206),2),""))</f>
        <v/>
      </c>
      <c r="F12" s="41">
        <f t="array" ref="F12">IF($B12="","",IFERROR(INDEX('Avaliação'!$E$7:$E$206,MATCH($B12,'Avaliação'!$C$7:$C$206,0)),""))</f>
        <v/>
      </c>
      <c r="G12" s="41">
        <f>IF($B12="","",IF($D12&lt;&gt;2,"",IF($F12="","",ROUND(SUMIF('Avaliação'!$C$7:$C$206,$B12,'Avaliação'!$E$7:$E$206)-$F12,2))))</f>
        <v/>
      </c>
      <c r="H12" s="41">
        <f>IF($B12="","",IF(OR($F12="",$G12=""),"",ROUND(ABS($F12-$G12),2)))</f>
        <v/>
      </c>
      <c r="I12" s="30">
        <f>IF($B12="","",IF($D12&lt;2,"⚠ falta 2º avaliador",IF($D12&gt;2,"⚠ mais de 2 avaliações — conferir",IF(AND(ISNUMBER($H12),$H12&gt;1),"⚠ divergência &gt; 1,0 — média suspensa, calibrar","OK"))))</f>
        <v/>
      </c>
      <c r="J12" s="30" t="n"/>
      <c r="K12" s="41" t="n"/>
      <c r="L12" s="35" t="n"/>
      <c r="M12" s="41">
        <f>IF($E12="","",COUNTIF($E$5:$E$64,"&gt;"&amp;$E12)+1)</f>
        <v/>
      </c>
      <c r="N12" s="41">
        <f>IF($B12="","",IF(Entrevista!$H12="","",Entrevista!$H12))</f>
        <v/>
      </c>
      <c r="O12" s="30">
        <f>IF($B12="","",IF(Entrevista!$L12="","",Entrevista!$L12))</f>
        <v/>
      </c>
    </row>
    <row r="13" ht="14.25" customHeight="1" s="60">
      <c r="A13" s="30">
        <f>IF($B13="","",ROW()-4)</f>
        <v/>
      </c>
      <c r="B13" s="30" t="inlineStr">
        <is>
          <t>v188630@dac.unicamp.br</t>
        </is>
      </c>
      <c r="C13" s="30" t="inlineStr">
        <is>
          <t>Vagner Ássimos Gomes Carlos Filho</t>
        </is>
      </c>
      <c r="D13" s="41">
        <f>IF($B13="","",COUNTIFS('Avaliação'!$C$7:$C$206,$B13,'Avaliação'!$E$7:$E$206,"&gt;=0"))</f>
        <v/>
      </c>
      <c r="E13" s="33">
        <f>IF($B13="","",IFERROR(ROUND(AVERAGEIF('Avaliação'!$C$7:$C$206,$B13,'Avaliação'!$E$7:$E$206),2),""))</f>
        <v/>
      </c>
      <c r="F13" s="41">
        <f t="array" ref="F13">IF($B13="","",IFERROR(INDEX('Avaliação'!$E$7:$E$206,MATCH($B13,'Avaliação'!$C$7:$C$206,0)),""))</f>
        <v/>
      </c>
      <c r="G13" s="41">
        <f>IF($B13="","",IF($D13&lt;&gt;2,"",IF($F13="","",ROUND(SUMIF('Avaliação'!$C$7:$C$206,$B13,'Avaliação'!$E$7:$E$206)-$F13,2))))</f>
        <v/>
      </c>
      <c r="H13" s="41">
        <f>IF($B13="","",IF(OR($F13="",$G13=""),"",ROUND(ABS($F13-$G13),2)))</f>
        <v/>
      </c>
      <c r="I13" s="30">
        <f>IF($B13="","",IF($D13&lt;2,"⚠ falta 2º avaliador",IF($D13&gt;2,"⚠ mais de 2 avaliações — conferir",IF(AND(ISNUMBER($H13),$H13&gt;1),"⚠ divergência &gt; 1,0 — média suspensa, calibrar","OK"))))</f>
        <v/>
      </c>
      <c r="J13" s="30" t="n"/>
      <c r="K13" s="41" t="n"/>
      <c r="L13" s="35" t="n"/>
      <c r="M13" s="41">
        <f>IF($E13="","",COUNTIF($E$5:$E$64,"&gt;"&amp;$E13)+1)</f>
        <v/>
      </c>
      <c r="N13" s="41">
        <f>IF($B13="","",IF(Entrevista!$H13="","",Entrevista!$H13))</f>
        <v/>
      </c>
      <c r="O13" s="30">
        <f>IF($B13="","",IF(Entrevista!$L13="","",Entrevista!$L13))</f>
        <v/>
      </c>
    </row>
    <row r="14" ht="14.25" customHeight="1" s="60">
      <c r="A14" s="30">
        <f>IF($B14="","",ROW()-4)</f>
        <v/>
      </c>
      <c r="B14" s="30" t="inlineStr">
        <is>
          <t>m277865@dac.unicamp.br</t>
        </is>
      </c>
      <c r="C14" s="30" t="inlineStr">
        <is>
          <t>Mariana Nunes Galvão Sant'Anna</t>
        </is>
      </c>
      <c r="D14" s="41">
        <f>IF($B14="","",COUNTIFS('Avaliação'!$C$7:$C$206,$B14,'Avaliação'!$E$7:$E$206,"&gt;=0"))</f>
        <v/>
      </c>
      <c r="E14" s="33">
        <f>IF($B14="","",IFERROR(ROUND(AVERAGEIF('Avaliação'!$C$7:$C$206,$B14,'Avaliação'!$E$7:$E$206),2),""))</f>
        <v/>
      </c>
      <c r="F14" s="41">
        <f t="array" ref="F14">IF($B14="","",IFERROR(INDEX('Avaliação'!$E$7:$E$206,MATCH($B14,'Avaliação'!$C$7:$C$206,0)),""))</f>
        <v/>
      </c>
      <c r="G14" s="41">
        <f>IF($B14="","",IF($D14&lt;&gt;2,"",IF($F14="","",ROUND(SUMIF('Avaliação'!$C$7:$C$206,$B14,'Avaliação'!$E$7:$E$206)-$F14,2))))</f>
        <v/>
      </c>
      <c r="H14" s="41">
        <f>IF($B14="","",IF(OR($F14="",$G14=""),"",ROUND(ABS($F14-$G14),2)))</f>
        <v/>
      </c>
      <c r="I14" s="30">
        <f>IF($B14="","",IF($D14&lt;2,"⚠ falta 2º avaliador",IF($D14&gt;2,"⚠ mais de 2 avaliações — conferir",IF(AND(ISNUMBER($H14),$H14&gt;1),"⚠ divergência &gt; 1,0 — média suspensa, calibrar","OK"))))</f>
        <v/>
      </c>
      <c r="J14" s="30" t="n"/>
      <c r="K14" s="41" t="n"/>
      <c r="L14" s="35" t="n"/>
      <c r="M14" s="41">
        <f>IF($E14="","",COUNTIF($E$5:$E$64,"&gt;"&amp;$E14)+1)</f>
        <v/>
      </c>
      <c r="N14" s="41">
        <f>IF($B14="","",IF(Entrevista!$H14="","",Entrevista!$H14))</f>
        <v/>
      </c>
      <c r="O14" s="30">
        <f>IF($B14="","",IF(Entrevista!$L14="","",Entrevista!$L14))</f>
        <v/>
      </c>
    </row>
    <row r="15" ht="14.25" customHeight="1" s="60">
      <c r="A15" s="30">
        <f>IF($B15="","",ROW()-4)</f>
        <v/>
      </c>
      <c r="B15" s="30" t="inlineStr">
        <is>
          <t>a266739@dac.unicamp.br</t>
        </is>
      </c>
      <c r="C15" s="30" t="inlineStr">
        <is>
          <t>Aslan Rodrigues Maia</t>
        </is>
      </c>
      <c r="D15" s="41">
        <f>IF($B15="","",COUNTIFS('Avaliação'!$C$7:$C$206,$B15,'Avaliação'!$E$7:$E$206,"&gt;=0"))</f>
        <v/>
      </c>
      <c r="E15" s="33">
        <f>IF($B15="","",IFERROR(ROUND(AVERAGEIF('Avaliação'!$C$7:$C$206,$B15,'Avaliação'!$E$7:$E$206),2),""))</f>
        <v/>
      </c>
      <c r="F15" s="41">
        <f t="array" ref="F15">IF($B15="","",IFERROR(INDEX('Avaliação'!$E$7:$E$206,MATCH($B15,'Avaliação'!$C$7:$C$206,0)),""))</f>
        <v/>
      </c>
      <c r="G15" s="41">
        <f>IF($B15="","",IF($D15&lt;&gt;2,"",IF($F15="","",ROUND(SUMIF('Avaliação'!$C$7:$C$206,$B15,'Avaliação'!$E$7:$E$206)-$F15,2))))</f>
        <v/>
      </c>
      <c r="H15" s="41">
        <f>IF($B15="","",IF(OR($F15="",$G15=""),"",ROUND(ABS($F15-$G15),2)))</f>
        <v/>
      </c>
      <c r="I15" s="30">
        <f>IF($B15="","",IF($D15&lt;2,"⚠ falta 2º avaliador",IF($D15&gt;2,"⚠ mais de 2 avaliações — conferir",IF(AND(ISNUMBER($H15),$H15&gt;1),"⚠ divergência &gt; 1,0 — média suspensa, calibrar","OK"))))</f>
        <v/>
      </c>
      <c r="J15" s="30" t="n"/>
      <c r="K15" s="41" t="n"/>
      <c r="L15" s="35" t="n"/>
      <c r="M15" s="41">
        <f>IF($E15="","",COUNTIF($E$5:$E$64,"&gt;"&amp;$E15)+1)</f>
        <v/>
      </c>
      <c r="N15" s="41">
        <f>IF($B15="","",IF(Entrevista!$H15="","",Entrevista!$H15))</f>
        <v/>
      </c>
      <c r="O15" s="30">
        <f>IF($B15="","",IF(Entrevista!$L15="","",Entrevista!$L15))</f>
        <v/>
      </c>
    </row>
    <row r="16" ht="14.25" customHeight="1" s="60">
      <c r="A16" s="30">
        <f>IF($B16="","",ROW()-4)</f>
        <v/>
      </c>
      <c r="B16" s="30" t="inlineStr">
        <is>
          <t>j278641@dac.unicamp.br</t>
        </is>
      </c>
      <c r="C16" s="30" t="inlineStr">
        <is>
          <t>João Gabriel de Oliveira Morcelli</t>
        </is>
      </c>
      <c r="D16" s="41">
        <f>IF($B16="","",COUNTIFS('Avaliação'!$C$7:$C$206,$B16,'Avaliação'!$E$7:$E$206,"&gt;=0"))</f>
        <v/>
      </c>
      <c r="E16" s="33">
        <f>IF($B16="","",IFERROR(ROUND(AVERAGEIF('Avaliação'!$C$7:$C$206,$B16,'Avaliação'!$E$7:$E$206),2),""))</f>
        <v/>
      </c>
      <c r="F16" s="41">
        <f t="array" ref="F16">IF($B16="","",IFERROR(INDEX('Avaliação'!$E$7:$E$206,MATCH($B16,'Avaliação'!$C$7:$C$206,0)),""))</f>
        <v/>
      </c>
      <c r="G16" s="41">
        <f>IF($B16="","",IF($D16&lt;&gt;2,"",IF($F16="","",ROUND(SUMIF('Avaliação'!$C$7:$C$206,$B16,'Avaliação'!$E$7:$E$206)-$F16,2))))</f>
        <v/>
      </c>
      <c r="H16" s="41">
        <f>IF($B16="","",IF(OR($F16="",$G16=""),"",ROUND(ABS($F16-$G16),2)))</f>
        <v/>
      </c>
      <c r="I16" s="30">
        <f>IF($B16="","",IF($D16&lt;2,"⚠ falta 2º avaliador",IF($D16&gt;2,"⚠ mais de 2 avaliações — conferir",IF(AND(ISNUMBER($H16),$H16&gt;1),"⚠ divergência &gt; 1,0 — média suspensa, calibrar","OK"))))</f>
        <v/>
      </c>
      <c r="J16" s="30" t="n"/>
      <c r="K16" s="41" t="n"/>
      <c r="L16" s="35" t="n"/>
      <c r="M16" s="41">
        <f>IF($E16="","",COUNTIF($E$5:$E$64,"&gt;"&amp;$E16)+1)</f>
        <v/>
      </c>
      <c r="N16" s="41">
        <f>IF($B16="","",IF(Entrevista!$H16="","",Entrevista!$H16))</f>
        <v/>
      </c>
      <c r="O16" s="30">
        <f>IF($B16="","",IF(Entrevista!$L16="","",Entrevista!$L16))</f>
        <v/>
      </c>
    </row>
    <row r="17" ht="14.25" customHeight="1" s="60">
      <c r="A17" s="30">
        <f>IF($B17="","",ROW()-4)</f>
        <v/>
      </c>
      <c r="B17" s="30" t="inlineStr">
        <is>
          <t>r278709@dac.unicamp.br</t>
        </is>
      </c>
      <c r="C17" s="30" t="inlineStr">
        <is>
          <t>Raphael Negrini Saggioro</t>
        </is>
      </c>
      <c r="D17" s="41">
        <f>IF($B17="","",COUNTIFS('Avaliação'!$C$7:$C$206,$B17,'Avaliação'!$E$7:$E$206,"&gt;=0"))</f>
        <v/>
      </c>
      <c r="E17" s="33">
        <f>IF($B17="","",IFERROR(ROUND(AVERAGEIF('Avaliação'!$C$7:$C$206,$B17,'Avaliação'!$E$7:$E$206),2),""))</f>
        <v/>
      </c>
      <c r="F17" s="41">
        <f t="array" ref="F17">IF($B17="","",IFERROR(INDEX('Avaliação'!$E$7:$E$206,MATCH($B17,'Avaliação'!$C$7:$C$206,0)),""))</f>
        <v/>
      </c>
      <c r="G17" s="41">
        <f>IF($B17="","",IF($D17&lt;&gt;2,"",IF($F17="","",ROUND(SUMIF('Avaliação'!$C$7:$C$206,$B17,'Avaliação'!$E$7:$E$206)-$F17,2))))</f>
        <v/>
      </c>
      <c r="H17" s="41">
        <f>IF($B17="","",IF(OR($F17="",$G17=""),"",ROUND(ABS($F17-$G17),2)))</f>
        <v/>
      </c>
      <c r="I17" s="30">
        <f>IF($B17="","",IF($D17&lt;2,"⚠ falta 2º avaliador",IF($D17&gt;2,"⚠ mais de 2 avaliações — conferir",IF(AND(ISNUMBER($H17),$H17&gt;1),"⚠ divergência &gt; 1,0 — média suspensa, calibrar","OK"))))</f>
        <v/>
      </c>
      <c r="J17" s="30" t="n"/>
      <c r="K17" s="41" t="n"/>
      <c r="L17" s="35" t="n"/>
      <c r="M17" s="41">
        <f>IF($E17="","",COUNTIF($E$5:$E$64,"&gt;"&amp;$E17)+1)</f>
        <v/>
      </c>
      <c r="N17" s="41">
        <f>IF($B17="","",IF(Entrevista!$H17="","",Entrevista!$H17))</f>
        <v/>
      </c>
      <c r="O17" s="30">
        <f>IF($B17="","",IF(Entrevista!$L17="","",Entrevista!$L17))</f>
        <v/>
      </c>
    </row>
    <row r="18" ht="14.25" customHeight="1" s="60">
      <c r="A18" s="30">
        <f>IF($B18="","",ROW()-4)</f>
        <v/>
      </c>
      <c r="B18" s="30" t="inlineStr">
        <is>
          <t>g278107@dac.unicamp.br</t>
        </is>
      </c>
      <c r="C18" s="30" t="inlineStr">
        <is>
          <t>Gustavo Daher Pereira</t>
        </is>
      </c>
      <c r="D18" s="41">
        <f>IF($B18="","",COUNTIFS('Avaliação'!$C$7:$C$206,$B18,'Avaliação'!$E$7:$E$206,"&gt;=0"))</f>
        <v/>
      </c>
      <c r="E18" s="33">
        <f>IF($B18="","",IFERROR(ROUND(AVERAGEIF('Avaliação'!$C$7:$C$206,$B18,'Avaliação'!$E$7:$E$206),2),""))</f>
        <v/>
      </c>
      <c r="F18" s="41">
        <f t="array" ref="F18">IF($B18="","",IFERROR(INDEX('Avaliação'!$E$7:$E$206,MATCH($B18,'Avaliação'!$C$7:$C$206,0)),""))</f>
        <v/>
      </c>
      <c r="G18" s="41">
        <f>IF($B18="","",IF($D18&lt;&gt;2,"",IF($F18="","",ROUND(SUMIF('Avaliação'!$C$7:$C$206,$B18,'Avaliação'!$E$7:$E$206)-$F18,2))))</f>
        <v/>
      </c>
      <c r="H18" s="41">
        <f>IF($B18="","",IF(OR($F18="",$G18=""),"",ROUND(ABS($F18-$G18),2)))</f>
        <v/>
      </c>
      <c r="I18" s="30">
        <f>IF($B18="","",IF($D18&lt;2,"⚠ falta 2º avaliador",IF($D18&gt;2,"⚠ mais de 2 avaliações — conferir",IF(AND(ISNUMBER($H18),$H18&gt;1),"⚠ divergência &gt; 1,0 — média suspensa, calibrar","OK"))))</f>
        <v/>
      </c>
      <c r="J18" s="30" t="n"/>
      <c r="K18" s="41" t="n"/>
      <c r="L18" s="35" t="n"/>
      <c r="M18" s="41">
        <f>IF($E18="","",COUNTIF($E$5:$E$64,"&gt;"&amp;$E18)+1)</f>
        <v/>
      </c>
      <c r="N18" s="41">
        <f>IF($B18="","",IF(Entrevista!$H18="","",Entrevista!$H18))</f>
        <v/>
      </c>
      <c r="O18" s="30">
        <f>IF($B18="","",IF(Entrevista!$L18="","",Entrevista!$L18))</f>
        <v/>
      </c>
    </row>
    <row r="19" ht="14.25" customHeight="1" s="60">
      <c r="A19" s="30">
        <f>IF($B19="","",ROW()-4)</f>
        <v/>
      </c>
      <c r="B19" s="30" t="inlineStr">
        <is>
          <t>rickfilho2007@gmail.com</t>
        </is>
      </c>
      <c r="C19" s="30" t="inlineStr">
        <is>
          <t>Ricardo Augusto Schmitt Filho</t>
        </is>
      </c>
      <c r="D19" s="41">
        <f>IF($B19="","",COUNTIFS('Avaliação'!$C$7:$C$206,$B19,'Avaliação'!$E$7:$E$206,"&gt;=0"))</f>
        <v/>
      </c>
      <c r="E19" s="33">
        <f>IF($B19="","",IFERROR(ROUND(AVERAGEIF('Avaliação'!$C$7:$C$206,$B19,'Avaliação'!$E$7:$E$206),2),""))</f>
        <v/>
      </c>
      <c r="F19" s="41">
        <f t="array" ref="F19">IF($B19="","",IFERROR(INDEX('Avaliação'!$E$7:$E$206,MATCH($B19,'Avaliação'!$C$7:$C$206,0)),""))</f>
        <v/>
      </c>
      <c r="G19" s="41">
        <f>IF($B19="","",IF($D19&lt;&gt;2,"",IF($F19="","",ROUND(SUMIF('Avaliação'!$C$7:$C$206,$B19,'Avaliação'!$E$7:$E$206)-$F19,2))))</f>
        <v/>
      </c>
      <c r="H19" s="41">
        <f>IF($B19="","",IF(OR($F19="",$G19=""),"",ROUND(ABS($F19-$G19),2)))</f>
        <v/>
      </c>
      <c r="I19" s="30">
        <f>IF($B19="","",IF($D19&lt;2,"⚠ falta 2º avaliador",IF($D19&gt;2,"⚠ mais de 2 avaliações — conferir",IF(AND(ISNUMBER($H19),$H19&gt;1),"⚠ divergência &gt; 1,0 — média suspensa, calibrar","OK"))))</f>
        <v/>
      </c>
      <c r="J19" s="30" t="n"/>
      <c r="K19" s="41" t="n"/>
      <c r="L19" s="35" t="n"/>
      <c r="M19" s="41">
        <f>IF($E19="","",COUNTIF($E$5:$E$64,"&gt;"&amp;$E19)+1)</f>
        <v/>
      </c>
      <c r="N19" s="41">
        <f>IF($B19="","",IF(Entrevista!$H19="","",Entrevista!$H19))</f>
        <v/>
      </c>
      <c r="O19" s="30">
        <f>IF($B19="","",IF(Entrevista!$L19="","",Entrevista!$L19))</f>
        <v/>
      </c>
    </row>
    <row r="20" ht="14.25" customHeight="1" s="60">
      <c r="A20" s="30">
        <f>IF($B20="","",ROW()-4)</f>
        <v/>
      </c>
      <c r="B20" s="30" t="inlineStr">
        <is>
          <t>m306365@dac.unicamp.br</t>
        </is>
      </c>
      <c r="C20" s="30" t="inlineStr">
        <is>
          <t>Matheus Dias Freitas</t>
        </is>
      </c>
      <c r="D20" s="41">
        <f>IF($B20="","",COUNTIFS('Avaliação'!$C$7:$C$206,$B20,'Avaliação'!$E$7:$E$206,"&gt;=0"))</f>
        <v/>
      </c>
      <c r="E20" s="33">
        <f>IF($B20="","",IFERROR(ROUND(AVERAGEIF('Avaliação'!$C$7:$C$206,$B20,'Avaliação'!$E$7:$E$206),2),""))</f>
        <v/>
      </c>
      <c r="F20" s="41">
        <f t="array" ref="F20">IF($B20="","",IFERROR(INDEX('Avaliação'!$E$7:$E$206,MATCH($B20,'Avaliação'!$C$7:$C$206,0)),""))</f>
        <v/>
      </c>
      <c r="G20" s="41">
        <f>IF($B20="","",IF($D20&lt;&gt;2,"",IF($F20="","",ROUND(SUMIF('Avaliação'!$C$7:$C$206,$B20,'Avaliação'!$E$7:$E$206)-$F20,2))))</f>
        <v/>
      </c>
      <c r="H20" s="41">
        <f>IF($B20="","",IF(OR($F20="",$G20=""),"",ROUND(ABS($F20-$G20),2)))</f>
        <v/>
      </c>
      <c r="I20" s="30">
        <f>IF($B20="","",IF($D20&lt;2,"⚠ falta 2º avaliador",IF($D20&gt;2,"⚠ mais de 2 avaliações — conferir",IF(AND(ISNUMBER($H20),$H20&gt;1),"⚠ divergência &gt; 1,0 — média suspensa, calibrar","OK"))))</f>
        <v/>
      </c>
      <c r="J20" s="30" t="n"/>
      <c r="K20" s="41" t="n"/>
      <c r="L20" s="35" t="n"/>
      <c r="M20" s="41">
        <f>IF($E20="","",COUNTIF($E$5:$E$64,"&gt;"&amp;$E20)+1)</f>
        <v/>
      </c>
      <c r="N20" s="41">
        <f>IF($B20="","",IF(Entrevista!$H20="","",Entrevista!$H20))</f>
        <v/>
      </c>
      <c r="O20" s="30">
        <f>IF($B20="","",IF(Entrevista!$L20="","",Entrevista!$L20))</f>
        <v/>
      </c>
    </row>
    <row r="21" ht="14.25" customHeight="1" s="60">
      <c r="A21" s="30">
        <f>IF($B21="","",ROW()-4)</f>
        <v/>
      </c>
      <c r="B21" s="30" t="inlineStr">
        <is>
          <t>k267983@dac.unicamp.br</t>
        </is>
      </c>
      <c r="C21" s="30" t="inlineStr">
        <is>
          <t>Klaus Augusto Santos da Silva</t>
        </is>
      </c>
      <c r="D21" s="41">
        <f>IF($B21="","",COUNTIFS('Avaliação'!$C$7:$C$206,$B21,'Avaliação'!$E$7:$E$206,"&gt;=0"))</f>
        <v/>
      </c>
      <c r="E21" s="33">
        <f>IF($B21="","",IFERROR(ROUND(AVERAGEIF('Avaliação'!$C$7:$C$206,$B21,'Avaliação'!$E$7:$E$206),2),""))</f>
        <v/>
      </c>
      <c r="F21" s="41">
        <f t="array" ref="F21">IF($B21="","",IFERROR(INDEX('Avaliação'!$E$7:$E$206,MATCH($B21,'Avaliação'!$C$7:$C$206,0)),""))</f>
        <v/>
      </c>
      <c r="G21" s="41">
        <f>IF($B21="","",IF($D21&lt;&gt;2,"",IF($F21="","",ROUND(SUMIF('Avaliação'!$C$7:$C$206,$B21,'Avaliação'!$E$7:$E$206)-$F21,2))))</f>
        <v/>
      </c>
      <c r="H21" s="41">
        <f>IF($B21="","",IF(OR($F21="",$G21=""),"",ROUND(ABS($F21-$G21),2)))</f>
        <v/>
      </c>
      <c r="I21" s="30">
        <f>IF($B21="","",IF($D21&lt;2,"⚠ falta 2º avaliador",IF($D21&gt;2,"⚠ mais de 2 avaliações — conferir",IF(AND(ISNUMBER($H21),$H21&gt;1),"⚠ divergência &gt; 1,0 — média suspensa, calibrar","OK"))))</f>
        <v/>
      </c>
      <c r="J21" s="30" t="n"/>
      <c r="K21" s="41" t="n"/>
      <c r="L21" s="35" t="n"/>
      <c r="M21" s="41">
        <f>IF($E21="","",COUNTIF($E$5:$E$64,"&gt;"&amp;$E21)+1)</f>
        <v/>
      </c>
      <c r="N21" s="41">
        <f>IF($B21="","",IF(Entrevista!$H21="","",Entrevista!$H21))</f>
        <v/>
      </c>
      <c r="O21" s="30">
        <f>IF($B21="","",IF(Entrevista!$L21="","",Entrevista!$L21))</f>
        <v/>
      </c>
    </row>
    <row r="22" ht="14.25" customHeight="1" s="60">
      <c r="A22" s="30">
        <f>IF($B22="","",ROW()-4)</f>
        <v/>
      </c>
      <c r="B22" s="30" t="inlineStr">
        <is>
          <t>r302729@dac.unicamp.br</t>
        </is>
      </c>
      <c r="C22" s="30" t="inlineStr">
        <is>
          <t>Rafael Rodrigues Moreira</t>
        </is>
      </c>
      <c r="D22" s="41">
        <f>IF($B22="","",COUNTIFS('Avaliação'!$C$7:$C$206,$B22,'Avaliação'!$E$7:$E$206,"&gt;=0"))</f>
        <v/>
      </c>
      <c r="E22" s="33">
        <f>IF($B22="","",IFERROR(ROUND(AVERAGEIF('Avaliação'!$C$7:$C$206,$B22,'Avaliação'!$E$7:$E$206),2),""))</f>
        <v/>
      </c>
      <c r="F22" s="41">
        <f t="array" ref="F22">IF($B22="","",IFERROR(INDEX('Avaliação'!$E$7:$E$206,MATCH($B22,'Avaliação'!$C$7:$C$206,0)),""))</f>
        <v/>
      </c>
      <c r="G22" s="41">
        <f>IF($B22="","",IF($D22&lt;&gt;2,"",IF($F22="","",ROUND(SUMIF('Avaliação'!$C$7:$C$206,$B22,'Avaliação'!$E$7:$E$206)-$F22,2))))</f>
        <v/>
      </c>
      <c r="H22" s="41">
        <f>IF($B22="","",IF(OR($F22="",$G22=""),"",ROUND(ABS($F22-$G22),2)))</f>
        <v/>
      </c>
      <c r="I22" s="30">
        <f>IF($B22="","",IF($D22&lt;2,"⚠ falta 2º avaliador",IF($D22&gt;2,"⚠ mais de 2 avaliações — conferir",IF(AND(ISNUMBER($H22),$H22&gt;1),"⚠ divergência &gt; 1,0 — média suspensa, calibrar","OK"))))</f>
        <v/>
      </c>
      <c r="J22" s="30" t="n"/>
      <c r="K22" s="41" t="n"/>
      <c r="L22" s="35" t="n"/>
      <c r="M22" s="41">
        <f>IF($E22="","",COUNTIF($E$5:$E$64,"&gt;"&amp;$E22)+1)</f>
        <v/>
      </c>
      <c r="N22" s="41">
        <f>IF($B22="","",IF(Entrevista!$H22="","",Entrevista!$H22))</f>
        <v/>
      </c>
      <c r="O22" s="30">
        <f>IF($B22="","",IF(Entrevista!$L22="","",Entrevista!$L22))</f>
        <v/>
      </c>
    </row>
    <row r="23" ht="14.25" customHeight="1" s="60">
      <c r="A23" s="30">
        <f>IF($B23="","",ROW()-4)</f>
        <v/>
      </c>
      <c r="B23" s="30" t="inlineStr">
        <is>
          <t>c258388@dac.unicamp.br</t>
        </is>
      </c>
      <c r="C23" s="30" t="inlineStr">
        <is>
          <t>Caio Augusto Saab</t>
        </is>
      </c>
      <c r="D23" s="41">
        <f>IF($B23="","",COUNTIFS('Avaliação'!$C$7:$C$206,$B23,'Avaliação'!$E$7:$E$206,"&gt;=0"))</f>
        <v/>
      </c>
      <c r="E23" s="33">
        <f>IF($B23="","",IFERROR(ROUND(AVERAGEIF('Avaliação'!$C$7:$C$206,$B23,'Avaliação'!$E$7:$E$206),2),""))</f>
        <v/>
      </c>
      <c r="F23" s="41">
        <f t="array" ref="F23">IF($B23="","",IFERROR(INDEX('Avaliação'!$E$7:$E$206,MATCH($B23,'Avaliação'!$C$7:$C$206,0)),""))</f>
        <v/>
      </c>
      <c r="G23" s="41">
        <f>IF($B23="","",IF($D23&lt;&gt;2,"",IF($F23="","",ROUND(SUMIF('Avaliação'!$C$7:$C$206,$B23,'Avaliação'!$E$7:$E$206)-$F23,2))))</f>
        <v/>
      </c>
      <c r="H23" s="41">
        <f>IF($B23="","",IF(OR($F23="",$G23=""),"",ROUND(ABS($F23-$G23),2)))</f>
        <v/>
      </c>
      <c r="I23" s="30">
        <f>IF($B23="","",IF($D23&lt;2,"⚠ falta 2º avaliador",IF($D23&gt;2,"⚠ mais de 2 avaliações — conferir",IF(AND(ISNUMBER($H23),$H23&gt;1),"⚠ divergência &gt; 1,0 — média suspensa, calibrar","OK"))))</f>
        <v/>
      </c>
      <c r="J23" s="30" t="n"/>
      <c r="K23" s="41" t="n"/>
      <c r="L23" s="35" t="n"/>
      <c r="M23" s="41">
        <f>IF($E23="","",COUNTIF($E$5:$E$64,"&gt;"&amp;$E23)+1)</f>
        <v/>
      </c>
      <c r="N23" s="41">
        <f>IF($B23="","",IF(Entrevista!$H23="","",Entrevista!$H23))</f>
        <v/>
      </c>
      <c r="O23" s="30">
        <f>IF($B23="","",IF(Entrevista!$L23="","",Entrevista!$L23))</f>
        <v/>
      </c>
    </row>
    <row r="24" ht="14.25" customHeight="1" s="60">
      <c r="A24" s="30">
        <f>IF($B24="","",ROW()-4)</f>
        <v/>
      </c>
      <c r="B24" s="30" t="inlineStr">
        <is>
          <t>j260826@dac.unicamp.br</t>
        </is>
      </c>
      <c r="C24" s="30" t="inlineStr">
        <is>
          <t>José Vitor Dias Tutu</t>
        </is>
      </c>
      <c r="D24" s="41">
        <f>IF($B24="","",COUNTIFS('Avaliação'!$C$7:$C$206,$B24,'Avaliação'!$E$7:$E$206,"&gt;=0"))</f>
        <v/>
      </c>
      <c r="E24" s="33">
        <f>IF($B24="","",IFERROR(ROUND(AVERAGEIF('Avaliação'!$C$7:$C$206,$B24,'Avaliação'!$E$7:$E$206),2),""))</f>
        <v/>
      </c>
      <c r="F24" s="41">
        <f t="array" ref="F24">IF($B24="","",IFERROR(INDEX('Avaliação'!$E$7:$E$206,MATCH($B24,'Avaliação'!$C$7:$C$206,0)),""))</f>
        <v/>
      </c>
      <c r="G24" s="41">
        <f>IF($B24="","",IF($D24&lt;&gt;2,"",IF($F24="","",ROUND(SUMIF('Avaliação'!$C$7:$C$206,$B24,'Avaliação'!$E$7:$E$206)-$F24,2))))</f>
        <v/>
      </c>
      <c r="H24" s="41">
        <f>IF($B24="","",IF(OR($F24="",$G24=""),"",ROUND(ABS($F24-$G24),2)))</f>
        <v/>
      </c>
      <c r="I24" s="30">
        <f>IF($B24="","",IF($D24&lt;2,"⚠ falta 2º avaliador",IF($D24&gt;2,"⚠ mais de 2 avaliações — conferir",IF(AND(ISNUMBER($H24),$H24&gt;1),"⚠ divergência &gt; 1,0 — média suspensa, calibrar","OK"))))</f>
        <v/>
      </c>
      <c r="J24" s="30" t="n"/>
      <c r="K24" s="41" t="n"/>
      <c r="L24" s="35" t="n"/>
      <c r="M24" s="41">
        <f>IF($E24="","",COUNTIF($E$5:$E$64,"&gt;"&amp;$E24)+1)</f>
        <v/>
      </c>
      <c r="N24" s="41">
        <f>IF($B24="","",IF(Entrevista!$H24="","",Entrevista!$H24))</f>
        <v/>
      </c>
      <c r="O24" s="30">
        <f>IF($B24="","",IF(Entrevista!$L24="","",Entrevista!$L24))</f>
        <v/>
      </c>
    </row>
    <row r="25" ht="14.25" customHeight="1" s="60">
      <c r="A25" s="30">
        <f>IF($B25="","",ROW()-4)</f>
        <v/>
      </c>
      <c r="B25" s="30" t="inlineStr">
        <is>
          <t xml:space="preserve">i253464@dac.unicamp.br
</t>
        </is>
      </c>
      <c r="C25" s="30" t="inlineStr">
        <is>
          <t>Isadora Kluge Dorigan</t>
        </is>
      </c>
      <c r="D25" s="41">
        <f>IF($B25="","",COUNTIFS('Avaliação'!$C$7:$C$206,$B25,'Avaliação'!$E$7:$E$206,"&gt;=0"))</f>
        <v/>
      </c>
      <c r="E25" s="33">
        <f>IF($B25="","",IFERROR(ROUND(AVERAGEIF('Avaliação'!$C$7:$C$206,$B25,'Avaliação'!$E$7:$E$206),2),""))</f>
        <v/>
      </c>
      <c r="F25" s="41">
        <f t="array" ref="F25">IF($B25="","",IFERROR(INDEX('Avaliação'!$E$7:$E$206,MATCH($B25,'Avaliação'!$C$7:$C$206,0)),""))</f>
        <v/>
      </c>
      <c r="G25" s="41">
        <f>IF($B25="","",IF($D25&lt;&gt;2,"",IF($F25="","",ROUND(SUMIF('Avaliação'!$C$7:$C$206,$B25,'Avaliação'!$E$7:$E$206)-$F25,2))))</f>
        <v/>
      </c>
      <c r="H25" s="41">
        <f>IF($B25="","",IF(OR($F25="",$G25=""),"",ROUND(ABS($F25-$G25),2)))</f>
        <v/>
      </c>
      <c r="I25" s="30">
        <f>IF($B25="","",IF($D25&lt;2,"⚠ falta 2º avaliador",IF($D25&gt;2,"⚠ mais de 2 avaliações — conferir",IF(AND(ISNUMBER($H25),$H25&gt;1),"⚠ divergência &gt; 1,0 — média suspensa, calibrar","OK"))))</f>
        <v/>
      </c>
      <c r="J25" s="30" t="n"/>
      <c r="K25" s="41" t="n"/>
      <c r="L25" s="35" t="n"/>
      <c r="M25" s="41">
        <f>IF($E25="","",COUNTIF($E$5:$E$64,"&gt;"&amp;$E25)+1)</f>
        <v/>
      </c>
      <c r="N25" s="41">
        <f>IF($B25="","",IF(Entrevista!$H25="","",Entrevista!$H25))</f>
        <v/>
      </c>
      <c r="O25" s="30">
        <f>IF($B25="","",IF(Entrevista!$L25="","",Entrevista!$L25))</f>
        <v/>
      </c>
    </row>
    <row r="26" ht="14.25" customHeight="1" s="60">
      <c r="A26" s="30">
        <f>IF($B26="","",ROW()-4)</f>
        <v/>
      </c>
      <c r="C26" s="41" t="n"/>
      <c r="D26" s="41">
        <f>IF($B26="","",COUNTIFS('Avaliação'!$C$7:$C$206,$B26,'Avaliação'!$E$7:$E$206,"&gt;=0"))</f>
        <v/>
      </c>
      <c r="E26" s="33">
        <f>IF($B26="","",IFERROR(ROUND(AVERAGEIF('Avaliação'!$C$7:$C$206,$B26,'Avaliação'!$E$7:$E$206),2),""))</f>
        <v/>
      </c>
      <c r="F26" s="41">
        <f t="array" ref="F26">IF($B26="","",IFERROR(INDEX('Avaliação'!$E$7:$E$206,MATCH($B26,'Avaliação'!$C$7:$C$206,0)),""))</f>
        <v/>
      </c>
      <c r="G26" s="41">
        <f>IF($B26="","",IF($D26&lt;&gt;2,"",IF($F26="","",ROUND(SUMIF('Avaliação'!$C$7:$C$206,$B26,'Avaliação'!$E$7:$E$206)-$F26,2))))</f>
        <v/>
      </c>
      <c r="H26" s="41">
        <f>IF($B26="","",IF(OR($F26="",$G26=""),"",ROUND(ABS($F26-$G26),2)))</f>
        <v/>
      </c>
      <c r="I26" s="30">
        <f>IF($B26="","",IF($D26&lt;2,"⚠ falta 2º avaliador",IF($D26&gt;2,"⚠ mais de 2 avaliações — conferir",IF(AND(ISNUMBER($H26),$H26&gt;1),"⚠ divergência &gt; 1,0 — média suspensa, calibrar","OK"))))</f>
        <v/>
      </c>
      <c r="J26" s="30" t="n"/>
      <c r="K26" s="41" t="n"/>
      <c r="L26" s="35" t="n"/>
      <c r="M26" s="41">
        <f>IF($E26="","",COUNTIF($E$5:$E$64,"&gt;"&amp;$E26)+1)</f>
        <v/>
      </c>
      <c r="N26" s="41">
        <f>IF($B26="","",IF(Entrevista!$H26="","",Entrevista!$H26))</f>
        <v/>
      </c>
      <c r="O26" s="30">
        <f>IF($B26="","",IF(Entrevista!$L26="","",Entrevista!$L26))</f>
        <v/>
      </c>
    </row>
    <row r="27" ht="14.25" customHeight="1" s="60">
      <c r="A27" s="30">
        <f>IF($B27="","",ROW()-4)</f>
        <v/>
      </c>
      <c r="C27" s="41" t="n"/>
      <c r="D27" s="41">
        <f>IF($B27="","",COUNTIFS('Avaliação'!$C$7:$C$206,$B27,'Avaliação'!$E$7:$E$206,"&gt;=0"))</f>
        <v/>
      </c>
      <c r="E27" s="33">
        <f>IF($B27="","",IFERROR(ROUND(AVERAGEIF('Avaliação'!$C$7:$C$206,$B27,'Avaliação'!$E$7:$E$206),2),""))</f>
        <v/>
      </c>
      <c r="F27" s="41">
        <f t="array" ref="F27">IF($B27="","",IFERROR(INDEX('Avaliação'!$E$7:$E$206,MATCH($B27,'Avaliação'!$C$7:$C$206,0)),""))</f>
        <v/>
      </c>
      <c r="G27" s="41">
        <f>IF($B27="","",IF($D27&lt;&gt;2,"",IF($F27="","",ROUND(SUMIF('Avaliação'!$C$7:$C$206,$B27,'Avaliação'!$E$7:$E$206)-$F27,2))))</f>
        <v/>
      </c>
      <c r="H27" s="41">
        <f>IF($B27="","",IF(OR($F27="",$G27=""),"",ROUND(ABS($F27-$G27),2)))</f>
        <v/>
      </c>
      <c r="I27" s="30">
        <f>IF($B27="","",IF($D27&lt;2,"⚠ falta 2º avaliador",IF($D27&gt;2,"⚠ mais de 2 avaliações — conferir",IF(AND(ISNUMBER($H27),$H27&gt;1),"⚠ divergência &gt; 1,0 — média suspensa, calibrar","OK"))))</f>
        <v/>
      </c>
      <c r="J27" s="30" t="n"/>
      <c r="K27" s="41" t="n"/>
      <c r="L27" s="35" t="n"/>
      <c r="M27" s="41">
        <f>IF($E27="","",COUNTIF($E$5:$E$64,"&gt;"&amp;$E27)+1)</f>
        <v/>
      </c>
      <c r="N27" s="41">
        <f>IF($B27="","",IF(Entrevista!$H27="","",Entrevista!$H27))</f>
        <v/>
      </c>
      <c r="O27" s="30">
        <f>IF($B27="","",IF(Entrevista!$L27="","",Entrevista!$L27))</f>
        <v/>
      </c>
    </row>
    <row r="28" ht="14.25" customHeight="1" s="60">
      <c r="A28" s="30">
        <f>IF($B28="","",ROW()-4)</f>
        <v/>
      </c>
      <c r="C28" s="41" t="n"/>
      <c r="D28" s="41">
        <f>IF($B28="","",COUNTIFS('Avaliação'!$C$7:$C$206,$B28,'Avaliação'!$E$7:$E$206,"&gt;=0"))</f>
        <v/>
      </c>
      <c r="E28" s="33">
        <f>IF($B28="","",IFERROR(ROUND(AVERAGEIF('Avaliação'!$C$7:$C$206,$B28,'Avaliação'!$E$7:$E$206),2),""))</f>
        <v/>
      </c>
      <c r="F28" s="41">
        <f t="array" ref="F28">IF($B28="","",IFERROR(INDEX('Avaliação'!$E$7:$E$206,MATCH($B28,'Avaliação'!$C$7:$C$206,0)),""))</f>
        <v/>
      </c>
      <c r="G28" s="41">
        <f>IF($B28="","",IF($D28&lt;&gt;2,"",IF($F28="","",ROUND(SUMIF('Avaliação'!$C$7:$C$206,$B28,'Avaliação'!$E$7:$E$206)-$F28,2))))</f>
        <v/>
      </c>
      <c r="H28" s="41">
        <f>IF($B28="","",IF(OR($F28="",$G28=""),"",ROUND(ABS($F28-$G28),2)))</f>
        <v/>
      </c>
      <c r="I28" s="30">
        <f>IF($B28="","",IF($D28&lt;2,"⚠ falta 2º avaliador",IF($D28&gt;2,"⚠ mais de 2 avaliações — conferir",IF(AND(ISNUMBER($H28),$H28&gt;1),"⚠ divergência &gt; 1,0 — média suspensa, calibrar","OK"))))</f>
        <v/>
      </c>
      <c r="J28" s="30" t="n"/>
      <c r="K28" s="41" t="n"/>
      <c r="L28" s="35" t="n"/>
      <c r="M28" s="41">
        <f>IF($E28="","",COUNTIF($E$5:$E$64,"&gt;"&amp;$E28)+1)</f>
        <v/>
      </c>
      <c r="N28" s="41">
        <f>IF($B28="","",IF(Entrevista!$H28="","",Entrevista!$H28))</f>
        <v/>
      </c>
      <c r="O28" s="30">
        <f>IF($B28="","",IF(Entrevista!$L28="","",Entrevista!$L28))</f>
        <v/>
      </c>
    </row>
    <row r="29" ht="14.25" customHeight="1" s="60">
      <c r="A29" s="30">
        <f>IF($B29="","",ROW()-4)</f>
        <v/>
      </c>
      <c r="C29" s="41" t="n"/>
      <c r="D29" s="41">
        <f>IF($B29="","",COUNTIFS('Avaliação'!$C$7:$C$206,$B29,'Avaliação'!$E$7:$E$206,"&gt;=0"))</f>
        <v/>
      </c>
      <c r="E29" s="33">
        <f>IF($B29="","",IFERROR(ROUND(AVERAGEIF('Avaliação'!$C$7:$C$206,$B29,'Avaliação'!$E$7:$E$206),2),""))</f>
        <v/>
      </c>
      <c r="F29" s="41">
        <f t="array" ref="F29">IF($B29="","",IFERROR(INDEX('Avaliação'!$E$7:$E$206,MATCH($B29,'Avaliação'!$C$7:$C$206,0)),""))</f>
        <v/>
      </c>
      <c r="G29" s="41">
        <f>IF($B29="","",IF($D29&lt;&gt;2,"",IF($F29="","",ROUND(SUMIF('Avaliação'!$C$7:$C$206,$B29,'Avaliação'!$E$7:$E$206)-$F29,2))))</f>
        <v/>
      </c>
      <c r="H29" s="41">
        <f>IF($B29="","",IF(OR($F29="",$G29=""),"",ROUND(ABS($F29-$G29),2)))</f>
        <v/>
      </c>
      <c r="I29" s="30">
        <f>IF($B29="","",IF($D29&lt;2,"⚠ falta 2º avaliador",IF($D29&gt;2,"⚠ mais de 2 avaliações — conferir",IF(AND(ISNUMBER($H29),$H29&gt;1),"⚠ divergência &gt; 1,0 — média suspensa, calibrar","OK"))))</f>
        <v/>
      </c>
      <c r="J29" s="30" t="n"/>
      <c r="K29" s="41" t="n"/>
      <c r="L29" s="35" t="n"/>
      <c r="M29" s="41">
        <f>IF($E29="","",COUNTIF($E$5:$E$64,"&gt;"&amp;$E29)+1)</f>
        <v/>
      </c>
      <c r="N29" s="41">
        <f>IF($B29="","",IF(Entrevista!$H29="","",Entrevista!$H29))</f>
        <v/>
      </c>
      <c r="O29" s="30">
        <f>IF($B29="","",IF(Entrevista!$L29="","",Entrevista!$L29))</f>
        <v/>
      </c>
    </row>
    <row r="30" ht="14.25" customHeight="1" s="60">
      <c r="A30" s="30">
        <f>IF($B30="","",ROW()-4)</f>
        <v/>
      </c>
      <c r="C30" s="41" t="n"/>
      <c r="D30" s="41">
        <f>IF($B30="","",COUNTIFS('Avaliação'!$C$7:$C$206,$B30,'Avaliação'!$E$7:$E$206,"&gt;=0"))</f>
        <v/>
      </c>
      <c r="E30" s="33">
        <f>IF($B30="","",IFERROR(ROUND(AVERAGEIF('Avaliação'!$C$7:$C$206,$B30,'Avaliação'!$E$7:$E$206),2),""))</f>
        <v/>
      </c>
      <c r="F30" s="41">
        <f t="array" ref="F30">IF($B30="","",IFERROR(INDEX('Avaliação'!$E$7:$E$206,MATCH($B30,'Avaliação'!$C$7:$C$206,0)),""))</f>
        <v/>
      </c>
      <c r="G30" s="41">
        <f>IF($B30="","",IF($D30&lt;&gt;2,"",IF($F30="","",ROUND(SUMIF('Avaliação'!$C$7:$C$206,$B30,'Avaliação'!$E$7:$E$206)-$F30,2))))</f>
        <v/>
      </c>
      <c r="H30" s="41">
        <f>IF($B30="","",IF(OR($F30="",$G30=""),"",ROUND(ABS($F30-$G30),2)))</f>
        <v/>
      </c>
      <c r="I30" s="30">
        <f>IF($B30="","",IF($D30&lt;2,"⚠ falta 2º avaliador",IF($D30&gt;2,"⚠ mais de 2 avaliações — conferir",IF(AND(ISNUMBER($H30),$H30&gt;1),"⚠ divergência &gt; 1,0 — média suspensa, calibrar","OK"))))</f>
        <v/>
      </c>
      <c r="J30" s="30" t="n"/>
      <c r="K30" s="41" t="n"/>
      <c r="L30" s="35" t="n"/>
      <c r="M30" s="41">
        <f>IF($E30="","",COUNTIF($E$5:$E$64,"&gt;"&amp;$E30)+1)</f>
        <v/>
      </c>
      <c r="N30" s="41">
        <f>IF($B30="","",IF(Entrevista!$H30="","",Entrevista!$H30))</f>
        <v/>
      </c>
      <c r="O30" s="30">
        <f>IF($B30="","",IF(Entrevista!$L30="","",Entrevista!$L30))</f>
        <v/>
      </c>
    </row>
    <row r="31" ht="14.25" customHeight="1" s="60">
      <c r="A31" s="30">
        <f>IF($B31="","",ROW()-4)</f>
        <v/>
      </c>
      <c r="C31" s="41" t="n"/>
      <c r="D31" s="41">
        <f>IF($B31="","",COUNTIFS('Avaliação'!$C$7:$C$206,$B31,'Avaliação'!$E$7:$E$206,"&gt;=0"))</f>
        <v/>
      </c>
      <c r="E31" s="33">
        <f>IF($B31="","",IFERROR(ROUND(AVERAGEIF('Avaliação'!$C$7:$C$206,$B31,'Avaliação'!$E$7:$E$206),2),""))</f>
        <v/>
      </c>
      <c r="F31" s="41">
        <f t="array" ref="F31">IF($B31="","",IFERROR(INDEX('Avaliação'!$E$7:$E$206,MATCH($B31,'Avaliação'!$C$7:$C$206,0)),""))</f>
        <v/>
      </c>
      <c r="G31" s="41">
        <f>IF($B31="","",IF($D31&lt;&gt;2,"",IF($F31="","",ROUND(SUMIF('Avaliação'!$C$7:$C$206,$B31,'Avaliação'!$E$7:$E$206)-$F31,2))))</f>
        <v/>
      </c>
      <c r="H31" s="41">
        <f>IF($B31="","",IF(OR($F31="",$G31=""),"",ROUND(ABS($F31-$G31),2)))</f>
        <v/>
      </c>
      <c r="I31" s="30">
        <f>IF($B31="","",IF($D31&lt;2,"⚠ falta 2º avaliador",IF($D31&gt;2,"⚠ mais de 2 avaliações — conferir",IF(AND(ISNUMBER($H31),$H31&gt;1),"⚠ divergência &gt; 1,0 — média suspensa, calibrar","OK"))))</f>
        <v/>
      </c>
      <c r="J31" s="30" t="n"/>
      <c r="K31" s="41" t="n"/>
      <c r="L31" s="35" t="n"/>
      <c r="M31" s="41">
        <f>IF($E31="","",COUNTIF($E$5:$E$64,"&gt;"&amp;$E31)+1)</f>
        <v/>
      </c>
      <c r="N31" s="41">
        <f>IF($B31="","",IF(Entrevista!$H31="","",Entrevista!$H31))</f>
        <v/>
      </c>
      <c r="O31" s="30">
        <f>IF($B31="","",IF(Entrevista!$L31="","",Entrevista!$L31))</f>
        <v/>
      </c>
    </row>
    <row r="32" ht="14.25" customHeight="1" s="60">
      <c r="A32" s="30">
        <f>IF($B32="","",ROW()-4)</f>
        <v/>
      </c>
      <c r="C32" s="41" t="n"/>
      <c r="D32" s="41">
        <f>IF($B32="","",COUNTIFS('Avaliação'!$C$7:$C$206,$B32,'Avaliação'!$E$7:$E$206,"&gt;=0"))</f>
        <v/>
      </c>
      <c r="E32" s="33">
        <f>IF($B32="","",IFERROR(ROUND(AVERAGEIF('Avaliação'!$C$7:$C$206,$B32,'Avaliação'!$E$7:$E$206),2),""))</f>
        <v/>
      </c>
      <c r="F32" s="41">
        <f t="array" ref="F32">IF($B32="","",IFERROR(INDEX('Avaliação'!$E$7:$E$206,MATCH($B32,'Avaliação'!$C$7:$C$206,0)),""))</f>
        <v/>
      </c>
      <c r="G32" s="41">
        <f>IF($B32="","",IF($D32&lt;&gt;2,"",IF($F32="","",ROUND(SUMIF('Avaliação'!$C$7:$C$206,$B32,'Avaliação'!$E$7:$E$206)-$F32,2))))</f>
        <v/>
      </c>
      <c r="H32" s="41">
        <f>IF($B32="","",IF(OR($F32="",$G32=""),"",ROUND(ABS($F32-$G32),2)))</f>
        <v/>
      </c>
      <c r="I32" s="30">
        <f>IF($B32="","",IF($D32&lt;2,"⚠ falta 2º avaliador",IF($D32&gt;2,"⚠ mais de 2 avaliações — conferir",IF(AND(ISNUMBER($H32),$H32&gt;1),"⚠ divergência &gt; 1,0 — média suspensa, calibrar","OK"))))</f>
        <v/>
      </c>
      <c r="J32" s="30" t="n"/>
      <c r="K32" s="41" t="n"/>
      <c r="L32" s="35" t="n"/>
      <c r="M32" s="41">
        <f>IF($E32="","",COUNTIF($E$5:$E$64,"&gt;"&amp;$E32)+1)</f>
        <v/>
      </c>
      <c r="N32" s="41">
        <f>IF($B32="","",IF(Entrevista!$H32="","",Entrevista!$H32))</f>
        <v/>
      </c>
      <c r="O32" s="30">
        <f>IF($B32="","",IF(Entrevista!$L32="","",Entrevista!$L32))</f>
        <v/>
      </c>
    </row>
    <row r="33" ht="14.25" customHeight="1" s="60">
      <c r="A33" s="30">
        <f>IF($B33="","",ROW()-4)</f>
        <v/>
      </c>
      <c r="C33" s="41" t="n"/>
      <c r="D33" s="41">
        <f>IF($B33="","",COUNTIFS('Avaliação'!$C$7:$C$206,$B33,'Avaliação'!$E$7:$E$206,"&gt;=0"))</f>
        <v/>
      </c>
      <c r="E33" s="33">
        <f>IF($B33="","",IFERROR(ROUND(AVERAGEIF('Avaliação'!$C$7:$C$206,$B33,'Avaliação'!$E$7:$E$206),2),""))</f>
        <v/>
      </c>
      <c r="F33" s="41">
        <f t="array" ref="F33">IF($B33="","",IFERROR(INDEX('Avaliação'!$E$7:$E$206,MATCH($B33,'Avaliação'!$C$7:$C$206,0)),""))</f>
        <v/>
      </c>
      <c r="G33" s="41">
        <f>IF($B33="","",IF($D33&lt;&gt;2,"",IF($F33="","",ROUND(SUMIF('Avaliação'!$C$7:$C$206,$B33,'Avaliação'!$E$7:$E$206)-$F33,2))))</f>
        <v/>
      </c>
      <c r="H33" s="41">
        <f>IF($B33="","",IF(OR($F33="",$G33=""),"",ROUND(ABS($F33-$G33),2)))</f>
        <v/>
      </c>
      <c r="I33" s="30">
        <f>IF($B33="","",IF($D33&lt;2,"⚠ falta 2º avaliador",IF($D33&gt;2,"⚠ mais de 2 avaliações — conferir",IF(AND(ISNUMBER($H33),$H33&gt;1),"⚠ divergência &gt; 1,0 — média suspensa, calibrar","OK"))))</f>
        <v/>
      </c>
      <c r="J33" s="30" t="n"/>
      <c r="K33" s="41" t="n"/>
      <c r="L33" s="35" t="n"/>
      <c r="M33" s="41">
        <f>IF($E33="","",COUNTIF($E$5:$E$64,"&gt;"&amp;$E33)+1)</f>
        <v/>
      </c>
      <c r="N33" s="41">
        <f>IF($B33="","",IF(Entrevista!$H33="","",Entrevista!$H33))</f>
        <v/>
      </c>
      <c r="O33" s="30">
        <f>IF($B33="","",IF(Entrevista!$L33="","",Entrevista!$L33))</f>
        <v/>
      </c>
    </row>
    <row r="34" ht="14.25" customHeight="1" s="60">
      <c r="A34" s="30">
        <f>IF($B34="","",ROW()-4)</f>
        <v/>
      </c>
      <c r="C34" s="41" t="n"/>
      <c r="D34" s="41">
        <f>IF($B34="","",COUNTIFS('Avaliação'!$C$7:$C$206,$B34,'Avaliação'!$E$7:$E$206,"&gt;=0"))</f>
        <v/>
      </c>
      <c r="E34" s="33">
        <f>IF($B34="","",IFERROR(ROUND(AVERAGEIF('Avaliação'!$C$7:$C$206,$B34,'Avaliação'!$E$7:$E$206),2),""))</f>
        <v/>
      </c>
      <c r="F34" s="41">
        <f t="array" ref="F34">IF($B34="","",IFERROR(INDEX('Avaliação'!$E$7:$E$206,MATCH($B34,'Avaliação'!$C$7:$C$206,0)),""))</f>
        <v/>
      </c>
      <c r="G34" s="41">
        <f>IF($B34="","",IF($D34&lt;&gt;2,"",IF($F34="","",ROUND(SUMIF('Avaliação'!$C$7:$C$206,$B34,'Avaliação'!$E$7:$E$206)-$F34,2))))</f>
        <v/>
      </c>
      <c r="H34" s="41">
        <f>IF($B34="","",IF(OR($F34="",$G34=""),"",ROUND(ABS($F34-$G34),2)))</f>
        <v/>
      </c>
      <c r="I34" s="30">
        <f>IF($B34="","",IF($D34&lt;2,"⚠ falta 2º avaliador",IF($D34&gt;2,"⚠ mais de 2 avaliações — conferir",IF(AND(ISNUMBER($H34),$H34&gt;1),"⚠ divergência &gt; 1,0 — média suspensa, calibrar","OK"))))</f>
        <v/>
      </c>
      <c r="J34" s="30" t="n"/>
      <c r="K34" s="41" t="n"/>
      <c r="L34" s="35" t="n"/>
      <c r="M34" s="41">
        <f>IF($E34="","",COUNTIF($E$5:$E$64,"&gt;"&amp;$E34)+1)</f>
        <v/>
      </c>
      <c r="N34" s="41">
        <f>IF($B34="","",IF(Entrevista!$H34="","",Entrevista!$H34))</f>
        <v/>
      </c>
      <c r="O34" s="30">
        <f>IF($B34="","",IF(Entrevista!$L34="","",Entrevista!$L34))</f>
        <v/>
      </c>
    </row>
    <row r="35" ht="14.25" customHeight="1" s="60">
      <c r="A35" s="30">
        <f>IF($B35="","",ROW()-4)</f>
        <v/>
      </c>
      <c r="C35" s="41" t="n"/>
      <c r="D35" s="41">
        <f>IF($B35="","",COUNTIFS('Avaliação'!$C$7:$C$206,$B35,'Avaliação'!$E$7:$E$206,"&gt;=0"))</f>
        <v/>
      </c>
      <c r="E35" s="33">
        <f>IF($B35="","",IFERROR(ROUND(AVERAGEIF('Avaliação'!$C$7:$C$206,$B35,'Avaliação'!$E$7:$E$206),2),""))</f>
        <v/>
      </c>
      <c r="F35" s="41">
        <f t="array" ref="F35">IF($B35="","",IFERROR(INDEX('Avaliação'!$E$7:$E$206,MATCH($B35,'Avaliação'!$C$7:$C$206,0)),""))</f>
        <v/>
      </c>
      <c r="G35" s="41">
        <f>IF($B35="","",IF($D35&lt;&gt;2,"",IF($F35="","",ROUND(SUMIF('Avaliação'!$C$7:$C$206,$B35,'Avaliação'!$E$7:$E$206)-$F35,2))))</f>
        <v/>
      </c>
      <c r="H35" s="41">
        <f>IF($B35="","",IF(OR($F35="",$G35=""),"",ROUND(ABS($F35-$G35),2)))</f>
        <v/>
      </c>
      <c r="I35" s="30">
        <f>IF($B35="","",IF($D35&lt;2,"⚠ falta 2º avaliador",IF($D35&gt;2,"⚠ mais de 2 avaliações — conferir",IF(AND(ISNUMBER($H35),$H35&gt;1),"⚠ divergência &gt; 1,0 — média suspensa, calibrar","OK"))))</f>
        <v/>
      </c>
      <c r="J35" s="30" t="n"/>
      <c r="K35" s="41" t="n"/>
      <c r="L35" s="35" t="n"/>
      <c r="M35" s="41">
        <f>IF($E35="","",COUNTIF($E$5:$E$64,"&gt;"&amp;$E35)+1)</f>
        <v/>
      </c>
      <c r="N35" s="41">
        <f>IF($B35="","",IF(Entrevista!$H35="","",Entrevista!$H35))</f>
        <v/>
      </c>
      <c r="O35" s="30">
        <f>IF($B35="","",IF(Entrevista!$L35="","",Entrevista!$L35))</f>
        <v/>
      </c>
    </row>
    <row r="36" ht="14.25" customHeight="1" s="60">
      <c r="A36" s="30">
        <f>IF($B36="","",ROW()-4)</f>
        <v/>
      </c>
      <c r="C36" s="41" t="n"/>
      <c r="D36" s="41">
        <f>IF($B36="","",COUNTIFS('Avaliação'!$C$7:$C$206,$B36,'Avaliação'!$E$7:$E$206,"&gt;=0"))</f>
        <v/>
      </c>
      <c r="E36" s="33">
        <f>IF($B36="","",IFERROR(ROUND(AVERAGEIF('Avaliação'!$C$7:$C$206,$B36,'Avaliação'!$E$7:$E$206),2),""))</f>
        <v/>
      </c>
      <c r="F36" s="41">
        <f t="array" ref="F36">IF($B36="","",IFERROR(INDEX('Avaliação'!$E$7:$E$206,MATCH($B36,'Avaliação'!$C$7:$C$206,0)),""))</f>
        <v/>
      </c>
      <c r="G36" s="41">
        <f>IF($B36="","",IF($D36&lt;&gt;2,"",IF($F36="","",ROUND(SUMIF('Avaliação'!$C$7:$C$206,$B36,'Avaliação'!$E$7:$E$206)-$F36,2))))</f>
        <v/>
      </c>
      <c r="H36" s="41">
        <f>IF($B36="","",IF(OR($F36="",$G36=""),"",ROUND(ABS($F36-$G36),2)))</f>
        <v/>
      </c>
      <c r="I36" s="30">
        <f>IF($B36="","",IF($D36&lt;2,"⚠ falta 2º avaliador",IF($D36&gt;2,"⚠ mais de 2 avaliações — conferir",IF(AND(ISNUMBER($H36),$H36&gt;1),"⚠ divergência &gt; 1,0 — média suspensa, calibrar","OK"))))</f>
        <v/>
      </c>
      <c r="J36" s="30" t="n"/>
      <c r="K36" s="41" t="n"/>
      <c r="L36" s="35" t="n"/>
      <c r="M36" s="41">
        <f>IF($E36="","",COUNTIF($E$5:$E$64,"&gt;"&amp;$E36)+1)</f>
        <v/>
      </c>
      <c r="N36" s="41">
        <f>IF($B36="","",IF(Entrevista!$H36="","",Entrevista!$H36))</f>
        <v/>
      </c>
      <c r="O36" s="30">
        <f>IF($B36="","",IF(Entrevista!$L36="","",Entrevista!$L36))</f>
        <v/>
      </c>
    </row>
    <row r="37" ht="14.25" customHeight="1" s="60">
      <c r="A37" s="30">
        <f>IF($B37="","",ROW()-4)</f>
        <v/>
      </c>
      <c r="C37" s="41" t="n"/>
      <c r="D37" s="41">
        <f>IF($B37="","",COUNTIFS('Avaliação'!$C$7:$C$206,$B37,'Avaliação'!$E$7:$E$206,"&gt;=0"))</f>
        <v/>
      </c>
      <c r="E37" s="33">
        <f>IF($B37="","",IFERROR(ROUND(AVERAGEIF('Avaliação'!$C$7:$C$206,$B37,'Avaliação'!$E$7:$E$206),2),""))</f>
        <v/>
      </c>
      <c r="F37" s="41">
        <f t="array" ref="F37">IF($B37="","",IFERROR(INDEX('Avaliação'!$E$7:$E$206,MATCH($B37,'Avaliação'!$C$7:$C$206,0)),""))</f>
        <v/>
      </c>
      <c r="G37" s="41">
        <f>IF($B37="","",IF($D37&lt;&gt;2,"",IF($F37="","",ROUND(SUMIF('Avaliação'!$C$7:$C$206,$B37,'Avaliação'!$E$7:$E$206)-$F37,2))))</f>
        <v/>
      </c>
      <c r="H37" s="41">
        <f>IF($B37="","",IF(OR($F37="",$G37=""),"",ROUND(ABS($F37-$G37),2)))</f>
        <v/>
      </c>
      <c r="I37" s="30">
        <f>IF($B37="","",IF($D37&lt;2,"⚠ falta 2º avaliador",IF($D37&gt;2,"⚠ mais de 2 avaliações — conferir",IF(AND(ISNUMBER($H37),$H37&gt;1),"⚠ divergência &gt; 1,0 — média suspensa, calibrar","OK"))))</f>
        <v/>
      </c>
      <c r="J37" s="30" t="n"/>
      <c r="K37" s="41" t="n"/>
      <c r="L37" s="35" t="n"/>
      <c r="M37" s="41">
        <f>IF($E37="","",COUNTIF($E$5:$E$64,"&gt;"&amp;$E37)+1)</f>
        <v/>
      </c>
      <c r="N37" s="41">
        <f>IF($B37="","",IF(Entrevista!$H37="","",Entrevista!$H37))</f>
        <v/>
      </c>
      <c r="O37" s="30">
        <f>IF($B37="","",IF(Entrevista!$L37="","",Entrevista!$L37))</f>
        <v/>
      </c>
    </row>
    <row r="38" ht="14.25" customHeight="1" s="60">
      <c r="A38" s="30">
        <f>IF($B38="","",ROW()-4)</f>
        <v/>
      </c>
      <c r="C38" s="41" t="n"/>
      <c r="D38" s="41">
        <f>IF($B38="","",COUNTIFS('Avaliação'!$C$7:$C$206,$B38,'Avaliação'!$E$7:$E$206,"&gt;=0"))</f>
        <v/>
      </c>
      <c r="E38" s="33">
        <f>IF($B38="","",IFERROR(ROUND(AVERAGEIF('Avaliação'!$C$7:$C$206,$B38,'Avaliação'!$E$7:$E$206),2),""))</f>
        <v/>
      </c>
      <c r="F38" s="41">
        <f t="array" ref="F38">IF($B38="","",IFERROR(INDEX('Avaliação'!$E$7:$E$206,MATCH($B38,'Avaliação'!$C$7:$C$206,0)),""))</f>
        <v/>
      </c>
      <c r="G38" s="41">
        <f>IF($B38="","",IF($D38&lt;&gt;2,"",IF($F38="","",ROUND(SUMIF('Avaliação'!$C$7:$C$206,$B38,'Avaliação'!$E$7:$E$206)-$F38,2))))</f>
        <v/>
      </c>
      <c r="H38" s="41">
        <f>IF($B38="","",IF(OR($F38="",$G38=""),"",ROUND(ABS($F38-$G38),2)))</f>
        <v/>
      </c>
      <c r="I38" s="30">
        <f>IF($B38="","",IF($D38&lt;2,"⚠ falta 2º avaliador",IF($D38&gt;2,"⚠ mais de 2 avaliações — conferir",IF(AND(ISNUMBER($H38),$H38&gt;1),"⚠ divergência &gt; 1,0 — média suspensa, calibrar","OK"))))</f>
        <v/>
      </c>
      <c r="J38" s="30" t="n"/>
      <c r="K38" s="41" t="n"/>
      <c r="L38" s="35" t="n"/>
      <c r="M38" s="41">
        <f>IF($E38="","",COUNTIF($E$5:$E$64,"&gt;"&amp;$E38)+1)</f>
        <v/>
      </c>
      <c r="N38" s="41">
        <f>IF($B38="","",IF(Entrevista!$H38="","",Entrevista!$H38))</f>
        <v/>
      </c>
      <c r="O38" s="30">
        <f>IF($B38="","",IF(Entrevista!$L38="","",Entrevista!$L38))</f>
        <v/>
      </c>
    </row>
    <row r="39" ht="14.25" customHeight="1" s="60">
      <c r="A39" s="30">
        <f>IF($B39="","",ROW()-4)</f>
        <v/>
      </c>
      <c r="C39" s="41" t="n"/>
      <c r="D39" s="41">
        <f>IF($B39="","",COUNTIFS('Avaliação'!$C$7:$C$206,$B39,'Avaliação'!$E$7:$E$206,"&gt;=0"))</f>
        <v/>
      </c>
      <c r="E39" s="33">
        <f>IF($B39="","",IFERROR(ROUND(AVERAGEIF('Avaliação'!$C$7:$C$206,$B39,'Avaliação'!$E$7:$E$206),2),""))</f>
        <v/>
      </c>
      <c r="F39" s="41">
        <f t="array" ref="F39">IF($B39="","",IFERROR(INDEX('Avaliação'!$E$7:$E$206,MATCH($B39,'Avaliação'!$C$7:$C$206,0)),""))</f>
        <v/>
      </c>
      <c r="G39" s="41">
        <f>IF($B39="","",IF($D39&lt;&gt;2,"",IF($F39="","",ROUND(SUMIF('Avaliação'!$C$7:$C$206,$B39,'Avaliação'!$E$7:$E$206)-$F39,2))))</f>
        <v/>
      </c>
      <c r="H39" s="41">
        <f>IF($B39="","",IF(OR($F39="",$G39=""),"",ROUND(ABS($F39-$G39),2)))</f>
        <v/>
      </c>
      <c r="I39" s="30">
        <f>IF($B39="","",IF($D39&lt;2,"⚠ falta 2º avaliador",IF($D39&gt;2,"⚠ mais de 2 avaliações — conferir",IF(AND(ISNUMBER($H39),$H39&gt;1),"⚠ divergência &gt; 1,0 — média suspensa, calibrar","OK"))))</f>
        <v/>
      </c>
      <c r="J39" s="30" t="n"/>
      <c r="K39" s="41" t="n"/>
      <c r="L39" s="35" t="n"/>
      <c r="M39" s="41">
        <f>IF($E39="","",COUNTIF($E$5:$E$64,"&gt;"&amp;$E39)+1)</f>
        <v/>
      </c>
      <c r="N39" s="41">
        <f>IF($B39="","",IF(Entrevista!$H39="","",Entrevista!$H39))</f>
        <v/>
      </c>
      <c r="O39" s="30">
        <f>IF($B39="","",IF(Entrevista!$L39="","",Entrevista!$L39))</f>
        <v/>
      </c>
    </row>
    <row r="40" ht="14.25" customHeight="1" s="60">
      <c r="A40" s="30">
        <f>IF($B40="","",ROW()-4)</f>
        <v/>
      </c>
      <c r="C40" s="41" t="n"/>
      <c r="D40" s="41">
        <f>IF($B40="","",COUNTIFS('Avaliação'!$C$7:$C$206,$B40,'Avaliação'!$E$7:$E$206,"&gt;=0"))</f>
        <v/>
      </c>
      <c r="E40" s="33">
        <f>IF($B40="","",IFERROR(ROUND(AVERAGEIF('Avaliação'!$C$7:$C$206,$B40,'Avaliação'!$E$7:$E$206),2),""))</f>
        <v/>
      </c>
      <c r="F40" s="41">
        <f t="array" ref="F40">IF($B40="","",IFERROR(INDEX('Avaliação'!$E$7:$E$206,MATCH($B40,'Avaliação'!$C$7:$C$206,0)),""))</f>
        <v/>
      </c>
      <c r="G40" s="41">
        <f>IF($B40="","",IF($D40&lt;&gt;2,"",IF($F40="","",ROUND(SUMIF('Avaliação'!$C$7:$C$206,$B40,'Avaliação'!$E$7:$E$206)-$F40,2))))</f>
        <v/>
      </c>
      <c r="H40" s="41">
        <f>IF($B40="","",IF(OR($F40="",$G40=""),"",ROUND(ABS($F40-$G40),2)))</f>
        <v/>
      </c>
      <c r="I40" s="30">
        <f>IF($B40="","",IF($D40&lt;2,"⚠ falta 2º avaliador",IF($D40&gt;2,"⚠ mais de 2 avaliações — conferir",IF(AND(ISNUMBER($H40),$H40&gt;1),"⚠ divergência &gt; 1,0 — média suspensa, calibrar","OK"))))</f>
        <v/>
      </c>
      <c r="J40" s="30" t="n"/>
      <c r="K40" s="41" t="n"/>
      <c r="L40" s="35" t="n"/>
      <c r="M40" s="41">
        <f>IF($E40="","",COUNTIF($E$5:$E$64,"&gt;"&amp;$E40)+1)</f>
        <v/>
      </c>
      <c r="N40" s="41">
        <f>IF($B40="","",IF(Entrevista!$H40="","",Entrevista!$H40))</f>
        <v/>
      </c>
      <c r="O40" s="30">
        <f>IF($B40="","",IF(Entrevista!$L40="","",Entrevista!$L40))</f>
        <v/>
      </c>
    </row>
    <row r="41" ht="14.25" customHeight="1" s="60">
      <c r="A41" s="30">
        <f>IF($B41="","",ROW()-4)</f>
        <v/>
      </c>
      <c r="C41" s="41" t="n"/>
      <c r="D41" s="41">
        <f>IF($B41="","",COUNTIFS('Avaliação'!$C$7:$C$206,$B41,'Avaliação'!$E$7:$E$206,"&gt;=0"))</f>
        <v/>
      </c>
      <c r="E41" s="33">
        <f>IF($B41="","",IFERROR(ROUND(AVERAGEIF('Avaliação'!$C$7:$C$206,$B41,'Avaliação'!$E$7:$E$206),2),""))</f>
        <v/>
      </c>
      <c r="F41" s="41">
        <f t="array" ref="F41">IF($B41="","",IFERROR(INDEX('Avaliação'!$E$7:$E$206,MATCH($B41,'Avaliação'!$C$7:$C$206,0)),""))</f>
        <v/>
      </c>
      <c r="G41" s="41">
        <f>IF($B41="","",IF($D41&lt;&gt;2,"",IF($F41="","",ROUND(SUMIF('Avaliação'!$C$7:$C$206,$B41,'Avaliação'!$E$7:$E$206)-$F41,2))))</f>
        <v/>
      </c>
      <c r="H41" s="41">
        <f>IF($B41="","",IF(OR($F41="",$G41=""),"",ROUND(ABS($F41-$G41),2)))</f>
        <v/>
      </c>
      <c r="I41" s="30">
        <f>IF($B41="","",IF($D41&lt;2,"⚠ falta 2º avaliador",IF($D41&gt;2,"⚠ mais de 2 avaliações — conferir",IF(AND(ISNUMBER($H41),$H41&gt;1),"⚠ divergência &gt; 1,0 — média suspensa, calibrar","OK"))))</f>
        <v/>
      </c>
      <c r="J41" s="30" t="n"/>
      <c r="K41" s="41" t="n"/>
      <c r="L41" s="35" t="n"/>
      <c r="M41" s="41">
        <f>IF($E41="","",COUNTIF($E$5:$E$64,"&gt;"&amp;$E41)+1)</f>
        <v/>
      </c>
      <c r="N41" s="41">
        <f>IF($B41="","",IF(Entrevista!$H41="","",Entrevista!$H41))</f>
        <v/>
      </c>
      <c r="O41" s="30">
        <f>IF($B41="","",IF(Entrevista!$L41="","",Entrevista!$L41))</f>
        <v/>
      </c>
    </row>
    <row r="42" ht="14.25" customHeight="1" s="60">
      <c r="A42" s="30">
        <f>IF($B42="","",ROW()-4)</f>
        <v/>
      </c>
      <c r="C42" s="41" t="n"/>
      <c r="D42" s="41">
        <f>IF($B42="","",COUNTIFS('Avaliação'!$C$7:$C$206,$B42,'Avaliação'!$E$7:$E$206,"&gt;=0"))</f>
        <v/>
      </c>
      <c r="E42" s="33">
        <f>IF($B42="","",IFERROR(ROUND(AVERAGEIF('Avaliação'!$C$7:$C$206,$B42,'Avaliação'!$E$7:$E$206),2),""))</f>
        <v/>
      </c>
      <c r="F42" s="41">
        <f t="array" ref="F42">IF($B42="","",IFERROR(INDEX('Avaliação'!$E$7:$E$206,MATCH($B42,'Avaliação'!$C$7:$C$206,0)),""))</f>
        <v/>
      </c>
      <c r="G42" s="41">
        <f>IF($B42="","",IF($D42&lt;&gt;2,"",IF($F42="","",ROUND(SUMIF('Avaliação'!$C$7:$C$206,$B42,'Avaliação'!$E$7:$E$206)-$F42,2))))</f>
        <v/>
      </c>
      <c r="H42" s="41">
        <f>IF($B42="","",IF(OR($F42="",$G42=""),"",ROUND(ABS($F42-$G42),2)))</f>
        <v/>
      </c>
      <c r="I42" s="30">
        <f>IF($B42="","",IF($D42&lt;2,"⚠ falta 2º avaliador",IF($D42&gt;2,"⚠ mais de 2 avaliações — conferir",IF(AND(ISNUMBER($H42),$H42&gt;1),"⚠ divergência &gt; 1,0 — média suspensa, calibrar","OK"))))</f>
        <v/>
      </c>
      <c r="J42" s="30" t="n"/>
      <c r="K42" s="41" t="n"/>
      <c r="L42" s="35" t="n"/>
      <c r="M42" s="41">
        <f>IF($E42="","",COUNTIF($E$5:$E$64,"&gt;"&amp;$E42)+1)</f>
        <v/>
      </c>
      <c r="N42" s="41">
        <f>IF($B42="","",IF(Entrevista!$H42="","",Entrevista!$H42))</f>
        <v/>
      </c>
      <c r="O42" s="30">
        <f>IF($B42="","",IF(Entrevista!$L42="","",Entrevista!$L42))</f>
        <v/>
      </c>
    </row>
    <row r="43" ht="14.25" customHeight="1" s="60">
      <c r="A43" s="30">
        <f>IF($B43="","",ROW()-4)</f>
        <v/>
      </c>
      <c r="C43" s="41" t="n"/>
      <c r="D43" s="41">
        <f>IF($B43="","",COUNTIFS('Avaliação'!$C$7:$C$206,$B43,'Avaliação'!$E$7:$E$206,"&gt;=0"))</f>
        <v/>
      </c>
      <c r="E43" s="33">
        <f>IF($B43="","",IFERROR(ROUND(AVERAGEIF('Avaliação'!$C$7:$C$206,$B43,'Avaliação'!$E$7:$E$206),2),""))</f>
        <v/>
      </c>
      <c r="F43" s="41">
        <f t="array" ref="F43">IF($B43="","",IFERROR(INDEX('Avaliação'!$E$7:$E$206,MATCH($B43,'Avaliação'!$C$7:$C$206,0)),""))</f>
        <v/>
      </c>
      <c r="G43" s="41">
        <f>IF($B43="","",IF($D43&lt;&gt;2,"",IF($F43="","",ROUND(SUMIF('Avaliação'!$C$7:$C$206,$B43,'Avaliação'!$E$7:$E$206)-$F43,2))))</f>
        <v/>
      </c>
      <c r="H43" s="41">
        <f>IF($B43="","",IF(OR($F43="",$G43=""),"",ROUND(ABS($F43-$G43),2)))</f>
        <v/>
      </c>
      <c r="I43" s="30">
        <f>IF($B43="","",IF($D43&lt;2,"⚠ falta 2º avaliador",IF($D43&gt;2,"⚠ mais de 2 avaliações — conferir",IF(AND(ISNUMBER($H43),$H43&gt;1),"⚠ divergência &gt; 1,0 — média suspensa, calibrar","OK"))))</f>
        <v/>
      </c>
      <c r="J43" s="30" t="n"/>
      <c r="K43" s="41" t="n"/>
      <c r="L43" s="35" t="n"/>
      <c r="M43" s="41">
        <f>IF($E43="","",COUNTIF($E$5:$E$64,"&gt;"&amp;$E43)+1)</f>
        <v/>
      </c>
      <c r="N43" s="41">
        <f>IF($B43="","",IF(Entrevista!$H43="","",Entrevista!$H43))</f>
        <v/>
      </c>
      <c r="O43" s="30">
        <f>IF($B43="","",IF(Entrevista!$L43="","",Entrevista!$L43))</f>
        <v/>
      </c>
    </row>
    <row r="44" ht="14.25" customHeight="1" s="60">
      <c r="A44" s="30">
        <f>IF($B44="","",ROW()-4)</f>
        <v/>
      </c>
      <c r="C44" s="41" t="n"/>
      <c r="D44" s="41">
        <f>IF($B44="","",COUNTIFS('Avaliação'!$C$7:$C$206,$B44,'Avaliação'!$E$7:$E$206,"&gt;=0"))</f>
        <v/>
      </c>
      <c r="E44" s="33">
        <f>IF($B44="","",IFERROR(ROUND(AVERAGEIF('Avaliação'!$C$7:$C$206,$B44,'Avaliação'!$E$7:$E$206),2),""))</f>
        <v/>
      </c>
      <c r="F44" s="41">
        <f t="array" ref="F44">IF($B44="","",IFERROR(INDEX('Avaliação'!$E$7:$E$206,MATCH($B44,'Avaliação'!$C$7:$C$206,0)),""))</f>
        <v/>
      </c>
      <c r="G44" s="41">
        <f>IF($B44="","",IF($D44&lt;&gt;2,"",IF($F44="","",ROUND(SUMIF('Avaliação'!$C$7:$C$206,$B44,'Avaliação'!$E$7:$E$206)-$F44,2))))</f>
        <v/>
      </c>
      <c r="H44" s="41">
        <f>IF($B44="","",IF(OR($F44="",$G44=""),"",ROUND(ABS($F44-$G44),2)))</f>
        <v/>
      </c>
      <c r="I44" s="30">
        <f>IF($B44="","",IF($D44&lt;2,"⚠ falta 2º avaliador",IF($D44&gt;2,"⚠ mais de 2 avaliações — conferir",IF(AND(ISNUMBER($H44),$H44&gt;1),"⚠ divergência &gt; 1,0 — média suspensa, calibrar","OK"))))</f>
        <v/>
      </c>
      <c r="J44" s="30" t="n"/>
      <c r="K44" s="41" t="n"/>
      <c r="L44" s="35" t="n"/>
      <c r="M44" s="41">
        <f>IF($E44="","",COUNTIF($E$5:$E$64,"&gt;"&amp;$E44)+1)</f>
        <v/>
      </c>
      <c r="N44" s="41">
        <f>IF($B44="","",IF(Entrevista!$H44="","",Entrevista!$H44))</f>
        <v/>
      </c>
      <c r="O44" s="30">
        <f>IF($B44="","",IF(Entrevista!$L44="","",Entrevista!$L44))</f>
        <v/>
      </c>
    </row>
    <row r="45" ht="14.25" customHeight="1" s="60">
      <c r="A45" s="30">
        <f>IF($B45="","",ROW()-4)</f>
        <v/>
      </c>
      <c r="C45" s="41" t="n"/>
      <c r="D45" s="41">
        <f>IF($B45="","",COUNTIFS('Avaliação'!$C$7:$C$206,$B45,'Avaliação'!$E$7:$E$206,"&gt;=0"))</f>
        <v/>
      </c>
      <c r="E45" s="33">
        <f>IF($B45="","",IFERROR(ROUND(AVERAGEIF('Avaliação'!$C$7:$C$206,$B45,'Avaliação'!$E$7:$E$206),2),""))</f>
        <v/>
      </c>
      <c r="F45" s="41">
        <f t="array" ref="F45">IF($B45="","",IFERROR(INDEX('Avaliação'!$E$7:$E$206,MATCH($B45,'Avaliação'!$C$7:$C$206,0)),""))</f>
        <v/>
      </c>
      <c r="G45" s="41">
        <f>IF($B45="","",IF($D45&lt;&gt;2,"",IF($F45="","",ROUND(SUMIF('Avaliação'!$C$7:$C$206,$B45,'Avaliação'!$E$7:$E$206)-$F45,2))))</f>
        <v/>
      </c>
      <c r="H45" s="41">
        <f>IF($B45="","",IF(OR($F45="",$G45=""),"",ROUND(ABS($F45-$G45),2)))</f>
        <v/>
      </c>
      <c r="I45" s="30">
        <f>IF($B45="","",IF($D45&lt;2,"⚠ falta 2º avaliador",IF($D45&gt;2,"⚠ mais de 2 avaliações — conferir",IF(AND(ISNUMBER($H45),$H45&gt;1),"⚠ divergência &gt; 1,0 — média suspensa, calibrar","OK"))))</f>
        <v/>
      </c>
      <c r="J45" s="30" t="n"/>
      <c r="K45" s="41" t="n"/>
      <c r="L45" s="35" t="n"/>
      <c r="M45" s="41">
        <f>IF($E45="","",COUNTIF($E$5:$E$64,"&gt;"&amp;$E45)+1)</f>
        <v/>
      </c>
      <c r="N45" s="41">
        <f>IF($B45="","",IF(Entrevista!$H45="","",Entrevista!$H45))</f>
        <v/>
      </c>
      <c r="O45" s="30">
        <f>IF($B45="","",IF(Entrevista!$L45="","",Entrevista!$L45))</f>
        <v/>
      </c>
    </row>
    <row r="46" ht="14.25" customHeight="1" s="60">
      <c r="A46" s="30">
        <f>IF($B46="","",ROW()-4)</f>
        <v/>
      </c>
      <c r="C46" s="41" t="n"/>
      <c r="D46" s="41">
        <f>IF($B46="","",COUNTIFS('Avaliação'!$C$7:$C$206,$B46,'Avaliação'!$E$7:$E$206,"&gt;=0"))</f>
        <v/>
      </c>
      <c r="E46" s="33">
        <f>IF($B46="","",IFERROR(ROUND(AVERAGEIF('Avaliação'!$C$7:$C$206,$B46,'Avaliação'!$E$7:$E$206),2),""))</f>
        <v/>
      </c>
      <c r="F46" s="41">
        <f t="array" ref="F46">IF($B46="","",IFERROR(INDEX('Avaliação'!$E$7:$E$206,MATCH($B46,'Avaliação'!$C$7:$C$206,0)),""))</f>
        <v/>
      </c>
      <c r="G46" s="41">
        <f>IF($B46="","",IF($D46&lt;&gt;2,"",IF($F46="","",ROUND(SUMIF('Avaliação'!$C$7:$C$206,$B46,'Avaliação'!$E$7:$E$206)-$F46,2))))</f>
        <v/>
      </c>
      <c r="H46" s="41">
        <f>IF($B46="","",IF(OR($F46="",$G46=""),"",ROUND(ABS($F46-$G46),2)))</f>
        <v/>
      </c>
      <c r="I46" s="30">
        <f>IF($B46="","",IF($D46&lt;2,"⚠ falta 2º avaliador",IF($D46&gt;2,"⚠ mais de 2 avaliações — conferir",IF(AND(ISNUMBER($H46),$H46&gt;1),"⚠ divergência &gt; 1,0 — média suspensa, calibrar","OK"))))</f>
        <v/>
      </c>
      <c r="J46" s="30" t="n"/>
      <c r="K46" s="41" t="n"/>
      <c r="L46" s="35" t="n"/>
      <c r="M46" s="41">
        <f>IF($E46="","",COUNTIF($E$5:$E$64,"&gt;"&amp;$E46)+1)</f>
        <v/>
      </c>
      <c r="N46" s="41">
        <f>IF($B46="","",IF(Entrevista!$H46="","",Entrevista!$H46))</f>
        <v/>
      </c>
      <c r="O46" s="30">
        <f>IF($B46="","",IF(Entrevista!$L46="","",Entrevista!$L46))</f>
        <v/>
      </c>
    </row>
    <row r="47" ht="14.25" customHeight="1" s="60">
      <c r="A47" s="30">
        <f>IF($B47="","",ROW()-4)</f>
        <v/>
      </c>
      <c r="C47" s="41" t="n"/>
      <c r="D47" s="41">
        <f>IF($B47="","",COUNTIFS('Avaliação'!$C$7:$C$206,$B47,'Avaliação'!$E$7:$E$206,"&gt;=0"))</f>
        <v/>
      </c>
      <c r="E47" s="33">
        <f>IF($B47="","",IFERROR(ROUND(AVERAGEIF('Avaliação'!$C$7:$C$206,$B47,'Avaliação'!$E$7:$E$206),2),""))</f>
        <v/>
      </c>
      <c r="F47" s="41">
        <f t="array" ref="F47">IF($B47="","",IFERROR(INDEX('Avaliação'!$E$7:$E$206,MATCH($B47,'Avaliação'!$C$7:$C$206,0)),""))</f>
        <v/>
      </c>
      <c r="G47" s="41">
        <f>IF($B47="","",IF($D47&lt;&gt;2,"",IF($F47="","",ROUND(SUMIF('Avaliação'!$C$7:$C$206,$B47,'Avaliação'!$E$7:$E$206)-$F47,2))))</f>
        <v/>
      </c>
      <c r="H47" s="41">
        <f>IF($B47="","",IF(OR($F47="",$G47=""),"",ROUND(ABS($F47-$G47),2)))</f>
        <v/>
      </c>
      <c r="I47" s="30">
        <f>IF($B47="","",IF($D47&lt;2,"⚠ falta 2º avaliador",IF($D47&gt;2,"⚠ mais de 2 avaliações — conferir",IF(AND(ISNUMBER($H47),$H47&gt;1),"⚠ divergência &gt; 1,0 — média suspensa, calibrar","OK"))))</f>
        <v/>
      </c>
      <c r="J47" s="30" t="n"/>
      <c r="K47" s="41" t="n"/>
      <c r="L47" s="35" t="n"/>
      <c r="M47" s="41">
        <f>IF($E47="","",COUNTIF($E$5:$E$64,"&gt;"&amp;$E47)+1)</f>
        <v/>
      </c>
      <c r="N47" s="41">
        <f>IF($B47="","",IF(Entrevista!$H47="","",Entrevista!$H47))</f>
        <v/>
      </c>
      <c r="O47" s="30">
        <f>IF($B47="","",IF(Entrevista!$L47="","",Entrevista!$L47))</f>
        <v/>
      </c>
    </row>
    <row r="48" ht="14.25" customHeight="1" s="60">
      <c r="A48" s="30">
        <f>IF($B48="","",ROW()-4)</f>
        <v/>
      </c>
      <c r="C48" s="41" t="n"/>
      <c r="D48" s="41">
        <f>IF($B48="","",COUNTIFS('Avaliação'!$C$7:$C$206,$B48,'Avaliação'!$E$7:$E$206,"&gt;=0"))</f>
        <v/>
      </c>
      <c r="E48" s="33">
        <f>IF($B48="","",IFERROR(ROUND(AVERAGEIF('Avaliação'!$C$7:$C$206,$B48,'Avaliação'!$E$7:$E$206),2),""))</f>
        <v/>
      </c>
      <c r="F48" s="41">
        <f t="array" ref="F48">IF($B48="","",IFERROR(INDEX('Avaliação'!$E$7:$E$206,MATCH($B48,'Avaliação'!$C$7:$C$206,0)),""))</f>
        <v/>
      </c>
      <c r="G48" s="41">
        <f>IF($B48="","",IF($D48&lt;&gt;2,"",IF($F48="","",ROUND(SUMIF('Avaliação'!$C$7:$C$206,$B48,'Avaliação'!$E$7:$E$206)-$F48,2))))</f>
        <v/>
      </c>
      <c r="H48" s="41">
        <f>IF($B48="","",IF(OR($F48="",$G48=""),"",ROUND(ABS($F48-$G48),2)))</f>
        <v/>
      </c>
      <c r="I48" s="30">
        <f>IF($B48="","",IF($D48&lt;2,"⚠ falta 2º avaliador",IF($D48&gt;2,"⚠ mais de 2 avaliações — conferir",IF(AND(ISNUMBER($H48),$H48&gt;1),"⚠ divergência &gt; 1,0 — média suspensa, calibrar","OK"))))</f>
        <v/>
      </c>
      <c r="J48" s="30" t="n"/>
      <c r="K48" s="41" t="n"/>
      <c r="L48" s="35" t="n"/>
      <c r="M48" s="41">
        <f>IF($E48="","",COUNTIF($E$5:$E$64,"&gt;"&amp;$E48)+1)</f>
        <v/>
      </c>
      <c r="N48" s="41">
        <f>IF($B48="","",IF(Entrevista!$H48="","",Entrevista!$H48))</f>
        <v/>
      </c>
      <c r="O48" s="30">
        <f>IF($B48="","",IF(Entrevista!$L48="","",Entrevista!$L48))</f>
        <v/>
      </c>
    </row>
    <row r="49" ht="14.25" customHeight="1" s="60">
      <c r="A49" s="30">
        <f>IF($B49="","",ROW()-4)</f>
        <v/>
      </c>
      <c r="C49" s="41" t="n"/>
      <c r="D49" s="41">
        <f>IF($B49="","",COUNTIFS('Avaliação'!$C$7:$C$206,$B49,'Avaliação'!$E$7:$E$206,"&gt;=0"))</f>
        <v/>
      </c>
      <c r="E49" s="33">
        <f>IF($B49="","",IFERROR(ROUND(AVERAGEIF('Avaliação'!$C$7:$C$206,$B49,'Avaliação'!$E$7:$E$206),2),""))</f>
        <v/>
      </c>
      <c r="F49" s="41">
        <f t="array" ref="F49">IF($B49="","",IFERROR(INDEX('Avaliação'!$E$7:$E$206,MATCH($B49,'Avaliação'!$C$7:$C$206,0)),""))</f>
        <v/>
      </c>
      <c r="G49" s="41">
        <f>IF($B49="","",IF($D49&lt;&gt;2,"",IF($F49="","",ROUND(SUMIF('Avaliação'!$C$7:$C$206,$B49,'Avaliação'!$E$7:$E$206)-$F49,2))))</f>
        <v/>
      </c>
      <c r="H49" s="41">
        <f>IF($B49="","",IF(OR($F49="",$G49=""),"",ROUND(ABS($F49-$G49),2)))</f>
        <v/>
      </c>
      <c r="I49" s="30">
        <f>IF($B49="","",IF($D49&lt;2,"⚠ falta 2º avaliador",IF($D49&gt;2,"⚠ mais de 2 avaliações — conferir",IF(AND(ISNUMBER($H49),$H49&gt;1),"⚠ divergência &gt; 1,0 — média suspensa, calibrar","OK"))))</f>
        <v/>
      </c>
      <c r="J49" s="30" t="n"/>
      <c r="K49" s="41" t="n"/>
      <c r="L49" s="35" t="n"/>
      <c r="M49" s="41">
        <f>IF($E49="","",COUNTIF($E$5:$E$64,"&gt;"&amp;$E49)+1)</f>
        <v/>
      </c>
      <c r="N49" s="41">
        <f>IF($B49="","",IF(Entrevista!$H49="","",Entrevista!$H49))</f>
        <v/>
      </c>
      <c r="O49" s="30">
        <f>IF($B49="","",IF(Entrevista!$L49="","",Entrevista!$L49))</f>
        <v/>
      </c>
    </row>
    <row r="50" ht="14.25" customHeight="1" s="60">
      <c r="A50" s="30">
        <f>IF($B50="","",ROW()-4)</f>
        <v/>
      </c>
      <c r="C50" s="41" t="n"/>
      <c r="D50" s="41">
        <f>IF($B50="","",COUNTIFS('Avaliação'!$C$7:$C$206,$B50,'Avaliação'!$E$7:$E$206,"&gt;=0"))</f>
        <v/>
      </c>
      <c r="E50" s="33">
        <f>IF($B50="","",IFERROR(ROUND(AVERAGEIF('Avaliação'!$C$7:$C$206,$B50,'Avaliação'!$E$7:$E$206),2),""))</f>
        <v/>
      </c>
      <c r="F50" s="41">
        <f t="array" ref="F50">IF($B50="","",IFERROR(INDEX('Avaliação'!$E$7:$E$206,MATCH($B50,'Avaliação'!$C$7:$C$206,0)),""))</f>
        <v/>
      </c>
      <c r="G50" s="41">
        <f>IF($B50="","",IF($D50&lt;&gt;2,"",IF($F50="","",ROUND(SUMIF('Avaliação'!$C$7:$C$206,$B50,'Avaliação'!$E$7:$E$206)-$F50,2))))</f>
        <v/>
      </c>
      <c r="H50" s="41">
        <f>IF($B50="","",IF(OR($F50="",$G50=""),"",ROUND(ABS($F50-$G50),2)))</f>
        <v/>
      </c>
      <c r="I50" s="30">
        <f>IF($B50="","",IF($D50&lt;2,"⚠ falta 2º avaliador",IF($D50&gt;2,"⚠ mais de 2 avaliações — conferir",IF(AND(ISNUMBER($H50),$H50&gt;1),"⚠ divergência &gt; 1,0 — média suspensa, calibrar","OK"))))</f>
        <v/>
      </c>
      <c r="J50" s="30" t="n"/>
      <c r="K50" s="41" t="n"/>
      <c r="L50" s="35" t="n"/>
      <c r="M50" s="41">
        <f>IF($E50="","",COUNTIF($E$5:$E$64,"&gt;"&amp;$E50)+1)</f>
        <v/>
      </c>
      <c r="N50" s="41">
        <f>IF($B50="","",IF(Entrevista!$H50="","",Entrevista!$H50))</f>
        <v/>
      </c>
      <c r="O50" s="30">
        <f>IF($B50="","",IF(Entrevista!$L50="","",Entrevista!$L50))</f>
        <v/>
      </c>
    </row>
    <row r="51" ht="14.25" customHeight="1" s="60">
      <c r="A51" s="30">
        <f>IF($B51="","",ROW()-4)</f>
        <v/>
      </c>
      <c r="C51" s="41" t="n"/>
      <c r="D51" s="41">
        <f>IF($B51="","",COUNTIFS('Avaliação'!$C$7:$C$206,$B51,'Avaliação'!$E$7:$E$206,"&gt;=0"))</f>
        <v/>
      </c>
      <c r="E51" s="33">
        <f>IF($B51="","",IFERROR(ROUND(AVERAGEIF('Avaliação'!$C$7:$C$206,$B51,'Avaliação'!$E$7:$E$206),2),""))</f>
        <v/>
      </c>
      <c r="F51" s="41">
        <f t="array" ref="F51">IF($B51="","",IFERROR(INDEX('Avaliação'!$E$7:$E$206,MATCH($B51,'Avaliação'!$C$7:$C$206,0)),""))</f>
        <v/>
      </c>
      <c r="G51" s="41">
        <f>IF($B51="","",IF($D51&lt;&gt;2,"",IF($F51="","",ROUND(SUMIF('Avaliação'!$C$7:$C$206,$B51,'Avaliação'!$E$7:$E$206)-$F51,2))))</f>
        <v/>
      </c>
      <c r="H51" s="41">
        <f>IF($B51="","",IF(OR($F51="",$G51=""),"",ROUND(ABS($F51-$G51),2)))</f>
        <v/>
      </c>
      <c r="I51" s="30">
        <f>IF($B51="","",IF($D51&lt;2,"⚠ falta 2º avaliador",IF($D51&gt;2,"⚠ mais de 2 avaliações — conferir",IF(AND(ISNUMBER($H51),$H51&gt;1),"⚠ divergência &gt; 1,0 — média suspensa, calibrar","OK"))))</f>
        <v/>
      </c>
      <c r="J51" s="30" t="n"/>
      <c r="K51" s="41" t="n"/>
      <c r="L51" s="35" t="n"/>
      <c r="M51" s="41">
        <f>IF($E51="","",COUNTIF($E$5:$E$64,"&gt;"&amp;$E51)+1)</f>
        <v/>
      </c>
      <c r="N51" s="41">
        <f>IF($B51="","",IF(Entrevista!$H51="","",Entrevista!$H51))</f>
        <v/>
      </c>
      <c r="O51" s="30">
        <f>IF($B51="","",IF(Entrevista!$L51="","",Entrevista!$L51))</f>
        <v/>
      </c>
    </row>
    <row r="52" ht="14.25" customHeight="1" s="60">
      <c r="A52" s="30">
        <f>IF($B52="","",ROW()-4)</f>
        <v/>
      </c>
      <c r="C52" s="41" t="n"/>
      <c r="D52" s="41">
        <f>IF($B52="","",COUNTIFS('Avaliação'!$C$7:$C$206,$B52,'Avaliação'!$E$7:$E$206,"&gt;=0"))</f>
        <v/>
      </c>
      <c r="E52" s="33">
        <f>IF($B52="","",IFERROR(ROUND(AVERAGEIF('Avaliação'!$C$7:$C$206,$B52,'Avaliação'!$E$7:$E$206),2),""))</f>
        <v/>
      </c>
      <c r="F52" s="41">
        <f t="array" ref="F52">IF($B52="","",IFERROR(INDEX('Avaliação'!$E$7:$E$206,MATCH($B52,'Avaliação'!$C$7:$C$206,0)),""))</f>
        <v/>
      </c>
      <c r="G52" s="41">
        <f>IF($B52="","",IF($D52&lt;&gt;2,"",IF($F52="","",ROUND(SUMIF('Avaliação'!$C$7:$C$206,$B52,'Avaliação'!$E$7:$E$206)-$F52,2))))</f>
        <v/>
      </c>
      <c r="H52" s="41">
        <f>IF($B52="","",IF(OR($F52="",$G52=""),"",ROUND(ABS($F52-$G52),2)))</f>
        <v/>
      </c>
      <c r="I52" s="30">
        <f>IF($B52="","",IF($D52&lt;2,"⚠ falta 2º avaliador",IF($D52&gt;2,"⚠ mais de 2 avaliações — conferir",IF(AND(ISNUMBER($H52),$H52&gt;1),"⚠ divergência &gt; 1,0 — média suspensa, calibrar","OK"))))</f>
        <v/>
      </c>
      <c r="J52" s="30" t="n"/>
      <c r="K52" s="41" t="n"/>
      <c r="L52" s="35" t="n"/>
      <c r="M52" s="41">
        <f>IF($E52="","",COUNTIF($E$5:$E$64,"&gt;"&amp;$E52)+1)</f>
        <v/>
      </c>
      <c r="N52" s="41">
        <f>IF($B52="","",IF(Entrevista!$H52="","",Entrevista!$H52))</f>
        <v/>
      </c>
      <c r="O52" s="30">
        <f>IF($B52="","",IF(Entrevista!$L52="","",Entrevista!$L52))</f>
        <v/>
      </c>
    </row>
    <row r="53" ht="14.25" customHeight="1" s="60">
      <c r="A53" s="30">
        <f>IF($B53="","",ROW()-4)</f>
        <v/>
      </c>
      <c r="C53" s="41" t="n"/>
      <c r="D53" s="41">
        <f>IF($B53="","",COUNTIFS('Avaliação'!$C$7:$C$206,$B53,'Avaliação'!$E$7:$E$206,"&gt;=0"))</f>
        <v/>
      </c>
      <c r="E53" s="33">
        <f>IF($B53="","",IFERROR(ROUND(AVERAGEIF('Avaliação'!$C$7:$C$206,$B53,'Avaliação'!$E$7:$E$206),2),""))</f>
        <v/>
      </c>
      <c r="F53" s="41">
        <f t="array" ref="F53">IF($B53="","",IFERROR(INDEX('Avaliação'!$E$7:$E$206,MATCH($B53,'Avaliação'!$C$7:$C$206,0)),""))</f>
        <v/>
      </c>
      <c r="G53" s="41">
        <f>IF($B53="","",IF($D53&lt;&gt;2,"",IF($F53="","",ROUND(SUMIF('Avaliação'!$C$7:$C$206,$B53,'Avaliação'!$E$7:$E$206)-$F53,2))))</f>
        <v/>
      </c>
      <c r="H53" s="41">
        <f>IF($B53="","",IF(OR($F53="",$G53=""),"",ROUND(ABS($F53-$G53),2)))</f>
        <v/>
      </c>
      <c r="I53" s="30">
        <f>IF($B53="","",IF($D53&lt;2,"⚠ falta 2º avaliador",IF($D53&gt;2,"⚠ mais de 2 avaliações — conferir",IF(AND(ISNUMBER($H53),$H53&gt;1),"⚠ divergência &gt; 1,0 — média suspensa, calibrar","OK"))))</f>
        <v/>
      </c>
      <c r="J53" s="30" t="n"/>
      <c r="K53" s="41" t="n"/>
      <c r="L53" s="35" t="n"/>
      <c r="M53" s="41">
        <f>IF($E53="","",COUNTIF($E$5:$E$64,"&gt;"&amp;$E53)+1)</f>
        <v/>
      </c>
      <c r="N53" s="41">
        <f>IF($B53="","",IF(Entrevista!$H53="","",Entrevista!$H53))</f>
        <v/>
      </c>
      <c r="O53" s="30">
        <f>IF($B53="","",IF(Entrevista!$L53="","",Entrevista!$L53))</f>
        <v/>
      </c>
    </row>
    <row r="54" ht="14.25" customHeight="1" s="60">
      <c r="A54" s="30">
        <f>IF($B54="","",ROW()-4)</f>
        <v/>
      </c>
      <c r="C54" s="41" t="n"/>
      <c r="D54" s="41">
        <f>IF($B54="","",COUNTIFS('Avaliação'!$C$7:$C$206,$B54,'Avaliação'!$E$7:$E$206,"&gt;=0"))</f>
        <v/>
      </c>
      <c r="E54" s="33">
        <f>IF($B54="","",IFERROR(ROUND(AVERAGEIF('Avaliação'!$C$7:$C$206,$B54,'Avaliação'!$E$7:$E$206),2),""))</f>
        <v/>
      </c>
      <c r="F54" s="41">
        <f t="array" ref="F54">IF($B54="","",IFERROR(INDEX('Avaliação'!$E$7:$E$206,MATCH($B54,'Avaliação'!$C$7:$C$206,0)),""))</f>
        <v/>
      </c>
      <c r="G54" s="41">
        <f>IF($B54="","",IF($D54&lt;&gt;2,"",IF($F54="","",ROUND(SUMIF('Avaliação'!$C$7:$C$206,$B54,'Avaliação'!$E$7:$E$206)-$F54,2))))</f>
        <v/>
      </c>
      <c r="H54" s="41">
        <f>IF($B54="","",IF(OR($F54="",$G54=""),"",ROUND(ABS($F54-$G54),2)))</f>
        <v/>
      </c>
      <c r="I54" s="30">
        <f>IF($B54="","",IF($D54&lt;2,"⚠ falta 2º avaliador",IF($D54&gt;2,"⚠ mais de 2 avaliações — conferir",IF(AND(ISNUMBER($H54),$H54&gt;1),"⚠ divergência &gt; 1,0 — média suspensa, calibrar","OK"))))</f>
        <v/>
      </c>
      <c r="J54" s="30" t="n"/>
      <c r="K54" s="41" t="n"/>
      <c r="L54" s="35" t="n"/>
      <c r="M54" s="41">
        <f>IF($E54="","",COUNTIF($E$5:$E$64,"&gt;"&amp;$E54)+1)</f>
        <v/>
      </c>
      <c r="N54" s="41">
        <f>IF($B54="","",IF(Entrevista!$H54="","",Entrevista!$H54))</f>
        <v/>
      </c>
      <c r="O54" s="30">
        <f>IF($B54="","",IF(Entrevista!$L54="","",Entrevista!$L54))</f>
        <v/>
      </c>
    </row>
    <row r="55" ht="14.25" customHeight="1" s="60">
      <c r="A55" s="30">
        <f>IF($B55="","",ROW()-4)</f>
        <v/>
      </c>
      <c r="C55" s="41" t="n"/>
      <c r="D55" s="41">
        <f>IF($B55="","",COUNTIFS('Avaliação'!$C$7:$C$206,$B55,'Avaliação'!$E$7:$E$206,"&gt;=0"))</f>
        <v/>
      </c>
      <c r="E55" s="33">
        <f>IF($B55="","",IFERROR(ROUND(AVERAGEIF('Avaliação'!$C$7:$C$206,$B55,'Avaliação'!$E$7:$E$206),2),""))</f>
        <v/>
      </c>
      <c r="F55" s="41">
        <f t="array" ref="F55">IF($B55="","",IFERROR(INDEX('Avaliação'!$E$7:$E$206,MATCH($B55,'Avaliação'!$C$7:$C$206,0)),""))</f>
        <v/>
      </c>
      <c r="G55" s="41">
        <f>IF($B55="","",IF($D55&lt;&gt;2,"",IF($F55="","",ROUND(SUMIF('Avaliação'!$C$7:$C$206,$B55,'Avaliação'!$E$7:$E$206)-$F55,2))))</f>
        <v/>
      </c>
      <c r="H55" s="41">
        <f>IF($B55="","",IF(OR($F55="",$G55=""),"",ROUND(ABS($F55-$G55),2)))</f>
        <v/>
      </c>
      <c r="I55" s="30">
        <f>IF($B55="","",IF($D55&lt;2,"⚠ falta 2º avaliador",IF($D55&gt;2,"⚠ mais de 2 avaliações — conferir",IF(AND(ISNUMBER($H55),$H55&gt;1),"⚠ divergência &gt; 1,0 — média suspensa, calibrar","OK"))))</f>
        <v/>
      </c>
      <c r="J55" s="30" t="n"/>
      <c r="K55" s="41" t="n"/>
      <c r="L55" s="35" t="n"/>
      <c r="M55" s="41">
        <f>IF($E55="","",COUNTIF($E$5:$E$64,"&gt;"&amp;$E55)+1)</f>
        <v/>
      </c>
      <c r="N55" s="41">
        <f>IF($B55="","",IF(Entrevista!$H55="","",Entrevista!$H55))</f>
        <v/>
      </c>
      <c r="O55" s="30">
        <f>IF($B55="","",IF(Entrevista!$L55="","",Entrevista!$L55))</f>
        <v/>
      </c>
    </row>
    <row r="56" ht="14.25" customHeight="1" s="60">
      <c r="A56" s="30">
        <f>IF($B56="","",ROW()-4)</f>
        <v/>
      </c>
      <c r="C56" s="41" t="n"/>
      <c r="D56" s="41">
        <f>IF($B56="","",COUNTIFS('Avaliação'!$C$7:$C$206,$B56,'Avaliação'!$E$7:$E$206,"&gt;=0"))</f>
        <v/>
      </c>
      <c r="E56" s="33">
        <f>IF($B56="","",IFERROR(ROUND(AVERAGEIF('Avaliação'!$C$7:$C$206,$B56,'Avaliação'!$E$7:$E$206),2),""))</f>
        <v/>
      </c>
      <c r="F56" s="41">
        <f t="array" ref="F56">IF($B56="","",IFERROR(INDEX('Avaliação'!$E$7:$E$206,MATCH($B56,'Avaliação'!$C$7:$C$206,0)),""))</f>
        <v/>
      </c>
      <c r="G56" s="41">
        <f>IF($B56="","",IF($D56&lt;&gt;2,"",IF($F56="","",ROUND(SUMIF('Avaliação'!$C$7:$C$206,$B56,'Avaliação'!$E$7:$E$206)-$F56,2))))</f>
        <v/>
      </c>
      <c r="H56" s="41">
        <f>IF($B56="","",IF(OR($F56="",$G56=""),"",ROUND(ABS($F56-$G56),2)))</f>
        <v/>
      </c>
      <c r="I56" s="30">
        <f>IF($B56="","",IF($D56&lt;2,"⚠ falta 2º avaliador",IF($D56&gt;2,"⚠ mais de 2 avaliações — conferir",IF(AND(ISNUMBER($H56),$H56&gt;1),"⚠ divergência &gt; 1,0 — média suspensa, calibrar","OK"))))</f>
        <v/>
      </c>
      <c r="J56" s="30" t="n"/>
      <c r="K56" s="41" t="n"/>
      <c r="L56" s="35" t="n"/>
      <c r="M56" s="41">
        <f>IF($E56="","",COUNTIF($E$5:$E$64,"&gt;"&amp;$E56)+1)</f>
        <v/>
      </c>
      <c r="N56" s="41">
        <f>IF($B56="","",IF(Entrevista!$H56="","",Entrevista!$H56))</f>
        <v/>
      </c>
      <c r="O56" s="30">
        <f>IF($B56="","",IF(Entrevista!$L56="","",Entrevista!$L56))</f>
        <v/>
      </c>
    </row>
    <row r="57" ht="14.25" customHeight="1" s="60">
      <c r="A57" s="30">
        <f>IF($B57="","",ROW()-4)</f>
        <v/>
      </c>
      <c r="C57" s="41" t="n"/>
      <c r="D57" s="41">
        <f>IF($B57="","",COUNTIFS('Avaliação'!$C$7:$C$206,$B57,'Avaliação'!$E$7:$E$206,"&gt;=0"))</f>
        <v/>
      </c>
      <c r="E57" s="33">
        <f>IF($B57="","",IFERROR(ROUND(AVERAGEIF('Avaliação'!$C$7:$C$206,$B57,'Avaliação'!$E$7:$E$206),2),""))</f>
        <v/>
      </c>
      <c r="F57" s="41">
        <f t="array" ref="F57">IF($B57="","",IFERROR(INDEX('Avaliação'!$E$7:$E$206,MATCH($B57,'Avaliação'!$C$7:$C$206,0)),""))</f>
        <v/>
      </c>
      <c r="G57" s="41">
        <f>IF($B57="","",IF($D57&lt;&gt;2,"",IF($F57="","",ROUND(SUMIF('Avaliação'!$C$7:$C$206,$B57,'Avaliação'!$E$7:$E$206)-$F57,2))))</f>
        <v/>
      </c>
      <c r="H57" s="41">
        <f>IF($B57="","",IF(OR($F57="",$G57=""),"",ROUND(ABS($F57-$G57),2)))</f>
        <v/>
      </c>
      <c r="I57" s="30">
        <f>IF($B57="","",IF($D57&lt;2,"⚠ falta 2º avaliador",IF($D57&gt;2,"⚠ mais de 2 avaliações — conferir",IF(AND(ISNUMBER($H57),$H57&gt;1),"⚠ divergência &gt; 1,0 — média suspensa, calibrar","OK"))))</f>
        <v/>
      </c>
      <c r="J57" s="30" t="n"/>
      <c r="K57" s="41" t="n"/>
      <c r="L57" s="35" t="n"/>
      <c r="M57" s="41">
        <f>IF($E57="","",COUNTIF($E$5:$E$64,"&gt;"&amp;$E57)+1)</f>
        <v/>
      </c>
      <c r="N57" s="41">
        <f>IF($B57="","",IF(Entrevista!$H57="","",Entrevista!$H57))</f>
        <v/>
      </c>
      <c r="O57" s="30">
        <f>IF($B57="","",IF(Entrevista!$L57="","",Entrevista!$L57))</f>
        <v/>
      </c>
    </row>
    <row r="58" ht="14.25" customHeight="1" s="60">
      <c r="A58" s="30">
        <f>IF($B58="","",ROW()-4)</f>
        <v/>
      </c>
      <c r="C58" s="41" t="n"/>
      <c r="D58" s="41">
        <f>IF($B58="","",COUNTIFS('Avaliação'!$C$7:$C$206,$B58,'Avaliação'!$E$7:$E$206,"&gt;=0"))</f>
        <v/>
      </c>
      <c r="E58" s="33">
        <f>IF($B58="","",IFERROR(ROUND(AVERAGEIF('Avaliação'!$C$7:$C$206,$B58,'Avaliação'!$E$7:$E$206),2),""))</f>
        <v/>
      </c>
      <c r="F58" s="41">
        <f t="array" ref="F58">IF($B58="","",IFERROR(INDEX('Avaliação'!$E$7:$E$206,MATCH($B58,'Avaliação'!$C$7:$C$206,0)),""))</f>
        <v/>
      </c>
      <c r="G58" s="41">
        <f>IF($B58="","",IF($D58&lt;&gt;2,"",IF($F58="","",ROUND(SUMIF('Avaliação'!$C$7:$C$206,$B58,'Avaliação'!$E$7:$E$206)-$F58,2))))</f>
        <v/>
      </c>
      <c r="H58" s="41">
        <f>IF($B58="","",IF(OR($F58="",$G58=""),"",ROUND(ABS($F58-$G58),2)))</f>
        <v/>
      </c>
      <c r="I58" s="30">
        <f>IF($B58="","",IF($D58&lt;2,"⚠ falta 2º avaliador",IF($D58&gt;2,"⚠ mais de 2 avaliações — conferir",IF(AND(ISNUMBER($H58),$H58&gt;1),"⚠ divergência &gt; 1,0 — média suspensa, calibrar","OK"))))</f>
        <v/>
      </c>
      <c r="J58" s="30" t="n"/>
      <c r="K58" s="41" t="n"/>
      <c r="L58" s="35" t="n"/>
      <c r="M58" s="41">
        <f>IF($E58="","",COUNTIF($E$5:$E$64,"&gt;"&amp;$E58)+1)</f>
        <v/>
      </c>
      <c r="N58" s="41">
        <f>IF($B58="","",IF(Entrevista!$H58="","",Entrevista!$H58))</f>
        <v/>
      </c>
      <c r="O58" s="30">
        <f>IF($B58="","",IF(Entrevista!$L58="","",Entrevista!$L58))</f>
        <v/>
      </c>
    </row>
    <row r="59" ht="14.25" customHeight="1" s="60">
      <c r="A59" s="30">
        <f>IF($B59="","",ROW()-4)</f>
        <v/>
      </c>
      <c r="C59" s="41" t="n"/>
      <c r="D59" s="41">
        <f>IF($B59="","",COUNTIFS('Avaliação'!$C$7:$C$206,$B59,'Avaliação'!$E$7:$E$206,"&gt;=0"))</f>
        <v/>
      </c>
      <c r="E59" s="33">
        <f>IF($B59="","",IFERROR(ROUND(AVERAGEIF('Avaliação'!$C$7:$C$206,$B59,'Avaliação'!$E$7:$E$206),2),""))</f>
        <v/>
      </c>
      <c r="F59" s="41">
        <f t="array" ref="F59">IF($B59="","",IFERROR(INDEX('Avaliação'!$E$7:$E$206,MATCH($B59,'Avaliação'!$C$7:$C$206,0)),""))</f>
        <v/>
      </c>
      <c r="G59" s="41">
        <f>IF($B59="","",IF($D59&lt;&gt;2,"",IF($F59="","",ROUND(SUMIF('Avaliação'!$C$7:$C$206,$B59,'Avaliação'!$E$7:$E$206)-$F59,2))))</f>
        <v/>
      </c>
      <c r="H59" s="41">
        <f>IF($B59="","",IF(OR($F59="",$G59=""),"",ROUND(ABS($F59-$G59),2)))</f>
        <v/>
      </c>
      <c r="I59" s="30">
        <f>IF($B59="","",IF($D59&lt;2,"⚠ falta 2º avaliador",IF($D59&gt;2,"⚠ mais de 2 avaliações — conferir",IF(AND(ISNUMBER($H59),$H59&gt;1),"⚠ divergência &gt; 1,0 — média suspensa, calibrar","OK"))))</f>
        <v/>
      </c>
      <c r="J59" s="30" t="n"/>
      <c r="K59" s="41" t="n"/>
      <c r="L59" s="35" t="n"/>
      <c r="M59" s="41">
        <f>IF($E59="","",COUNTIF($E$5:$E$64,"&gt;"&amp;$E59)+1)</f>
        <v/>
      </c>
      <c r="N59" s="41">
        <f>IF($B59="","",IF(Entrevista!$H59="","",Entrevista!$H59))</f>
        <v/>
      </c>
      <c r="O59" s="30">
        <f>IF($B59="","",IF(Entrevista!$L59="","",Entrevista!$L59))</f>
        <v/>
      </c>
    </row>
    <row r="60" ht="14.25" customHeight="1" s="60">
      <c r="A60" s="30">
        <f>IF($B60="","",ROW()-4)</f>
        <v/>
      </c>
      <c r="C60" s="41" t="n"/>
      <c r="D60" s="41">
        <f>IF($B60="","",COUNTIFS('Avaliação'!$C$7:$C$206,$B60,'Avaliação'!$E$7:$E$206,"&gt;=0"))</f>
        <v/>
      </c>
      <c r="E60" s="33">
        <f>IF($B60="","",IFERROR(ROUND(AVERAGEIF('Avaliação'!$C$7:$C$206,$B60,'Avaliação'!$E$7:$E$206),2),""))</f>
        <v/>
      </c>
      <c r="F60" s="41">
        <f t="array" ref="F60">IF($B60="","",IFERROR(INDEX('Avaliação'!$E$7:$E$206,MATCH($B60,'Avaliação'!$C$7:$C$206,0)),""))</f>
        <v/>
      </c>
      <c r="G60" s="41">
        <f>IF($B60="","",IF($D60&lt;&gt;2,"",IF($F60="","",ROUND(SUMIF('Avaliação'!$C$7:$C$206,$B60,'Avaliação'!$E$7:$E$206)-$F60,2))))</f>
        <v/>
      </c>
      <c r="H60" s="41">
        <f>IF($B60="","",IF(OR($F60="",$G60=""),"",ROUND(ABS($F60-$G60),2)))</f>
        <v/>
      </c>
      <c r="I60" s="30">
        <f>IF($B60="","",IF($D60&lt;2,"⚠ falta 2º avaliador",IF($D60&gt;2,"⚠ mais de 2 avaliações — conferir",IF(AND(ISNUMBER($H60),$H60&gt;1),"⚠ divergência &gt; 1,0 — média suspensa, calibrar","OK"))))</f>
        <v/>
      </c>
      <c r="J60" s="30" t="n"/>
      <c r="K60" s="41" t="n"/>
      <c r="L60" s="35" t="n"/>
      <c r="M60" s="41">
        <f>IF($E60="","",COUNTIF($E$5:$E$64,"&gt;"&amp;$E60)+1)</f>
        <v/>
      </c>
      <c r="N60" s="41">
        <f>IF($B60="","",IF(Entrevista!$H60="","",Entrevista!$H60))</f>
        <v/>
      </c>
      <c r="O60" s="30">
        <f>IF($B60="","",IF(Entrevista!$L60="","",Entrevista!$L60))</f>
        <v/>
      </c>
    </row>
    <row r="61" ht="14.25" customHeight="1" s="60">
      <c r="A61" s="30">
        <f>IF($B61="","",ROW()-4)</f>
        <v/>
      </c>
      <c r="C61" s="41" t="n"/>
      <c r="D61" s="41">
        <f>IF($B61="","",COUNTIFS('Avaliação'!$C$7:$C$206,$B61,'Avaliação'!$E$7:$E$206,"&gt;=0"))</f>
        <v/>
      </c>
      <c r="E61" s="33">
        <f>IF($B61="","",IFERROR(ROUND(AVERAGEIF('Avaliação'!$C$7:$C$206,$B61,'Avaliação'!$E$7:$E$206),2),""))</f>
        <v/>
      </c>
      <c r="F61" s="41">
        <f t="array" ref="F61">IF($B61="","",IFERROR(INDEX('Avaliação'!$E$7:$E$206,MATCH($B61,'Avaliação'!$C$7:$C$206,0)),""))</f>
        <v/>
      </c>
      <c r="G61" s="41">
        <f>IF($B61="","",IF($D61&lt;&gt;2,"",IF($F61="","",ROUND(SUMIF('Avaliação'!$C$7:$C$206,$B61,'Avaliação'!$E$7:$E$206)-$F61,2))))</f>
        <v/>
      </c>
      <c r="H61" s="41">
        <f>IF($B61="","",IF(OR($F61="",$G61=""),"",ROUND(ABS($F61-$G61),2)))</f>
        <v/>
      </c>
      <c r="I61" s="30">
        <f>IF($B61="","",IF($D61&lt;2,"⚠ falta 2º avaliador",IF($D61&gt;2,"⚠ mais de 2 avaliações — conferir",IF(AND(ISNUMBER($H61),$H61&gt;1),"⚠ divergência &gt; 1,0 — média suspensa, calibrar","OK"))))</f>
        <v/>
      </c>
      <c r="J61" s="30" t="n"/>
      <c r="K61" s="41" t="n"/>
      <c r="L61" s="35" t="n"/>
      <c r="M61" s="41">
        <f>IF($E61="","",COUNTIF($E$5:$E$64,"&gt;"&amp;$E61)+1)</f>
        <v/>
      </c>
      <c r="N61" s="41">
        <f>IF($B61="","",IF(Entrevista!$H61="","",Entrevista!$H61))</f>
        <v/>
      </c>
      <c r="O61" s="30">
        <f>IF($B61="","",IF(Entrevista!$L61="","",Entrevista!$L61))</f>
        <v/>
      </c>
    </row>
    <row r="62" ht="14.25" customHeight="1" s="60">
      <c r="A62" s="30">
        <f>IF($B62="","",ROW()-4)</f>
        <v/>
      </c>
      <c r="C62" s="41" t="n"/>
      <c r="D62" s="41">
        <f>IF($B62="","",COUNTIFS('Avaliação'!$C$7:$C$206,$B62,'Avaliação'!$E$7:$E$206,"&gt;=0"))</f>
        <v/>
      </c>
      <c r="E62" s="33">
        <f>IF($B62="","",IFERROR(ROUND(AVERAGEIF('Avaliação'!$C$7:$C$206,$B62,'Avaliação'!$E$7:$E$206),2),""))</f>
        <v/>
      </c>
      <c r="F62" s="41">
        <f t="array" ref="F62">IF($B62="","",IFERROR(INDEX('Avaliação'!$E$7:$E$206,MATCH($B62,'Avaliação'!$C$7:$C$206,0)),""))</f>
        <v/>
      </c>
      <c r="G62" s="41">
        <f>IF($B62="","",IF($D62&lt;&gt;2,"",IF($F62="","",ROUND(SUMIF('Avaliação'!$C$7:$C$206,$B62,'Avaliação'!$E$7:$E$206)-$F62,2))))</f>
        <v/>
      </c>
      <c r="H62" s="41">
        <f>IF($B62="","",IF(OR($F62="",$G62=""),"",ROUND(ABS($F62-$G62),2)))</f>
        <v/>
      </c>
      <c r="I62" s="30">
        <f>IF($B62="","",IF($D62&lt;2,"⚠ falta 2º avaliador",IF($D62&gt;2,"⚠ mais de 2 avaliações — conferir",IF(AND(ISNUMBER($H62),$H62&gt;1),"⚠ divergência &gt; 1,0 — média suspensa, calibrar","OK"))))</f>
        <v/>
      </c>
      <c r="J62" s="30" t="n"/>
      <c r="K62" s="41" t="n"/>
      <c r="L62" s="35" t="n"/>
      <c r="M62" s="41">
        <f>IF($E62="","",COUNTIF($E$5:$E$64,"&gt;"&amp;$E62)+1)</f>
        <v/>
      </c>
      <c r="N62" s="41">
        <f>IF($B62="","",IF(Entrevista!$H62="","",Entrevista!$H62))</f>
        <v/>
      </c>
      <c r="O62" s="30">
        <f>IF($B62="","",IF(Entrevista!$L62="","",Entrevista!$L62))</f>
        <v/>
      </c>
    </row>
    <row r="63" ht="14.25" customHeight="1" s="60">
      <c r="A63" s="30">
        <f>IF($B63="","",ROW()-4)</f>
        <v/>
      </c>
      <c r="C63" s="41" t="n"/>
      <c r="D63" s="41">
        <f>IF($B63="","",COUNTIFS('Avaliação'!$C$7:$C$206,$B63,'Avaliação'!$E$7:$E$206,"&gt;=0"))</f>
        <v/>
      </c>
      <c r="E63" s="33">
        <f>IF($B63="","",IFERROR(ROUND(AVERAGEIF('Avaliação'!$C$7:$C$206,$B63,'Avaliação'!$E$7:$E$206),2),""))</f>
        <v/>
      </c>
      <c r="F63" s="41">
        <f t="array" ref="F63">IF($B63="","",IFERROR(INDEX('Avaliação'!$E$7:$E$206,MATCH($B63,'Avaliação'!$C$7:$C$206,0)),""))</f>
        <v/>
      </c>
      <c r="G63" s="41">
        <f>IF($B63="","",IF($D63&lt;&gt;2,"",IF($F63="","",ROUND(SUMIF('Avaliação'!$C$7:$C$206,$B63,'Avaliação'!$E$7:$E$206)-$F63,2))))</f>
        <v/>
      </c>
      <c r="H63" s="41">
        <f>IF($B63="","",IF(OR($F63="",$G63=""),"",ROUND(ABS($F63-$G63),2)))</f>
        <v/>
      </c>
      <c r="I63" s="30">
        <f>IF($B63="","",IF($D63&lt;2,"⚠ falta 2º avaliador",IF($D63&gt;2,"⚠ mais de 2 avaliações — conferir",IF(AND(ISNUMBER($H63),$H63&gt;1),"⚠ divergência &gt; 1,0 — média suspensa, calibrar","OK"))))</f>
        <v/>
      </c>
      <c r="J63" s="30" t="n"/>
      <c r="K63" s="41" t="n"/>
      <c r="L63" s="35" t="n"/>
      <c r="M63" s="41">
        <f>IF($E63="","",COUNTIF($E$5:$E$64,"&gt;"&amp;$E63)+1)</f>
        <v/>
      </c>
      <c r="N63" s="41">
        <f>IF($B63="","",IF(Entrevista!$H63="","",Entrevista!$H63))</f>
        <v/>
      </c>
      <c r="O63" s="30">
        <f>IF($B63="","",IF(Entrevista!$L63="","",Entrevista!$L63))</f>
        <v/>
      </c>
    </row>
    <row r="64" ht="14.25" customHeight="1" s="60">
      <c r="A64" s="30">
        <f>IF($B64="","",ROW()-4)</f>
        <v/>
      </c>
      <c r="C64" s="41" t="n"/>
      <c r="D64" s="41">
        <f>IF($B64="","",COUNTIFS('Avaliação'!$C$7:$C$206,$B64,'Avaliação'!$E$7:$E$206,"&gt;=0"))</f>
        <v/>
      </c>
      <c r="E64" s="33">
        <f>IF($B64="","",IFERROR(ROUND(AVERAGEIF('Avaliação'!$C$7:$C$206,$B64,'Avaliação'!$E$7:$E$206),2),""))</f>
        <v/>
      </c>
      <c r="F64" s="41">
        <f t="array" ref="F64">IF($B64="","",IFERROR(INDEX('Avaliação'!$E$7:$E$206,MATCH($B64,'Avaliação'!$C$7:$C$206,0)),""))</f>
        <v/>
      </c>
      <c r="G64" s="41">
        <f>IF($B64="","",IF($D64&lt;&gt;2,"",IF($F64="","",ROUND(SUMIF('Avaliação'!$C$7:$C$206,$B64,'Avaliação'!$E$7:$E$206)-$F64,2))))</f>
        <v/>
      </c>
      <c r="H64" s="41">
        <f>IF($B64="","",IF(OR($F64="",$G64=""),"",ROUND(ABS($F64-$G64),2)))</f>
        <v/>
      </c>
      <c r="I64" s="30">
        <f>IF($B64="","",IF($D64&lt;2,"⚠ falta 2º avaliador",IF($D64&gt;2,"⚠ mais de 2 avaliações — conferir",IF(AND(ISNUMBER($H64),$H64&gt;1),"⚠ divergência &gt; 1,0 — média suspensa, calibrar","OK"))))</f>
        <v/>
      </c>
      <c r="J64" s="30" t="n"/>
      <c r="K64" s="41" t="n"/>
      <c r="L64" s="35" t="n"/>
      <c r="M64" s="41">
        <f>IF($E64="","",COUNTIF($E$5:$E$64,"&gt;"&amp;$E64)+1)</f>
        <v/>
      </c>
      <c r="N64" s="41">
        <f>IF($B64="","",IF(Entrevista!$H64="","",Entrevista!$H64))</f>
        <v/>
      </c>
      <c r="O64" s="30">
        <f>IF($B64="","",IF(Entrevista!$L64="","",Entrevista!$L64))</f>
        <v/>
      </c>
    </row>
    <row r="65" ht="14.25" customHeight="1" s="60"/>
    <row r="66" ht="24" customHeight="1" s="60">
      <c r="B66" s="59" t="inlineStr">
        <is>
          <t>NOTA FINAL = média das notas dos dois avaliadores (6,0 e 7,0 -&gt; 6,50). Se a diferença passar de 1,0, a média fica suspensa: conversem e refaçam o critério que divergiu.</t>
        </is>
      </c>
    </row>
    <row r="67" ht="24" customHeight="1" s="60">
      <c r="B67" s="59" t="inlineStr">
        <is>
          <t>FLAG: não soma nem subtrai ponto e nunca elimina. Ela (i) obriga uma pergunta específica na entrevista e (ii) só desempata entre candidatos a menos de 0,3 ponto um do outro.</t>
        </is>
      </c>
    </row>
    <row r="68" ht="24" customHeight="1" s="60">
      <c r="B68" s="59" t="inlineStr">
        <is>
          <t>HORAS/SEM: o que o candidato declarou no formulário. Em 2025.2 a mediana foi 8h (de 4 a 40). Abaixo de 6h acende vermelho — é conversa de entrevista, não corte.</t>
        </is>
      </c>
    </row>
    <row r="69" ht="24" customHeight="1" s="60">
      <c r="B69" s="59" t="inlineStr">
        <is>
          <t>ENTREVISTA: as duas últimas colunas vêm da aba Entrevista, não se digita aqui. 'Não OK' na checagem de propriedade é VETO — derruba independentemente da nota.</t>
        </is>
      </c>
    </row>
    <row r="70" ht="24" customHeight="1" s="60">
      <c r="B70" s="59" t="inlineStr">
        <is>
          <t>NOTA AMARELA = provisória: veio de UM avaliador só. Ela entra no ranking normalmente, mas não é comparável com as médias de dois — carrega inteira a severidade de quem corrigiu (0,89 pt de amplitude entre avaliadores no PS 2026-1S). Não feche corte com amarelo na lista.</t>
        </is>
      </c>
    </row>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7">
    <mergeCell ref="B69:O69"/>
    <mergeCell ref="B70:O70"/>
    <mergeCell ref="B68:O68"/>
    <mergeCell ref="B2:O2"/>
    <mergeCell ref="B3:O3"/>
    <mergeCell ref="B67:O67"/>
    <mergeCell ref="B66:O66"/>
  </mergeCells>
  <conditionalFormatting sqref="E5:E64">
    <cfRule type="expression" priority="1" dxfId="3" stopIfTrue="1">
      <formula>AND($B5&lt;&gt;"",$D5&lt;2)</formula>
    </cfRule>
    <cfRule type="cellIs" priority="2" operator="greaterThanOrEqual" dxfId="0">
      <formula>7</formula>
    </cfRule>
  </conditionalFormatting>
  <conditionalFormatting sqref="I5:I64">
    <cfRule type="expression" priority="3" dxfId="3">
      <formula>LEFT($I5,1)="⚠"</formula>
    </cfRule>
  </conditionalFormatting>
  <conditionalFormatting sqref="K5:K64">
    <cfRule type="cellIs" priority="4" operator="lessThan" dxfId="2">
      <formula>6</formula>
    </cfRule>
  </conditionalFormatting>
  <conditionalFormatting sqref="N5:N64">
    <cfRule type="cellIs" priority="5" operator="equal" dxfId="2">
      <formula>"Não OK"</formula>
    </cfRule>
  </conditionalFormatting>
  <dataValidations count="1">
    <dataValidation sqref="J5:J64" showDropDown="0" showInputMessage="0" showErrorMessage="0" allowBlank="1" type="list">
      <formula1>"🔴 EVASÃO,🟡 CARGA,⚪ sem sinal"</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2:M69"/>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0" min="1" max="1"/>
    <col width="34" customWidth="1" style="60" min="2" max="2"/>
    <col width="33.29" customWidth="1" style="60" min="3" max="3"/>
    <col width="12" customWidth="1" style="60" min="4" max="5"/>
    <col width="22" customWidth="1" style="60" min="6" max="6"/>
    <col width="11" customWidth="1" style="60" min="7" max="7"/>
    <col width="20" customWidth="1" style="60" min="8" max="8"/>
    <col width="30" customWidth="1" style="60" min="9" max="9"/>
    <col width="42" customWidth="1" style="60" min="10" max="10"/>
    <col width="46" customWidth="1" style="60" min="11" max="11"/>
    <col width="14" customWidth="1" style="60" min="12" max="12"/>
    <col width="40" customWidth="1" style="60" min="13" max="13"/>
    <col width="8.710000000000001" customWidth="1" style="60" min="14" max="27"/>
  </cols>
  <sheetData>
    <row r="1" ht="14.25" customHeight="1" s="60"/>
    <row r="2" ht="25.5" customHeight="1" s="60">
      <c r="B2" s="66" t="inlineStr">
        <is>
          <t>ENTREVISTA — nesta versão NÃO pontua. Ela veta, desempata e registra.</t>
        </is>
      </c>
    </row>
    <row r="3" ht="42" customHeight="1" s="60">
      <c r="B3" s="65" t="inlineStr">
        <is>
          <t>⚠  A entrevista não é formalidade. Em 2025.2 ela cortou 10 dos 23 convocados (43%): o 3º colocado (8,15) foi cortado e o 20º (5,42) foi aprovado. Em 2026.1 não sobrou registro nenhum do que ela decidiu. Preencher esta aba é o mínimo para a próxima gestão saber o que aconteceu aqui.</t>
        </is>
      </c>
    </row>
    <row r="4" ht="30" customHeight="1" s="60">
      <c r="A4" s="24" t="inlineStr">
        <is>
          <t>#</t>
        </is>
      </c>
      <c r="B4" s="24" t="inlineStr">
        <is>
          <t>Candidato(a)</t>
        </is>
      </c>
      <c r="C4" s="24" t="inlineStr">
        <is>
          <t>Nome</t>
        </is>
      </c>
      <c r="D4" s="24" t="inlineStr">
        <is>
          <t>Nota do case</t>
        </is>
      </c>
      <c r="E4" s="24" t="inlineStr">
        <is>
          <t>Flag</t>
        </is>
      </c>
      <c r="F4" s="24" t="inlineStr">
        <is>
          <t>Entrevistador(es)</t>
        </is>
      </c>
      <c r="G4" s="24" t="inlineStr">
        <is>
          <t>Data</t>
        </is>
      </c>
      <c r="H4" s="24" t="inlineStr">
        <is>
          <t>Refez a conta ao vivo?</t>
        </is>
      </c>
      <c r="I4" s="24" t="inlineStr">
        <is>
          <t>Qual conta foi pedida</t>
        </is>
      </c>
      <c r="J4" s="24" t="inlineStr">
        <is>
          <t>Pergunta da flag + resposta</t>
        </is>
      </c>
      <c r="K4" s="24" t="inlineStr">
        <is>
          <t>Observações da entrevista</t>
        </is>
      </c>
      <c r="L4" s="24" t="inlineStr">
        <is>
          <t>Decisão</t>
        </is>
      </c>
      <c r="M4" s="24" t="inlineStr">
        <is>
          <t>Motivo da decisão</t>
        </is>
      </c>
    </row>
    <row r="5" ht="14.25" customHeight="1" s="60">
      <c r="A5" s="41">
        <f>IF($B5="","",ROW()-4)</f>
        <v/>
      </c>
      <c r="D5" s="39">
        <f>IF($B5="","",Consolidado!$E5)</f>
        <v/>
      </c>
      <c r="E5" s="41">
        <f>IF($B5="","",Consolidado!$J5)</f>
        <v/>
      </c>
      <c r="G5" s="40" t="n"/>
      <c r="H5" s="41" t="n"/>
      <c r="I5" s="35" t="n"/>
      <c r="J5" s="35" t="n"/>
      <c r="K5" s="35" t="n"/>
      <c r="L5" s="30" t="n"/>
      <c r="M5" s="35" t="n"/>
    </row>
    <row r="6" ht="14.25" customHeight="1" s="60">
      <c r="A6" s="41">
        <f>IF($B6="","",ROW()-4)</f>
        <v/>
      </c>
      <c r="D6" s="39">
        <f>IF($B6="","",Consolidado!$E6)</f>
        <v/>
      </c>
      <c r="E6" s="41">
        <f>IF($B6="","",Consolidado!$J6)</f>
        <v/>
      </c>
      <c r="G6" s="40" t="n"/>
      <c r="H6" s="41" t="n"/>
      <c r="I6" s="35" t="n"/>
      <c r="J6" s="35" t="n"/>
      <c r="K6" s="35" t="n"/>
      <c r="L6" s="30" t="n"/>
      <c r="M6" s="35" t="n"/>
    </row>
    <row r="7" ht="14.25" customHeight="1" s="60">
      <c r="A7" s="41">
        <f>IF($B7="","",ROW()-4)</f>
        <v/>
      </c>
      <c r="D7" s="39">
        <f>IF($B7="","",Consolidado!$E7)</f>
        <v/>
      </c>
      <c r="E7" s="41">
        <f>IF($B7="","",Consolidado!$J7)</f>
        <v/>
      </c>
      <c r="G7" s="40" t="n"/>
      <c r="H7" s="41" t="n"/>
      <c r="I7" s="35" t="n"/>
      <c r="J7" s="35" t="n"/>
      <c r="K7" s="35" t="n"/>
      <c r="L7" s="30" t="n"/>
      <c r="M7" s="35" t="n"/>
    </row>
    <row r="8" ht="14.25" customHeight="1" s="60">
      <c r="A8" s="41">
        <f>IF($B8="","",ROW()-4)</f>
        <v/>
      </c>
      <c r="D8" s="39">
        <f>IF($B8="","",Consolidado!$E8)</f>
        <v/>
      </c>
      <c r="E8" s="41">
        <f>IF($B8="","",Consolidado!$J8)</f>
        <v/>
      </c>
      <c r="G8" s="40" t="n"/>
      <c r="H8" s="41" t="n"/>
      <c r="I8" s="35" t="n"/>
      <c r="J8" s="35" t="n"/>
      <c r="K8" s="35" t="n"/>
      <c r="L8" s="30" t="n"/>
      <c r="M8" s="35" t="n"/>
    </row>
    <row r="9" ht="14.25" customHeight="1" s="60">
      <c r="A9" s="41">
        <f>IF($B9="","",ROW()-4)</f>
        <v/>
      </c>
      <c r="D9" s="39">
        <f>IF($B9="","",Consolidado!$E9)</f>
        <v/>
      </c>
      <c r="E9" s="41">
        <f>IF($B9="","",Consolidado!$J9)</f>
        <v/>
      </c>
      <c r="G9" s="40" t="n"/>
      <c r="H9" s="41" t="n"/>
      <c r="I9" s="35" t="n"/>
      <c r="J9" s="35" t="n"/>
      <c r="K9" s="35" t="n"/>
      <c r="L9" s="30" t="n"/>
      <c r="M9" s="35" t="n"/>
    </row>
    <row r="10" ht="14.25" customHeight="1" s="60">
      <c r="A10" s="41">
        <f>IF($B10="","",ROW()-4)</f>
        <v/>
      </c>
      <c r="D10" s="39">
        <f>IF($B10="","",Consolidado!$E10)</f>
        <v/>
      </c>
      <c r="E10" s="41">
        <f>IF($B10="","",Consolidado!$J10)</f>
        <v/>
      </c>
      <c r="G10" s="40" t="n"/>
      <c r="H10" s="41" t="n"/>
      <c r="I10" s="35" t="n"/>
      <c r="J10" s="35" t="n"/>
      <c r="K10" s="35" t="n"/>
      <c r="L10" s="30" t="n"/>
      <c r="M10" s="35" t="n"/>
    </row>
    <row r="11" ht="14.25" customHeight="1" s="60">
      <c r="A11" s="41">
        <f>IF($B11="","",ROW()-4)</f>
        <v/>
      </c>
      <c r="D11" s="39">
        <f>IF($B11="","",Consolidado!$E11)</f>
        <v/>
      </c>
      <c r="E11" s="41">
        <f>IF($B11="","",Consolidado!$J11)</f>
        <v/>
      </c>
      <c r="G11" s="40" t="n"/>
      <c r="H11" s="41" t="n"/>
      <c r="I11" s="35" t="n"/>
      <c r="J11" s="35" t="n"/>
      <c r="K11" s="35" t="n"/>
      <c r="L11" s="30" t="n"/>
      <c r="M11" s="35" t="n"/>
    </row>
    <row r="12" ht="14.25" customHeight="1" s="60">
      <c r="A12" s="41">
        <f>IF($B12="","",ROW()-4)</f>
        <v/>
      </c>
      <c r="D12" s="39">
        <f>IF($B12="","",Consolidado!$E12)</f>
        <v/>
      </c>
      <c r="E12" s="41">
        <f>IF($B12="","",Consolidado!$J12)</f>
        <v/>
      </c>
      <c r="G12" s="40" t="n"/>
      <c r="H12" s="41" t="n"/>
      <c r="I12" s="35" t="n"/>
      <c r="J12" s="35" t="n"/>
      <c r="K12" s="35" t="n"/>
      <c r="L12" s="30" t="n"/>
      <c r="M12" s="35" t="n"/>
    </row>
    <row r="13" ht="14.25" customHeight="1" s="60">
      <c r="A13" s="41">
        <f>IF($B13="","",ROW()-4)</f>
        <v/>
      </c>
      <c r="D13" s="39">
        <f>IF($B13="","",Consolidado!$E13)</f>
        <v/>
      </c>
      <c r="E13" s="41">
        <f>IF($B13="","",Consolidado!$J13)</f>
        <v/>
      </c>
      <c r="G13" s="40" t="n"/>
      <c r="H13" s="41" t="n"/>
      <c r="I13" s="35" t="n"/>
      <c r="J13" s="35" t="n"/>
      <c r="K13" s="35" t="n"/>
      <c r="L13" s="30" t="n"/>
      <c r="M13" s="35" t="n"/>
    </row>
    <row r="14" ht="14.25" customHeight="1" s="60">
      <c r="A14" s="41">
        <f>IF($B14="","",ROW()-4)</f>
        <v/>
      </c>
      <c r="D14" s="39">
        <f>IF($B14="","",Consolidado!$E14)</f>
        <v/>
      </c>
      <c r="E14" s="41">
        <f>IF($B14="","",Consolidado!$J14)</f>
        <v/>
      </c>
      <c r="G14" s="40" t="n"/>
      <c r="H14" s="41" t="n"/>
      <c r="I14" s="35" t="n"/>
      <c r="J14" s="35" t="n"/>
      <c r="K14" s="35" t="n"/>
      <c r="L14" s="30" t="n"/>
      <c r="M14" s="35" t="n"/>
    </row>
    <row r="15" ht="14.25" customHeight="1" s="60">
      <c r="A15" s="41">
        <f>IF($B15="","",ROW()-4)</f>
        <v/>
      </c>
      <c r="D15" s="39">
        <f>IF($B15="","",Consolidado!$E15)</f>
        <v/>
      </c>
      <c r="E15" s="41">
        <f>IF($B15="","",Consolidado!$J15)</f>
        <v/>
      </c>
      <c r="G15" s="40" t="n"/>
      <c r="H15" s="41" t="n"/>
      <c r="I15" s="35" t="n"/>
      <c r="J15" s="35" t="n"/>
      <c r="K15" s="35" t="n"/>
      <c r="L15" s="30" t="n"/>
      <c r="M15" s="35" t="n"/>
    </row>
    <row r="16" ht="14.25" customHeight="1" s="60">
      <c r="A16" s="41">
        <f>IF($B16="","",ROW()-4)</f>
        <v/>
      </c>
      <c r="D16" s="39">
        <f>IF($B16="","",Consolidado!$E16)</f>
        <v/>
      </c>
      <c r="E16" s="41">
        <f>IF($B16="","",Consolidado!$J16)</f>
        <v/>
      </c>
      <c r="G16" s="40" t="n"/>
      <c r="H16" s="41" t="n"/>
      <c r="I16" s="35" t="n"/>
      <c r="J16" s="35" t="n"/>
      <c r="K16" s="35" t="n"/>
      <c r="L16" s="30" t="n"/>
      <c r="M16" s="35" t="n"/>
    </row>
    <row r="17" ht="14.25" customHeight="1" s="60">
      <c r="A17" s="41">
        <f>IF($B17="","",ROW()-4)</f>
        <v/>
      </c>
      <c r="D17" s="39">
        <f>IF($B17="","",Consolidado!$E17)</f>
        <v/>
      </c>
      <c r="E17" s="41">
        <f>IF($B17="","",Consolidado!$J17)</f>
        <v/>
      </c>
      <c r="G17" s="40" t="n"/>
      <c r="H17" s="41" t="n"/>
      <c r="I17" s="35" t="n"/>
      <c r="J17" s="35" t="n"/>
      <c r="K17" s="35" t="n"/>
      <c r="L17" s="30" t="n"/>
      <c r="M17" s="35" t="n"/>
    </row>
    <row r="18" ht="14.25" customHeight="1" s="60">
      <c r="A18" s="41">
        <f>IF($B18="","",ROW()-4)</f>
        <v/>
      </c>
      <c r="D18" s="39">
        <f>IF($B18="","",Consolidado!$E18)</f>
        <v/>
      </c>
      <c r="E18" s="41">
        <f>IF($B18="","",Consolidado!$J18)</f>
        <v/>
      </c>
      <c r="G18" s="40" t="n"/>
      <c r="H18" s="41" t="n"/>
      <c r="I18" s="35" t="n"/>
      <c r="J18" s="35" t="n"/>
      <c r="K18" s="35" t="n"/>
      <c r="L18" s="30" t="n"/>
      <c r="M18" s="35" t="n"/>
    </row>
    <row r="19" ht="14.25" customHeight="1" s="60">
      <c r="A19" s="41">
        <f>IF($B19="","",ROW()-4)</f>
        <v/>
      </c>
      <c r="D19" s="39">
        <f>IF($B19="","",Consolidado!$E19)</f>
        <v/>
      </c>
      <c r="E19" s="41">
        <f>IF($B19="","",Consolidado!$J19)</f>
        <v/>
      </c>
      <c r="G19" s="40" t="n"/>
      <c r="H19" s="41" t="n"/>
      <c r="I19" s="35" t="n"/>
      <c r="J19" s="35" t="n"/>
      <c r="K19" s="35" t="n"/>
      <c r="L19" s="30" t="n"/>
      <c r="M19" s="35" t="n"/>
    </row>
    <row r="20" ht="14.25" customHeight="1" s="60">
      <c r="A20" s="41">
        <f>IF($B20="","",ROW()-4)</f>
        <v/>
      </c>
      <c r="D20" s="39">
        <f>IF($B20="","",Consolidado!$E20)</f>
        <v/>
      </c>
      <c r="E20" s="41">
        <f>IF($B20="","",Consolidado!$J20)</f>
        <v/>
      </c>
      <c r="G20" s="40" t="n"/>
      <c r="H20" s="41" t="n"/>
      <c r="I20" s="35" t="n"/>
      <c r="J20" s="35" t="n"/>
      <c r="K20" s="35" t="n"/>
      <c r="L20" s="30" t="n"/>
      <c r="M20" s="35" t="n"/>
    </row>
    <row r="21" ht="14.25" customHeight="1" s="60">
      <c r="A21" s="41">
        <f>IF($B21="","",ROW()-4)</f>
        <v/>
      </c>
      <c r="D21" s="39">
        <f>IF($B21="","",Consolidado!$E21)</f>
        <v/>
      </c>
      <c r="E21" s="41">
        <f>IF($B21="","",Consolidado!$J21)</f>
        <v/>
      </c>
      <c r="G21" s="40" t="n"/>
      <c r="H21" s="41" t="n"/>
      <c r="I21" s="35" t="n"/>
      <c r="J21" s="35" t="n"/>
      <c r="K21" s="35" t="n"/>
      <c r="L21" s="30" t="n"/>
      <c r="M21" s="35" t="n"/>
    </row>
    <row r="22" ht="14.25" customHeight="1" s="60">
      <c r="A22" s="41">
        <f>IF($B22="","",ROW()-4)</f>
        <v/>
      </c>
      <c r="D22" s="39">
        <f>IF($B22="","",Consolidado!$E22)</f>
        <v/>
      </c>
      <c r="E22" s="41">
        <f>IF($B22="","",Consolidado!$J22)</f>
        <v/>
      </c>
      <c r="G22" s="40" t="n"/>
      <c r="H22" s="41" t="n"/>
      <c r="I22" s="35" t="n"/>
      <c r="J22" s="35" t="n"/>
      <c r="K22" s="35" t="n"/>
      <c r="L22" s="30" t="n"/>
      <c r="M22" s="35" t="n"/>
    </row>
    <row r="23" ht="14.25" customHeight="1" s="60">
      <c r="A23" s="41">
        <f>IF($B23="","",ROW()-4)</f>
        <v/>
      </c>
      <c r="D23" s="39">
        <f>IF($B23="","",Consolidado!$E23)</f>
        <v/>
      </c>
      <c r="E23" s="41">
        <f>IF($B23="","",Consolidado!$J23)</f>
        <v/>
      </c>
      <c r="G23" s="40" t="n"/>
      <c r="H23" s="41" t="n"/>
      <c r="I23" s="35" t="n"/>
      <c r="J23" s="35" t="n"/>
      <c r="K23" s="35" t="n"/>
      <c r="L23" s="30" t="n"/>
      <c r="M23" s="35" t="n"/>
    </row>
    <row r="24" ht="14.25" customHeight="1" s="60">
      <c r="A24" s="41">
        <f>IF($B24="","",ROW()-4)</f>
        <v/>
      </c>
      <c r="D24" s="39">
        <f>IF($B24="","",Consolidado!$E24)</f>
        <v/>
      </c>
      <c r="E24" s="41">
        <f>IF($B24="","",Consolidado!$J24)</f>
        <v/>
      </c>
      <c r="G24" s="40" t="n"/>
      <c r="H24" s="41" t="n"/>
      <c r="I24" s="35" t="n"/>
      <c r="J24" s="35" t="n"/>
      <c r="K24" s="35" t="n"/>
      <c r="L24" s="30" t="n"/>
      <c r="M24" s="35" t="n"/>
    </row>
    <row r="25" ht="14.25" customHeight="1" s="60">
      <c r="A25" s="41">
        <f>IF($B25="","",ROW()-4)</f>
        <v/>
      </c>
      <c r="D25" s="39">
        <f>IF($B25="","",Consolidado!$E25)</f>
        <v/>
      </c>
      <c r="E25" s="41">
        <f>IF($B25="","",Consolidado!$J25)</f>
        <v/>
      </c>
      <c r="G25" s="40" t="n"/>
      <c r="H25" s="41" t="n"/>
      <c r="I25" s="35" t="n"/>
      <c r="J25" s="35" t="n"/>
      <c r="K25" s="35" t="n"/>
      <c r="L25" s="30" t="n"/>
      <c r="M25" s="35" t="n"/>
    </row>
    <row r="26" ht="14.25" customHeight="1" s="60">
      <c r="A26" s="41">
        <f>IF($B26="","",ROW()-4)</f>
        <v/>
      </c>
      <c r="B26" s="30">
        <f>IF(Consolidado!$B26="","",Consolidado!$B26)</f>
        <v/>
      </c>
      <c r="C26" s="39" t="n"/>
      <c r="D26" s="39">
        <f>IF($B26="","",Consolidado!$E26)</f>
        <v/>
      </c>
      <c r="E26" s="41">
        <f>IF($B26="","",Consolidado!$J26)</f>
        <v/>
      </c>
      <c r="G26" s="40" t="n"/>
      <c r="H26" s="41" t="n"/>
      <c r="I26" s="35" t="n"/>
      <c r="J26" s="35" t="n"/>
      <c r="K26" s="35" t="n"/>
      <c r="L26" s="30" t="n"/>
      <c r="M26" s="35" t="n"/>
    </row>
    <row r="27" ht="14.25" customHeight="1" s="60">
      <c r="A27" s="41">
        <f>IF($B27="","",ROW()-4)</f>
        <v/>
      </c>
      <c r="B27" s="30">
        <f>IF(Consolidado!$B27="","",Consolidado!$B27)</f>
        <v/>
      </c>
      <c r="C27" s="39" t="n"/>
      <c r="D27" s="39">
        <f>IF($B27="","",Consolidado!$E27)</f>
        <v/>
      </c>
      <c r="E27" s="41">
        <f>IF($B27="","",Consolidado!$J27)</f>
        <v/>
      </c>
      <c r="G27" s="40" t="n"/>
      <c r="H27" s="41" t="n"/>
      <c r="I27" s="35" t="n"/>
      <c r="J27" s="35" t="n"/>
      <c r="K27" s="35" t="n"/>
      <c r="L27" s="30" t="n"/>
      <c r="M27" s="35" t="n"/>
    </row>
    <row r="28" ht="14.25" customHeight="1" s="60">
      <c r="A28" s="41">
        <f>IF($B28="","",ROW()-4)</f>
        <v/>
      </c>
      <c r="B28" s="30">
        <f>IF(Consolidado!$B28="","",Consolidado!$B28)</f>
        <v/>
      </c>
      <c r="C28" s="39" t="n"/>
      <c r="D28" s="39">
        <f>IF($B28="","",Consolidado!$E28)</f>
        <v/>
      </c>
      <c r="E28" s="41">
        <f>IF($B28="","",Consolidado!$J28)</f>
        <v/>
      </c>
      <c r="G28" s="40" t="n"/>
      <c r="H28" s="41" t="n"/>
      <c r="I28" s="35" t="n"/>
      <c r="J28" s="35" t="n"/>
      <c r="K28" s="35" t="n"/>
      <c r="L28" s="30" t="n"/>
      <c r="M28" s="35" t="n"/>
    </row>
    <row r="29" ht="14.25" customHeight="1" s="60">
      <c r="A29" s="41">
        <f>IF($B29="","",ROW()-4)</f>
        <v/>
      </c>
      <c r="B29" s="30">
        <f>IF(Consolidado!$B29="","",Consolidado!$B29)</f>
        <v/>
      </c>
      <c r="C29" s="39" t="n"/>
      <c r="D29" s="39">
        <f>IF($B29="","",Consolidado!$E29)</f>
        <v/>
      </c>
      <c r="E29" s="41">
        <f>IF($B29="","",Consolidado!$J29)</f>
        <v/>
      </c>
      <c r="G29" s="40" t="n"/>
      <c r="H29" s="41" t="n"/>
      <c r="I29" s="35" t="n"/>
      <c r="J29" s="35" t="n"/>
      <c r="K29" s="35" t="n"/>
      <c r="L29" s="30" t="n"/>
      <c r="M29" s="35" t="n"/>
    </row>
    <row r="30" ht="14.25" customHeight="1" s="60">
      <c r="A30" s="41">
        <f>IF($B30="","",ROW()-4)</f>
        <v/>
      </c>
      <c r="B30" s="30">
        <f>IF(Consolidado!$B30="","",Consolidado!$B30)</f>
        <v/>
      </c>
      <c r="C30" s="39" t="n"/>
      <c r="D30" s="39">
        <f>IF($B30="","",Consolidado!$E30)</f>
        <v/>
      </c>
      <c r="E30" s="41">
        <f>IF($B30="","",Consolidado!$J30)</f>
        <v/>
      </c>
      <c r="G30" s="40" t="n"/>
      <c r="H30" s="41" t="n"/>
      <c r="I30" s="35" t="n"/>
      <c r="J30" s="35" t="n"/>
      <c r="K30" s="35" t="n"/>
      <c r="L30" s="30" t="n"/>
      <c r="M30" s="35" t="n"/>
    </row>
    <row r="31" ht="14.25" customHeight="1" s="60">
      <c r="A31" s="41">
        <f>IF($B31="","",ROW()-4)</f>
        <v/>
      </c>
      <c r="B31" s="30">
        <f>IF(Consolidado!$B31="","",Consolidado!$B31)</f>
        <v/>
      </c>
      <c r="C31" s="39" t="n"/>
      <c r="D31" s="39">
        <f>IF($B31="","",Consolidado!$E31)</f>
        <v/>
      </c>
      <c r="E31" s="41">
        <f>IF($B31="","",Consolidado!$J31)</f>
        <v/>
      </c>
      <c r="G31" s="40" t="n"/>
      <c r="H31" s="41" t="n"/>
      <c r="I31" s="35" t="n"/>
      <c r="J31" s="35" t="n"/>
      <c r="K31" s="35" t="n"/>
      <c r="L31" s="30" t="n"/>
      <c r="M31" s="35" t="n"/>
    </row>
    <row r="32" ht="14.25" customHeight="1" s="60">
      <c r="A32" s="41">
        <f>IF($B32="","",ROW()-4)</f>
        <v/>
      </c>
      <c r="B32" s="30">
        <f>IF(Consolidado!$B32="","",Consolidado!$B32)</f>
        <v/>
      </c>
      <c r="C32" s="39" t="n"/>
      <c r="D32" s="39">
        <f>IF($B32="","",Consolidado!$E32)</f>
        <v/>
      </c>
      <c r="E32" s="41">
        <f>IF($B32="","",Consolidado!$J32)</f>
        <v/>
      </c>
      <c r="G32" s="40" t="n"/>
      <c r="H32" s="41" t="n"/>
      <c r="I32" s="35" t="n"/>
      <c r="J32" s="35" t="n"/>
      <c r="K32" s="35" t="n"/>
      <c r="L32" s="30" t="n"/>
      <c r="M32" s="35" t="n"/>
    </row>
    <row r="33" ht="14.25" customHeight="1" s="60">
      <c r="A33" s="41">
        <f>IF($B33="","",ROW()-4)</f>
        <v/>
      </c>
      <c r="B33" s="30">
        <f>IF(Consolidado!$B33="","",Consolidado!$B33)</f>
        <v/>
      </c>
      <c r="C33" s="39" t="n"/>
      <c r="D33" s="39">
        <f>IF($B33="","",Consolidado!$E33)</f>
        <v/>
      </c>
      <c r="E33" s="41">
        <f>IF($B33="","",Consolidado!$J33)</f>
        <v/>
      </c>
      <c r="G33" s="40" t="n"/>
      <c r="H33" s="41" t="n"/>
      <c r="I33" s="35" t="n"/>
      <c r="J33" s="35" t="n"/>
      <c r="K33" s="35" t="n"/>
      <c r="L33" s="30" t="n"/>
      <c r="M33" s="35" t="n"/>
    </row>
    <row r="34" ht="14.25" customHeight="1" s="60">
      <c r="A34" s="41">
        <f>IF($B34="","",ROW()-4)</f>
        <v/>
      </c>
      <c r="B34" s="30">
        <f>IF(Consolidado!$B34="","",Consolidado!$B34)</f>
        <v/>
      </c>
      <c r="C34" s="39" t="n"/>
      <c r="D34" s="39">
        <f>IF($B34="","",Consolidado!$E34)</f>
        <v/>
      </c>
      <c r="E34" s="41">
        <f>IF($B34="","",Consolidado!$J34)</f>
        <v/>
      </c>
      <c r="G34" s="40" t="n"/>
      <c r="H34" s="41" t="n"/>
      <c r="I34" s="35" t="n"/>
      <c r="J34" s="35" t="n"/>
      <c r="K34" s="35" t="n"/>
      <c r="L34" s="30" t="n"/>
      <c r="M34" s="35" t="n"/>
    </row>
    <row r="35" ht="14.25" customHeight="1" s="60">
      <c r="A35" s="41">
        <f>IF($B35="","",ROW()-4)</f>
        <v/>
      </c>
      <c r="B35" s="30">
        <f>IF(Consolidado!$B35="","",Consolidado!$B35)</f>
        <v/>
      </c>
      <c r="C35" s="39" t="n"/>
      <c r="D35" s="39">
        <f>IF($B35="","",Consolidado!$E35)</f>
        <v/>
      </c>
      <c r="E35" s="41">
        <f>IF($B35="","",Consolidado!$J35)</f>
        <v/>
      </c>
      <c r="G35" s="40" t="n"/>
      <c r="H35" s="41" t="n"/>
      <c r="I35" s="35" t="n"/>
      <c r="J35" s="35" t="n"/>
      <c r="K35" s="35" t="n"/>
      <c r="L35" s="30" t="n"/>
      <c r="M35" s="35" t="n"/>
    </row>
    <row r="36" ht="14.25" customHeight="1" s="60">
      <c r="A36" s="41">
        <f>IF($B36="","",ROW()-4)</f>
        <v/>
      </c>
      <c r="B36" s="30">
        <f>IF(Consolidado!$B36="","",Consolidado!$B36)</f>
        <v/>
      </c>
      <c r="C36" s="39" t="n"/>
      <c r="D36" s="39">
        <f>IF($B36="","",Consolidado!$E36)</f>
        <v/>
      </c>
      <c r="E36" s="41">
        <f>IF($B36="","",Consolidado!$J36)</f>
        <v/>
      </c>
      <c r="G36" s="40" t="n"/>
      <c r="H36" s="41" t="n"/>
      <c r="I36" s="35" t="n"/>
      <c r="J36" s="35" t="n"/>
      <c r="K36" s="35" t="n"/>
      <c r="L36" s="30" t="n"/>
      <c r="M36" s="35" t="n"/>
    </row>
    <row r="37" ht="14.25" customHeight="1" s="60">
      <c r="A37" s="41">
        <f>IF($B37="","",ROW()-4)</f>
        <v/>
      </c>
      <c r="B37" s="30">
        <f>IF(Consolidado!$B37="","",Consolidado!$B37)</f>
        <v/>
      </c>
      <c r="C37" s="39" t="n"/>
      <c r="D37" s="39">
        <f>IF($B37="","",Consolidado!$E37)</f>
        <v/>
      </c>
      <c r="E37" s="41">
        <f>IF($B37="","",Consolidado!$J37)</f>
        <v/>
      </c>
      <c r="G37" s="40" t="n"/>
      <c r="H37" s="41" t="n"/>
      <c r="I37" s="35" t="n"/>
      <c r="J37" s="35" t="n"/>
      <c r="K37" s="35" t="n"/>
      <c r="L37" s="30" t="n"/>
      <c r="M37" s="35" t="n"/>
    </row>
    <row r="38" ht="14.25" customHeight="1" s="60">
      <c r="A38" s="41">
        <f>IF($B38="","",ROW()-4)</f>
        <v/>
      </c>
      <c r="B38" s="30">
        <f>IF(Consolidado!$B38="","",Consolidado!$B38)</f>
        <v/>
      </c>
      <c r="C38" s="39" t="n"/>
      <c r="D38" s="39">
        <f>IF($B38="","",Consolidado!$E38)</f>
        <v/>
      </c>
      <c r="E38" s="41">
        <f>IF($B38="","",Consolidado!$J38)</f>
        <v/>
      </c>
      <c r="G38" s="40" t="n"/>
      <c r="H38" s="41" t="n"/>
      <c r="I38" s="35" t="n"/>
      <c r="J38" s="35" t="n"/>
      <c r="K38" s="35" t="n"/>
      <c r="L38" s="30" t="n"/>
      <c r="M38" s="35" t="n"/>
    </row>
    <row r="39" ht="14.25" customHeight="1" s="60">
      <c r="A39" s="41">
        <f>IF($B39="","",ROW()-4)</f>
        <v/>
      </c>
      <c r="B39" s="30">
        <f>IF(Consolidado!$B39="","",Consolidado!$B39)</f>
        <v/>
      </c>
      <c r="C39" s="39" t="n"/>
      <c r="D39" s="39">
        <f>IF($B39="","",Consolidado!$E39)</f>
        <v/>
      </c>
      <c r="E39" s="41">
        <f>IF($B39="","",Consolidado!$J39)</f>
        <v/>
      </c>
      <c r="G39" s="40" t="n"/>
      <c r="H39" s="41" t="n"/>
      <c r="I39" s="35" t="n"/>
      <c r="J39" s="35" t="n"/>
      <c r="K39" s="35" t="n"/>
      <c r="L39" s="30" t="n"/>
      <c r="M39" s="35" t="n"/>
    </row>
    <row r="40" ht="14.25" customHeight="1" s="60">
      <c r="A40" s="41">
        <f>IF($B40="","",ROW()-4)</f>
        <v/>
      </c>
      <c r="B40" s="30">
        <f>IF(Consolidado!$B40="","",Consolidado!$B40)</f>
        <v/>
      </c>
      <c r="C40" s="39" t="n"/>
      <c r="D40" s="39">
        <f>IF($B40="","",Consolidado!$E40)</f>
        <v/>
      </c>
      <c r="E40" s="41">
        <f>IF($B40="","",Consolidado!$J40)</f>
        <v/>
      </c>
      <c r="G40" s="40" t="n"/>
      <c r="H40" s="41" t="n"/>
      <c r="I40" s="35" t="n"/>
      <c r="J40" s="35" t="n"/>
      <c r="K40" s="35" t="n"/>
      <c r="L40" s="30" t="n"/>
      <c r="M40" s="35" t="n"/>
    </row>
    <row r="41" ht="14.25" customHeight="1" s="60">
      <c r="A41" s="41">
        <f>IF($B41="","",ROW()-4)</f>
        <v/>
      </c>
      <c r="B41" s="30">
        <f>IF(Consolidado!$B41="","",Consolidado!$B41)</f>
        <v/>
      </c>
      <c r="C41" s="39" t="n"/>
      <c r="D41" s="39">
        <f>IF($B41="","",Consolidado!$E41)</f>
        <v/>
      </c>
      <c r="E41" s="41">
        <f>IF($B41="","",Consolidado!$J41)</f>
        <v/>
      </c>
      <c r="G41" s="40" t="n"/>
      <c r="H41" s="41" t="n"/>
      <c r="I41" s="35" t="n"/>
      <c r="J41" s="35" t="n"/>
      <c r="K41" s="35" t="n"/>
      <c r="L41" s="30" t="n"/>
      <c r="M41" s="35" t="n"/>
    </row>
    <row r="42" ht="14.25" customHeight="1" s="60">
      <c r="A42" s="41">
        <f>IF($B42="","",ROW()-4)</f>
        <v/>
      </c>
      <c r="B42" s="30">
        <f>IF(Consolidado!$B42="","",Consolidado!$B42)</f>
        <v/>
      </c>
      <c r="C42" s="39" t="n"/>
      <c r="D42" s="39">
        <f>IF($B42="","",Consolidado!$E42)</f>
        <v/>
      </c>
      <c r="E42" s="41">
        <f>IF($B42="","",Consolidado!$J42)</f>
        <v/>
      </c>
      <c r="G42" s="40" t="n"/>
      <c r="H42" s="41" t="n"/>
      <c r="I42" s="35" t="n"/>
      <c r="J42" s="35" t="n"/>
      <c r="K42" s="35" t="n"/>
      <c r="L42" s="30" t="n"/>
      <c r="M42" s="35" t="n"/>
    </row>
    <row r="43" ht="14.25" customHeight="1" s="60">
      <c r="A43" s="41">
        <f>IF($B43="","",ROW()-4)</f>
        <v/>
      </c>
      <c r="B43" s="30">
        <f>IF(Consolidado!$B43="","",Consolidado!$B43)</f>
        <v/>
      </c>
      <c r="C43" s="39" t="n"/>
      <c r="D43" s="39">
        <f>IF($B43="","",Consolidado!$E43)</f>
        <v/>
      </c>
      <c r="E43" s="41">
        <f>IF($B43="","",Consolidado!$J43)</f>
        <v/>
      </c>
      <c r="G43" s="40" t="n"/>
      <c r="H43" s="41" t="n"/>
      <c r="I43" s="35" t="n"/>
      <c r="J43" s="35" t="n"/>
      <c r="K43" s="35" t="n"/>
      <c r="L43" s="30" t="n"/>
      <c r="M43" s="35" t="n"/>
    </row>
    <row r="44" ht="14.25" customHeight="1" s="60">
      <c r="A44" s="41">
        <f>IF($B44="","",ROW()-4)</f>
        <v/>
      </c>
      <c r="B44" s="30">
        <f>IF(Consolidado!$B44="","",Consolidado!$B44)</f>
        <v/>
      </c>
      <c r="C44" s="39" t="n"/>
      <c r="D44" s="39">
        <f>IF($B44="","",Consolidado!$E44)</f>
        <v/>
      </c>
      <c r="E44" s="41">
        <f>IF($B44="","",Consolidado!$J44)</f>
        <v/>
      </c>
      <c r="G44" s="40" t="n"/>
      <c r="H44" s="41" t="n"/>
      <c r="I44" s="35" t="n"/>
      <c r="J44" s="35" t="n"/>
      <c r="K44" s="35" t="n"/>
      <c r="L44" s="30" t="n"/>
      <c r="M44" s="35" t="n"/>
    </row>
    <row r="45" ht="14.25" customHeight="1" s="60">
      <c r="A45" s="41">
        <f>IF($B45="","",ROW()-4)</f>
        <v/>
      </c>
      <c r="B45" s="30">
        <f>IF(Consolidado!$B45="","",Consolidado!$B45)</f>
        <v/>
      </c>
      <c r="C45" s="39" t="n"/>
      <c r="D45" s="39">
        <f>IF($B45="","",Consolidado!$E45)</f>
        <v/>
      </c>
      <c r="E45" s="41">
        <f>IF($B45="","",Consolidado!$J45)</f>
        <v/>
      </c>
      <c r="G45" s="40" t="n"/>
      <c r="H45" s="41" t="n"/>
      <c r="I45" s="35" t="n"/>
      <c r="J45" s="35" t="n"/>
      <c r="K45" s="35" t="n"/>
      <c r="L45" s="30" t="n"/>
      <c r="M45" s="35" t="n"/>
    </row>
    <row r="46" ht="14.25" customHeight="1" s="60">
      <c r="A46" s="41">
        <f>IF($B46="","",ROW()-4)</f>
        <v/>
      </c>
      <c r="B46" s="30">
        <f>IF(Consolidado!$B46="","",Consolidado!$B46)</f>
        <v/>
      </c>
      <c r="C46" s="39" t="n"/>
      <c r="D46" s="39">
        <f>IF($B46="","",Consolidado!$E46)</f>
        <v/>
      </c>
      <c r="E46" s="41">
        <f>IF($B46="","",Consolidado!$J46)</f>
        <v/>
      </c>
      <c r="G46" s="40" t="n"/>
      <c r="H46" s="41" t="n"/>
      <c r="I46" s="35" t="n"/>
      <c r="J46" s="35" t="n"/>
      <c r="K46" s="35" t="n"/>
      <c r="L46" s="30" t="n"/>
      <c r="M46" s="35" t="n"/>
    </row>
    <row r="47" ht="14.25" customHeight="1" s="60">
      <c r="A47" s="41">
        <f>IF($B47="","",ROW()-4)</f>
        <v/>
      </c>
      <c r="B47" s="30">
        <f>IF(Consolidado!$B47="","",Consolidado!$B47)</f>
        <v/>
      </c>
      <c r="C47" s="39" t="n"/>
      <c r="D47" s="39">
        <f>IF($B47="","",Consolidado!$E47)</f>
        <v/>
      </c>
      <c r="E47" s="41">
        <f>IF($B47="","",Consolidado!$J47)</f>
        <v/>
      </c>
      <c r="G47" s="40" t="n"/>
      <c r="H47" s="41" t="n"/>
      <c r="I47" s="35" t="n"/>
      <c r="J47" s="35" t="n"/>
      <c r="K47" s="35" t="n"/>
      <c r="L47" s="30" t="n"/>
      <c r="M47" s="35" t="n"/>
    </row>
    <row r="48" ht="14.25" customHeight="1" s="60">
      <c r="A48" s="41">
        <f>IF($B48="","",ROW()-4)</f>
        <v/>
      </c>
      <c r="B48" s="30">
        <f>IF(Consolidado!$B48="","",Consolidado!$B48)</f>
        <v/>
      </c>
      <c r="C48" s="39" t="n"/>
      <c r="D48" s="39">
        <f>IF($B48="","",Consolidado!$E48)</f>
        <v/>
      </c>
      <c r="E48" s="41">
        <f>IF($B48="","",Consolidado!$J48)</f>
        <v/>
      </c>
      <c r="G48" s="40" t="n"/>
      <c r="H48" s="41" t="n"/>
      <c r="I48" s="35" t="n"/>
      <c r="J48" s="35" t="n"/>
      <c r="K48" s="35" t="n"/>
      <c r="L48" s="30" t="n"/>
      <c r="M48" s="35" t="n"/>
    </row>
    <row r="49" ht="14.25" customHeight="1" s="60">
      <c r="A49" s="41">
        <f>IF($B49="","",ROW()-4)</f>
        <v/>
      </c>
      <c r="B49" s="30">
        <f>IF(Consolidado!$B49="","",Consolidado!$B49)</f>
        <v/>
      </c>
      <c r="C49" s="39" t="n"/>
      <c r="D49" s="39">
        <f>IF($B49="","",Consolidado!$E49)</f>
        <v/>
      </c>
      <c r="E49" s="41">
        <f>IF($B49="","",Consolidado!$J49)</f>
        <v/>
      </c>
      <c r="G49" s="40" t="n"/>
      <c r="H49" s="41" t="n"/>
      <c r="I49" s="35" t="n"/>
      <c r="J49" s="35" t="n"/>
      <c r="K49" s="35" t="n"/>
      <c r="L49" s="30" t="n"/>
      <c r="M49" s="35" t="n"/>
    </row>
    <row r="50" ht="14.25" customHeight="1" s="60">
      <c r="A50" s="41">
        <f>IF($B50="","",ROW()-4)</f>
        <v/>
      </c>
      <c r="B50" s="30">
        <f>IF(Consolidado!$B50="","",Consolidado!$B50)</f>
        <v/>
      </c>
      <c r="C50" s="39" t="n"/>
      <c r="D50" s="39">
        <f>IF($B50="","",Consolidado!$E50)</f>
        <v/>
      </c>
      <c r="E50" s="41">
        <f>IF($B50="","",Consolidado!$J50)</f>
        <v/>
      </c>
      <c r="G50" s="40" t="n"/>
      <c r="H50" s="41" t="n"/>
      <c r="I50" s="35" t="n"/>
      <c r="J50" s="35" t="n"/>
      <c r="K50" s="35" t="n"/>
      <c r="L50" s="30" t="n"/>
      <c r="M50" s="35" t="n"/>
    </row>
    <row r="51" ht="14.25" customHeight="1" s="60">
      <c r="A51" s="41">
        <f>IF($B51="","",ROW()-4)</f>
        <v/>
      </c>
      <c r="B51" s="30">
        <f>IF(Consolidado!$B51="","",Consolidado!$B51)</f>
        <v/>
      </c>
      <c r="C51" s="39" t="n"/>
      <c r="D51" s="39">
        <f>IF($B51="","",Consolidado!$E51)</f>
        <v/>
      </c>
      <c r="E51" s="41">
        <f>IF($B51="","",Consolidado!$J51)</f>
        <v/>
      </c>
      <c r="G51" s="40" t="n"/>
      <c r="H51" s="41" t="n"/>
      <c r="I51" s="35" t="n"/>
      <c r="J51" s="35" t="n"/>
      <c r="K51" s="35" t="n"/>
      <c r="L51" s="30" t="n"/>
      <c r="M51" s="35" t="n"/>
    </row>
    <row r="52" ht="14.25" customHeight="1" s="60">
      <c r="A52" s="41">
        <f>IF($B52="","",ROW()-4)</f>
        <v/>
      </c>
      <c r="B52" s="30">
        <f>IF(Consolidado!$B52="","",Consolidado!$B52)</f>
        <v/>
      </c>
      <c r="C52" s="39" t="n"/>
      <c r="D52" s="39">
        <f>IF($B52="","",Consolidado!$E52)</f>
        <v/>
      </c>
      <c r="E52" s="41">
        <f>IF($B52="","",Consolidado!$J52)</f>
        <v/>
      </c>
      <c r="G52" s="40" t="n"/>
      <c r="H52" s="41" t="n"/>
      <c r="I52" s="35" t="n"/>
      <c r="J52" s="35" t="n"/>
      <c r="K52" s="35" t="n"/>
      <c r="L52" s="30" t="n"/>
      <c r="M52" s="35" t="n"/>
    </row>
    <row r="53" ht="14.25" customHeight="1" s="60">
      <c r="A53" s="41">
        <f>IF($B53="","",ROW()-4)</f>
        <v/>
      </c>
      <c r="B53" s="30">
        <f>IF(Consolidado!$B53="","",Consolidado!$B53)</f>
        <v/>
      </c>
      <c r="C53" s="39" t="n"/>
      <c r="D53" s="39">
        <f>IF($B53="","",Consolidado!$E53)</f>
        <v/>
      </c>
      <c r="E53" s="41">
        <f>IF($B53="","",Consolidado!$J53)</f>
        <v/>
      </c>
      <c r="G53" s="40" t="n"/>
      <c r="H53" s="41" t="n"/>
      <c r="I53" s="35" t="n"/>
      <c r="J53" s="35" t="n"/>
      <c r="K53" s="35" t="n"/>
      <c r="L53" s="30" t="n"/>
      <c r="M53" s="35" t="n"/>
    </row>
    <row r="54" ht="14.25" customHeight="1" s="60">
      <c r="A54" s="41">
        <f>IF($B54="","",ROW()-4)</f>
        <v/>
      </c>
      <c r="B54" s="30">
        <f>IF(Consolidado!$B54="","",Consolidado!$B54)</f>
        <v/>
      </c>
      <c r="C54" s="39" t="n"/>
      <c r="D54" s="39">
        <f>IF($B54="","",Consolidado!$E54)</f>
        <v/>
      </c>
      <c r="E54" s="41">
        <f>IF($B54="","",Consolidado!$J54)</f>
        <v/>
      </c>
      <c r="G54" s="40" t="n"/>
      <c r="H54" s="41" t="n"/>
      <c r="I54" s="35" t="n"/>
      <c r="J54" s="35" t="n"/>
      <c r="K54" s="35" t="n"/>
      <c r="L54" s="30" t="n"/>
      <c r="M54" s="35" t="n"/>
    </row>
    <row r="55" ht="14.25" customHeight="1" s="60">
      <c r="A55" s="41">
        <f>IF($B55="","",ROW()-4)</f>
        <v/>
      </c>
      <c r="B55" s="30">
        <f>IF(Consolidado!$B55="","",Consolidado!$B55)</f>
        <v/>
      </c>
      <c r="C55" s="39" t="n"/>
      <c r="D55" s="39">
        <f>IF($B55="","",Consolidado!$E55)</f>
        <v/>
      </c>
      <c r="E55" s="41">
        <f>IF($B55="","",Consolidado!$J55)</f>
        <v/>
      </c>
      <c r="G55" s="40" t="n"/>
      <c r="H55" s="41" t="n"/>
      <c r="I55" s="35" t="n"/>
      <c r="J55" s="35" t="n"/>
      <c r="K55" s="35" t="n"/>
      <c r="L55" s="30" t="n"/>
      <c r="M55" s="35" t="n"/>
    </row>
    <row r="56" ht="14.25" customHeight="1" s="60">
      <c r="A56" s="41">
        <f>IF($B56="","",ROW()-4)</f>
        <v/>
      </c>
      <c r="B56" s="30">
        <f>IF(Consolidado!$B56="","",Consolidado!$B56)</f>
        <v/>
      </c>
      <c r="C56" s="39" t="n"/>
      <c r="D56" s="39">
        <f>IF($B56="","",Consolidado!$E56)</f>
        <v/>
      </c>
      <c r="E56" s="41">
        <f>IF($B56="","",Consolidado!$J56)</f>
        <v/>
      </c>
      <c r="G56" s="40" t="n"/>
      <c r="H56" s="41" t="n"/>
      <c r="I56" s="35" t="n"/>
      <c r="J56" s="35" t="n"/>
      <c r="K56" s="35" t="n"/>
      <c r="L56" s="30" t="n"/>
      <c r="M56" s="35" t="n"/>
    </row>
    <row r="57" ht="14.25" customHeight="1" s="60">
      <c r="A57" s="41">
        <f>IF($B57="","",ROW()-4)</f>
        <v/>
      </c>
      <c r="B57" s="30">
        <f>IF(Consolidado!$B57="","",Consolidado!$B57)</f>
        <v/>
      </c>
      <c r="C57" s="39" t="n"/>
      <c r="D57" s="39">
        <f>IF($B57="","",Consolidado!$E57)</f>
        <v/>
      </c>
      <c r="E57" s="41">
        <f>IF($B57="","",Consolidado!$J57)</f>
        <v/>
      </c>
      <c r="G57" s="40" t="n"/>
      <c r="H57" s="41" t="n"/>
      <c r="I57" s="35" t="n"/>
      <c r="J57" s="35" t="n"/>
      <c r="K57" s="35" t="n"/>
      <c r="L57" s="30" t="n"/>
      <c r="M57" s="35" t="n"/>
    </row>
    <row r="58" ht="14.25" customHeight="1" s="60">
      <c r="A58" s="41">
        <f>IF($B58="","",ROW()-4)</f>
        <v/>
      </c>
      <c r="B58" s="30">
        <f>IF(Consolidado!$B58="","",Consolidado!$B58)</f>
        <v/>
      </c>
      <c r="C58" s="39" t="n"/>
      <c r="D58" s="39">
        <f>IF($B58="","",Consolidado!$E58)</f>
        <v/>
      </c>
      <c r="E58" s="41">
        <f>IF($B58="","",Consolidado!$J58)</f>
        <v/>
      </c>
      <c r="G58" s="40" t="n"/>
      <c r="H58" s="41" t="n"/>
      <c r="I58" s="35" t="n"/>
      <c r="J58" s="35" t="n"/>
      <c r="K58" s="35" t="n"/>
      <c r="L58" s="30" t="n"/>
      <c r="M58" s="35" t="n"/>
    </row>
    <row r="59" ht="14.25" customHeight="1" s="60">
      <c r="A59" s="41">
        <f>IF($B59="","",ROW()-4)</f>
        <v/>
      </c>
      <c r="B59" s="30">
        <f>IF(Consolidado!$B59="","",Consolidado!$B59)</f>
        <v/>
      </c>
      <c r="C59" s="39" t="n"/>
      <c r="D59" s="39">
        <f>IF($B59="","",Consolidado!$E59)</f>
        <v/>
      </c>
      <c r="E59" s="41">
        <f>IF($B59="","",Consolidado!$J59)</f>
        <v/>
      </c>
      <c r="G59" s="40" t="n"/>
      <c r="H59" s="41" t="n"/>
      <c r="I59" s="35" t="n"/>
      <c r="J59" s="35" t="n"/>
      <c r="K59" s="35" t="n"/>
      <c r="L59" s="30" t="n"/>
      <c r="M59" s="35" t="n"/>
    </row>
    <row r="60" ht="14.25" customHeight="1" s="60">
      <c r="A60" s="41">
        <f>IF($B60="","",ROW()-4)</f>
        <v/>
      </c>
      <c r="B60" s="30">
        <f>IF(Consolidado!$B60="","",Consolidado!$B60)</f>
        <v/>
      </c>
      <c r="C60" s="39" t="n"/>
      <c r="D60" s="39">
        <f>IF($B60="","",Consolidado!$E60)</f>
        <v/>
      </c>
      <c r="E60" s="41">
        <f>IF($B60="","",Consolidado!$J60)</f>
        <v/>
      </c>
      <c r="G60" s="40" t="n"/>
      <c r="H60" s="41" t="n"/>
      <c r="I60" s="35" t="n"/>
      <c r="J60" s="35" t="n"/>
      <c r="K60" s="35" t="n"/>
      <c r="L60" s="30" t="n"/>
      <c r="M60" s="35" t="n"/>
    </row>
    <row r="61" ht="14.25" customHeight="1" s="60">
      <c r="A61" s="41">
        <f>IF($B61="","",ROW()-4)</f>
        <v/>
      </c>
      <c r="B61" s="30">
        <f>IF(Consolidado!$B61="","",Consolidado!$B61)</f>
        <v/>
      </c>
      <c r="C61" s="39" t="n"/>
      <c r="D61" s="39">
        <f>IF($B61="","",Consolidado!$E61)</f>
        <v/>
      </c>
      <c r="E61" s="41">
        <f>IF($B61="","",Consolidado!$J61)</f>
        <v/>
      </c>
      <c r="G61" s="40" t="n"/>
      <c r="H61" s="41" t="n"/>
      <c r="I61" s="35" t="n"/>
      <c r="J61" s="35" t="n"/>
      <c r="K61" s="35" t="n"/>
      <c r="L61" s="30" t="n"/>
      <c r="M61" s="35" t="n"/>
    </row>
    <row r="62" ht="14.25" customHeight="1" s="60">
      <c r="A62" s="41">
        <f>IF($B62="","",ROW()-4)</f>
        <v/>
      </c>
      <c r="B62" s="30">
        <f>IF(Consolidado!$B62="","",Consolidado!$B62)</f>
        <v/>
      </c>
      <c r="C62" s="39" t="n"/>
      <c r="D62" s="39">
        <f>IF($B62="","",Consolidado!$E62)</f>
        <v/>
      </c>
      <c r="E62" s="41">
        <f>IF($B62="","",Consolidado!$J62)</f>
        <v/>
      </c>
      <c r="G62" s="40" t="n"/>
      <c r="H62" s="41" t="n"/>
      <c r="I62" s="35" t="n"/>
      <c r="J62" s="35" t="n"/>
      <c r="K62" s="35" t="n"/>
      <c r="L62" s="30" t="n"/>
      <c r="M62" s="35" t="n"/>
    </row>
    <row r="63" ht="14.25" customHeight="1" s="60">
      <c r="A63" s="41">
        <f>IF($B63="","",ROW()-4)</f>
        <v/>
      </c>
      <c r="B63" s="30">
        <f>IF(Consolidado!$B63="","",Consolidado!$B63)</f>
        <v/>
      </c>
      <c r="C63" s="39" t="n"/>
      <c r="D63" s="39">
        <f>IF($B63="","",Consolidado!$E63)</f>
        <v/>
      </c>
      <c r="E63" s="41">
        <f>IF($B63="","",Consolidado!$J63)</f>
        <v/>
      </c>
      <c r="G63" s="40" t="n"/>
      <c r="H63" s="41" t="n"/>
      <c r="I63" s="35" t="n"/>
      <c r="J63" s="35" t="n"/>
      <c r="K63" s="35" t="n"/>
      <c r="L63" s="30" t="n"/>
      <c r="M63" s="35" t="n"/>
    </row>
    <row r="64" ht="14.25" customHeight="1" s="60">
      <c r="A64" s="41">
        <f>IF($B64="","",ROW()-4)</f>
        <v/>
      </c>
      <c r="B64" s="30">
        <f>IF(Consolidado!$B64="","",Consolidado!$B64)</f>
        <v/>
      </c>
      <c r="C64" s="39" t="n"/>
      <c r="D64" s="39">
        <f>IF($B64="","",Consolidado!$E64)</f>
        <v/>
      </c>
      <c r="E64" s="41">
        <f>IF($B64="","",Consolidado!$J64)</f>
        <v/>
      </c>
      <c r="G64" s="40" t="n"/>
      <c r="H64" s="41" t="n"/>
      <c r="I64" s="35" t="n"/>
      <c r="J64" s="35" t="n"/>
      <c r="K64" s="35" t="n"/>
      <c r="L64" s="30" t="n"/>
      <c r="M64" s="35" t="n"/>
    </row>
    <row r="65" ht="14.25" customHeight="1" s="60"/>
    <row r="66" ht="14.25" customHeight="1" s="60"/>
    <row r="67" ht="24" customHeight="1" s="60">
      <c r="B67" s="59" t="inlineStr">
        <is>
          <t>COMO FAZER A CHECAGEM DE PROPRIEDADE: nos primeiros 10 minutos, peça que o candidato refaça UMA conta da própria entrega, ao vivo, com um parâmetro alterado (o combinado na aba Gabarito). Quem montou o modelo resolve em 3 minutos. Anote em H qual conta foi pedida.</t>
        </is>
      </c>
    </row>
    <row r="68" ht="24" customHeight="1" s="60">
      <c r="B68" s="59" t="inlineStr">
        <is>
          <t>Isso substitui tentar 'detectar IA' na entrega — que é injusto de errar e impossível de provar. Aqui não se acusa ninguém: ou defende o próprio trabalho, ou não defende.</t>
        </is>
      </c>
    </row>
    <row r="69" ht="24" customHeight="1" s="60">
      <c r="B69" s="59" t="inlineStr">
        <is>
          <t>A coluna Decisão volta sozinha para o Consolidado. Não digite a decisão nos dois lugares.</t>
        </is>
      </c>
    </row>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5">
    <mergeCell ref="B2:M2"/>
    <mergeCell ref="B3:M3"/>
    <mergeCell ref="B67:M67"/>
    <mergeCell ref="B68:M68"/>
    <mergeCell ref="B69:M69"/>
  </mergeCells>
  <conditionalFormatting sqref="H5:H64">
    <cfRule type="cellIs" priority="1" operator="equal" dxfId="2">
      <formula>"Não OK"</formula>
    </cfRule>
    <cfRule type="cellIs" priority="2" operator="equal" dxfId="0">
      <formula>"OK"</formula>
    </cfRule>
  </conditionalFormatting>
  <conditionalFormatting sqref="L5:L64">
    <cfRule type="cellIs" priority="3" operator="equal" dxfId="0">
      <formula>"Aprovado"</formula>
    </cfRule>
    <cfRule type="cellIs" priority="4" operator="equal" dxfId="1">
      <formula>"Reprovado"</formula>
    </cfRule>
  </conditionalFormatting>
  <dataValidations count="2">
    <dataValidation sqref="H5:H64" showDropDown="0" showInputMessage="1" showErrorMessage="1" allowBlank="1" prompt="Checagem de propriedade - OK = refez a conta ao vivo com o parâmetro alterado. Não OK = não conseguiu. Não OK é veto, independentemente da nota do case." type="list">
      <formula1>"OK,Não OK,Pendente"</formula1>
    </dataValidation>
    <dataValidation sqref="L5:L64" showDropDown="0" showInputMessage="0" showErrorMessage="0" allowBlank="1" type="list">
      <formula1>"Aprovado,Reprovado,Em análise"</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B2:F33"/>
  <sheetViews>
    <sheetView showGridLines="0" workbookViewId="0">
      <selection activeCell="A1" sqref="A1"/>
    </sheetView>
  </sheetViews>
  <sheetFormatPr baseColWidth="8" defaultColWidth="14.43" defaultRowHeight="15" customHeight="1"/>
  <cols>
    <col width="3" customWidth="1" style="60" min="1" max="1"/>
    <col width="8" customWidth="1" style="60" min="2" max="2"/>
    <col width="46" customWidth="1" style="60" min="3" max="3"/>
    <col width="18" customWidth="1" style="60" min="4" max="4"/>
    <col width="12" customWidth="1" style="60" min="5" max="5"/>
    <col width="54" customWidth="1" style="60" min="6" max="6"/>
    <col width="8.710000000000001" customWidth="1" style="60" min="7" max="26"/>
  </cols>
  <sheetData>
    <row r="1" ht="14.25" customHeight="1" s="60"/>
    <row r="2" ht="25.5" customHeight="1" s="60">
      <c r="B2" s="66" t="inlineStr">
        <is>
          <t>GABARITO E MONTAGEM DO CASE, preencher DEPOIS que o case do semestre existir.</t>
        </is>
      </c>
    </row>
    <row r="3" ht="14.25" customHeight="1" s="60"/>
    <row r="4" ht="43.5" customHeight="1" s="60">
      <c r="B4" s="65" t="inlineStr">
        <is>
          <t>Só o bloco de ACURÁCIA (A1,A6) depende do case. Comunicação, Raciocínio, Entrega e Vídeo já estão prontos e valem para qualquer case, a rubrica pode ser aprovada antes do case ficar pronto. Aqui você faz duas coisas: (1) confere se o case tem o que a rubrica precisa medir e (2) preenche os valores do gabarito.</t>
        </is>
      </c>
    </row>
    <row r="5" ht="14.25" customHeight="1" s="60"/>
    <row r="6" ht="14.25" customHeight="1" s="60">
      <c r="B6" s="62" t="inlineStr">
        <is>
          <t>PARTE 1, O QUE O CASE PRECISA TER (conferir ao montar)</t>
        </is>
      </c>
    </row>
    <row r="7" ht="14.25" customHeight="1" s="60">
      <c r="C7" s="24" t="inlineStr">
        <is>
          <t>O que o case precisa conter</t>
        </is>
      </c>
      <c r="D7" s="24" t="inlineStr">
        <is>
          <t>Alimenta</t>
        </is>
      </c>
      <c r="E7" s="24" t="inlineStr">
        <is>
          <t>Status</t>
        </is>
      </c>
      <c r="F7" s="24" t="inlineStr">
        <is>
          <t>Por quê / como fazer</t>
        </is>
      </c>
    </row>
    <row r="8" ht="39.75" customHeight="1" s="60">
      <c r="B8" s="51" t="inlineStr">
        <is>
          <t>☐</t>
        </is>
      </c>
      <c r="C8" s="43" t="inlineStr">
        <is>
          <t>Duas contas centrais com UMA resposta certa cada</t>
        </is>
      </c>
      <c r="D8" s="52" t="inlineStr">
        <is>
          <t>A1, A2</t>
        </is>
      </c>
      <c r="E8" s="45" t="inlineStr">
        <is>
          <t>OK</t>
        </is>
      </c>
      <c r="F8" s="69" t="inlineStr">
        <is>
          <t>O case tem duas contas centrais conferíveis: receita anual e custo anual por bairro/modelo, oito cenários no total.</t>
        </is>
      </c>
    </row>
    <row r="9" ht="39.75" customHeight="1" s="60">
      <c r="B9" s="51" t="inlineStr">
        <is>
          <t>☐</t>
        </is>
      </c>
      <c r="C9" s="43" t="inlineStr">
        <is>
          <t>DIFICULDADE CALIBRADA: acerto médio perto de 50% do teto</t>
        </is>
      </c>
      <c r="D9" s="52" t="inlineStr">
        <is>
          <t>A1, A2</t>
        </is>
      </c>
      <c r="E9" s="45" t="inlineStr">
        <is>
          <t>REVER no próximo PS</t>
        </is>
      </c>
      <c r="F9" s="69" t="inlineStr">
        <is>
          <t>Acerto médio muito acima de 50%: das 8 pastas avaliadas até agora, 7 fecharam os oito cenários. O bloco praticamente não discriminou em A1/A2, só a pasta 04 escorregou, e ainda dentro da tolerância.</t>
        </is>
      </c>
    </row>
    <row r="10" ht="39.75" customHeight="1" s="60">
      <c r="B10" s="51" t="inlineStr">
        <is>
          <t>☐</t>
        </is>
      </c>
      <c r="C10" s="43" t="inlineStr">
        <is>
          <t>Uma projeção ou plano com meta numérica declarada no enunciado</t>
        </is>
      </c>
      <c r="D10" s="52" t="inlineStr">
        <is>
          <t>A3</t>
        </is>
      </c>
      <c r="E10" s="45" t="inlineStr">
        <is>
          <t>AUSENTE</t>
        </is>
      </c>
      <c r="F10" s="69" t="inlineStr">
        <is>
          <t>O case NÃO declara meta numérica nem pede projeção plurianual. A3 fica sem referência para conferir; avaliei a coerência do plano com o modelo do próprio candidato e registrei a limitação.</t>
        </is>
      </c>
    </row>
    <row r="11" ht="39.75" customHeight="1" s="60">
      <c r="B11" s="51" t="inlineStr">
        <is>
          <t>☐</t>
        </is>
      </c>
      <c r="C11" s="43" t="inlineStr">
        <is>
          <t>Um caminho alternativo que o candidato consiga dimensionar</t>
        </is>
      </c>
      <c r="D11" s="52" t="inlineStr">
        <is>
          <t>A4</t>
        </is>
      </c>
      <c r="E11" s="45" t="inlineStr">
        <is>
          <t>OK</t>
        </is>
      </c>
      <c r="F11" s="69" t="inlineStr">
        <is>
          <t>Os dois modelos operacionais são dimensionáveis com os dados do Anexo E; a alternativa dos armários é quantificável.</t>
        </is>
      </c>
    </row>
    <row r="12" ht="39.75" customHeight="1" s="60">
      <c r="B12" s="51" t="inlineStr">
        <is>
          <t>☐</t>
        </is>
      </c>
      <c r="C12" s="43" t="inlineStr">
        <is>
          <t>Pergunta explícita de riscos e próximos passos</t>
        </is>
      </c>
      <c r="D12" s="52" t="inlineStr">
        <is>
          <t>A5</t>
        </is>
      </c>
      <c r="E12" s="45" t="inlineStr">
        <is>
          <t>OK</t>
        </is>
      </c>
      <c r="F12" s="69" t="inlineStr">
        <is>
          <t>A tarefa 04 pede riscos e próximos passos de forma qualitativa.</t>
        </is>
      </c>
    </row>
    <row r="13" ht="39.75" customHeight="1" s="60">
      <c r="B13" s="51" t="inlineStr">
        <is>
          <t>☐</t>
        </is>
      </c>
      <c r="C13" s="43" t="inlineStr">
        <is>
          <t>UMA INCONSISTÊNCIA PLANTADA de propósito</t>
        </is>
      </c>
      <c r="D13" s="52" t="inlineStr">
        <is>
          <t>A6</t>
        </is>
      </c>
      <c r="E13" s="45" t="inlineStr">
        <is>
          <t>AUSENTE</t>
        </is>
      </c>
      <c r="F13" s="69" t="inlineStr">
        <is>
          <t>NÃO existe inconsistência plantada neste case. Conferi os anexos: a utilização é internamente coerente (as durações implícitas ficam entre 3,9h e 7,1h, compatíveis com 'algumas horas'). Nenhum candidato nomeou inconsistência porque não há o que nomear. A6 vale 3 pts e está medindo ruído.</t>
        </is>
      </c>
    </row>
    <row r="14" ht="39.75" customHeight="1" s="60">
      <c r="B14" s="51" t="inlineStr">
        <is>
          <t>☐</t>
        </is>
      </c>
      <c r="C14" s="43" t="inlineStr">
        <is>
          <t>UMA PREMISSA DEIXADA EM ABERTO de propósito</t>
        </is>
      </c>
      <c r="D14" s="52" t="inlineStr">
        <is>
          <t>R1, A4</t>
        </is>
      </c>
      <c r="E14" s="45" t="inlineStr">
        <is>
          <t>AUSENTE</t>
        </is>
      </c>
      <c r="F14" s="69" t="inlineStr">
        <is>
          <t>O case fecha todas as ambiguidades em vez de deixar premissa aberta: manda não descontar pela utilização, arredondar bancos para cima, usar só os custos do Anexo E, ignorar impostos e não somar sinergias. Não há rateio em aberto.</t>
        </is>
      </c>
    </row>
    <row r="15" ht="39.75" customHeight="1" s="60">
      <c r="B15" s="51" t="inlineStr">
        <is>
          <t>☐</t>
        </is>
      </c>
      <c r="C15" s="43" t="inlineStr">
        <is>
          <t>Entregáveis obrigatórios declarados no enunciado</t>
        </is>
      </c>
      <c r="D15" s="52" t="inlineStr">
        <is>
          <t>E1, E2, E3</t>
        </is>
      </c>
      <c r="E15" s="45" t="inlineStr">
        <is>
          <t>AUSENTE</t>
        </is>
      </c>
      <c r="F15" s="69" t="inlineStr">
        <is>
          <t>O enunciado NÃO declara entregáveis obrigatórios. Nas 10 páginas não há pedido de planilha, apresentação fechada nem vídeo. E1/E2/E3 não têm base para pontuar como checklist.</t>
        </is>
      </c>
    </row>
    <row r="16" ht="39.75" customHeight="1" s="60">
      <c r="B16" s="51" t="inlineStr">
        <is>
          <t>☐</t>
        </is>
      </c>
      <c r="C16" s="43" t="inlineStr">
        <is>
          <t>Um parâmetro escolhido para a checagem ao vivo</t>
        </is>
      </c>
      <c r="D16" s="52" t="inlineStr">
        <is>
          <t>Entrevista</t>
        </is>
      </c>
      <c r="E16" s="45" t="inlineStr">
        <is>
          <t>PENDENTE</t>
        </is>
      </c>
      <c r="F16" s="69" t="inlineStr">
        <is>
          <t>Sugestão de parâmetro para a checagem ao vivo: alterar o custo anual do banco de R$ 70.000 e pedir o novo modelo vencedor. Break-even: R$ 24.000 na Estação, R$ 16.000 no Centro, R$ 23.478 na Arena, R$ 56.000 em Noite Alta.</t>
        </is>
      </c>
    </row>
    <row r="17" ht="14.25" customHeight="1" s="60"/>
    <row r="18" ht="14.25" customHeight="1" s="60">
      <c r="B18" s="62" t="inlineStr">
        <is>
          <t>PARTE 2, GABARITO (preencher com o case pronto)</t>
        </is>
      </c>
    </row>
    <row r="19" ht="14.25" customHeight="1" s="60">
      <c r="B19" s="24" t="inlineStr">
        <is>
          <t>Item</t>
        </is>
      </c>
      <c r="C19" s="24" t="inlineStr">
        <is>
          <t>Pergunta do case / o que se espera</t>
        </is>
      </c>
      <c r="D19" s="24" t="inlineStr">
        <is>
          <t>Valor esperado</t>
        </is>
      </c>
      <c r="E19" s="24" t="inlineStr">
        <is>
          <t>Tolerância</t>
        </is>
      </c>
      <c r="F19" s="24" t="inlineStr">
        <is>
          <t>Observação</t>
        </is>
      </c>
    </row>
    <row r="20" ht="31.5" customHeight="1" s="60">
      <c r="B20" s="25" t="inlineStr">
        <is>
          <t>A1</t>
        </is>
      </c>
      <c r="C20" s="70" t="inlineStr">
        <is>
          <t>Receita anual e resultado operacional anual dos 4 bairros nos 2 modelos (8 cenários). Receita = transações/semana x 50 x R$ 30.</t>
        </is>
      </c>
      <c r="D20" s="71" t="inlineStr">
        <is>
          <t>Receita: Estação 36,00M · Centro 27,00M · Arena 18,00M · Noite Alta 30,00M. Resultado ARMÁRIOS: 25,08M / 23,15M / 13,87M / 18,57M. Resultado PARCEIROS: 27,84M / 24,50M / 14,94M / 19,20M. Melhor cenário: Estação Central + parceiros = R$ 27,84M.</t>
        </is>
      </c>
      <c r="E20" s="51" t="inlineStr">
        <is>
          <t>±2%</t>
        </is>
      </c>
      <c r="F20" s="72" t="inlineStr">
        <is>
          <t>Teto 2 se a memória de cálculo não estiver visível em nenhum artefato. Parceiros vencem nos 4 bairros.</t>
        </is>
      </c>
    </row>
    <row r="21" ht="31.5" customHeight="1" s="60">
      <c r="B21" s="25" t="inlineStr">
        <is>
          <t>A2</t>
        </is>
      </c>
      <c r="C21" s="70" t="inlineStr">
        <is>
          <t>Estrutura de custo por modelo: equipamento/seguro/manutenção por posição, operação conforme complexidade do Anexo B, e número de bancos ARREDONDADO PARA CIMA.</t>
        </is>
      </c>
      <c r="D21" s="71" t="inlineStr">
        <is>
          <t>Bancos: 60 (Estação) · 25 (Centro) · 23 (Arena, pois 900/40 = 22,5) · 45 (Noite Alta). Custo dos bancos: 4,20M / 1,75M / 1,61M / 3,15M. ESM: 3,36M / 1,40M / 1,26M / 2,52M. Operação armários: 3,36M / 0,70M / 1,26M / 5,76M. Operação parceiros: 4,80M / 1,10M / 1,80M / 8,28M.</t>
        </is>
      </c>
      <c r="E21" s="51" t="inlineStr">
        <is>
          <t>±2%</t>
        </is>
      </c>
      <c r="F21" s="72" t="inlineStr">
        <is>
          <t>A ARENA É O DISCRIMINADOR: 900/40 = 22,5 e tem de virar 23 bancos. Quem usou 22,5 erra R$ 35.000, que cai dentro de ±2%, confira o método, não só o valor.</t>
        </is>
      </c>
    </row>
    <row r="22" ht="31.5" customHeight="1" s="60">
      <c r="B22" s="25" t="inlineStr">
        <is>
          <t>A3</t>
        </is>
      </c>
      <c r="C22" s="70" t="inlineStr">
        <is>
          <t>SEM REFERÊNCIA, o case não declara meta numérica nem pede projeção.</t>
        </is>
      </c>
      <c r="D22" s="71" t="inlineStr">
        <is>
          <t>Não aplicável neste case.</t>
        </is>
      </c>
      <c r="E22" s="51" t="inlineStr">
        <is>
          <t>n/a</t>
        </is>
      </c>
      <c r="F22" s="72" t="inlineStr">
        <is>
          <t>Avaliei se o plano de expansão fecha com o modelo que o próprio candidato montou, e registrei a limitação em cada linha de evidência. RECOMENDAÇÃO: neutralizar A3 (4 pts) para todos, ou plantar meta numérica no próximo case.</t>
        </is>
      </c>
    </row>
    <row r="23" ht="31.5" customHeight="1" s="60">
      <c r="B23" s="25" t="inlineStr">
        <is>
          <t>A4</t>
        </is>
      </c>
      <c r="C23" s="70" t="inlineStr">
        <is>
          <t>Alternativa esperada: adotar armários inteligentes em algum bairro, ou sequenciar a expansão para os outros três.</t>
        </is>
      </c>
      <c r="D23" s="71" t="inlineStr">
        <is>
          <t>Ordem de expansão por resultado absoluto: Estação (27,84M) &gt; Centro (24,50M) &gt; Noite Alta (19,20M) &gt; Arena (14,94M). Impacto da alternativa armários: break-even do banco em R$ 24.000 (Estação), R$ 16.000 (Centro), R$ 23.478 (Arena), R$ 56.000 (Noite Alta). Noite Alta é onde os armários estão mais perto de ganhar: bastam 20% de queda no custo do banco.</t>
        </is>
      </c>
      <c r="E23" s="51" t="inlineStr">
        <is>
          <t>n/a</t>
        </is>
      </c>
      <c r="F23" s="72" t="inlineStr">
        <is>
          <t>Não há resposta única. Serve para calibrar o que conta como 'quantificado'.</t>
        </is>
      </c>
    </row>
    <row r="24" ht="31.5" customHeight="1" s="60">
      <c r="B24" s="25" t="inlineStr">
        <is>
          <t>A6</t>
        </is>
      </c>
      <c r="C24" s="70" t="inlineStr">
        <is>
          <t>NÃO EXISTE INCONSISTÊNCIA PLANTADA NESTE CASE.</t>
        </is>
      </c>
      <c r="D24" s="71" t="inlineStr">
        <is>
          <t>Nada a encontrar. Conferi: a utilização informada é coerente com transações e posições (durações implícitas de 3,9h a 7,1h). O único ponto de atenção real é o custo do banco de R$ 70.000, que é ANUAL e não CAPEX, a pasta 05 o tratou como investimento no breakeven e a pasta 07 antecipou o risco por escrito.</t>
        </is>
      </c>
      <c r="E24" s="51" t="inlineStr">
        <is>
          <t>n/a</t>
        </is>
      </c>
      <c r="F24" s="72" t="inlineStr">
        <is>
          <t>TODAS as pastas ficaram com A6=1 (passaram pelo ponto certo sem nomear inconsistência), inclusive a 01. RECOMENDAÇÃO: neutralizar A6 (3 pts) para todos neste PS e plantar o erro de verdade no próximo.</t>
        </is>
      </c>
    </row>
    <row r="25" ht="31.5" customHeight="1" s="60">
      <c r="B25" s="25" t="inlineStr">
        <is>
          <t>-</t>
        </is>
      </c>
      <c r="C25" s="70" t="inlineStr">
        <is>
          <t>PREMISSA EM ABERTO: não há.</t>
        </is>
      </c>
      <c r="D25" s="71" t="inlineStr">
        <is>
          <t>O case fecha todas as ambiguidades explicitamente.</t>
        </is>
      </c>
      <c r="E25" s="51" t="inlineStr">
        <is>
          <t>n/a</t>
        </is>
      </c>
      <c r="F25" s="72" t="inlineStr">
        <is>
          <t>Sem premissa em aberto, R1 e A4 perdem o discriminador que a rubrica esperava.</t>
        </is>
      </c>
    </row>
    <row r="26" ht="31.5" customHeight="1" s="60">
      <c r="B26" s="25" t="inlineStr">
        <is>
          <t>-</t>
        </is>
      </c>
      <c r="C26" s="70" t="inlineStr">
        <is>
          <t>Parâmetro sugerido para a checagem ao vivo na entrevista.</t>
        </is>
      </c>
      <c r="D26" s="71" t="inlineStr">
        <is>
          <t>Alterar o custo do banco de R$ 70.000 para R$ 50.000 e pedir o modelo vencedor por bairro. Resposta: o rateio cai para R$ 1.250/posição, abaixo do prêmio de R$ 1.400 da complexidade alta, então os ARMÁRIOS passam a ganhar em Noite Alta e os parceiros seguem ganhando nos outros três.</t>
        </is>
      </c>
      <c r="E26" s="51" t="inlineStr">
        <is>
          <t>n/a</t>
        </is>
      </c>
      <c r="F26" s="72" t="inlineStr">
        <is>
          <t>Quem montou o modelo responde em ~2 minutos.</t>
        </is>
      </c>
    </row>
    <row r="27" ht="14.25" customHeight="1" s="60"/>
    <row r="28" ht="14.25" customHeight="1" s="60">
      <c r="B28" s="62" t="inlineStr">
        <is>
          <t>PARTE 3, AUTOCORREÇÃO (opcional, mas é onde mora o maior ganho)</t>
        </is>
      </c>
    </row>
    <row r="29" ht="18" customHeight="1" s="60">
      <c r="B29" s="56" t="inlineStr">
        <is>
          <t>Se vocês pedirem os números-chave em campos obrigatórios do formulário de entrega, A1 e A2 se corrigem sozinhos.</t>
        </is>
      </c>
    </row>
    <row r="30" ht="18" customHeight="1" s="60">
      <c r="B30" s="56" t="inlineStr">
        <is>
          <t>Fórmula de exemplo, com a resposta do candidato em X2 e o valor esperado de A1 em D19:</t>
        </is>
      </c>
    </row>
    <row r="31" ht="18" customHeight="1" s="60">
      <c r="B31" s="57" t="n"/>
    </row>
    <row r="32" ht="18" customHeight="1" s="60">
      <c r="B32" s="56" t="inlineStr">
        <is>
          <t>Resultado: 12 dos 25 pontos de acurácia deixam de depender de quem corrigiu, e a conferência cai para segundos.</t>
        </is>
      </c>
    </row>
    <row r="33" ht="18" customHeight="1" s="60">
      <c r="B33" s="56" t="inlineStr">
        <is>
          <t>Atenção: o nível 3 exige memória de cálculo visível. A fórmula dá o teto; quem confere rebaixa para 2 se o Excel não veio.</t>
        </is>
      </c>
    </row>
    <row r="34" ht="14.25" customHeight="1" s="60"/>
    <row r="35" ht="14.25" customHeight="1" s="60"/>
    <row r="36" ht="14.25" customHeight="1" s="60"/>
    <row r="37" ht="14.25" customHeight="1" s="60"/>
    <row r="38" ht="14.25" customHeight="1" s="60"/>
    <row r="39" ht="14.25" customHeight="1" s="60"/>
    <row r="40" ht="14.25" customHeight="1" s="60"/>
    <row r="41" ht="14.25" customHeight="1" s="60"/>
    <row r="42" ht="14.25" customHeight="1" s="60"/>
    <row r="43" ht="14.25" customHeight="1" s="60"/>
    <row r="44" ht="14.25" customHeight="1" s="60"/>
    <row r="45" ht="14.25" customHeight="1" s="60"/>
    <row r="46" ht="14.25" customHeight="1" s="60"/>
    <row r="47" ht="14.25" customHeight="1" s="60"/>
    <row r="48" ht="14.25" customHeight="1" s="60"/>
    <row r="49" ht="14.25" customHeight="1" s="60"/>
    <row r="50" ht="14.25" customHeight="1" s="60"/>
    <row r="51" ht="14.25" customHeight="1" s="60"/>
    <row r="52" ht="14.25" customHeight="1" s="60"/>
    <row r="53" ht="14.25" customHeight="1" s="60"/>
    <row r="54" ht="14.25" customHeight="1" s="60"/>
    <row r="55" ht="14.25" customHeight="1" s="60"/>
    <row r="56" ht="14.25" customHeight="1" s="60"/>
    <row r="57" ht="14.25" customHeight="1" s="60"/>
    <row r="58" ht="14.25" customHeight="1" s="60"/>
    <row r="59" ht="14.25" customHeight="1" s="60"/>
    <row r="60" ht="14.25" customHeight="1" s="60"/>
    <row r="61" ht="14.25" customHeight="1" s="60"/>
    <row r="62" ht="14.25" customHeight="1" s="60"/>
    <row r="63" ht="14.25" customHeight="1" s="60"/>
    <row r="64" ht="14.25" customHeight="1" s="60"/>
    <row r="65" ht="14.25" customHeight="1" s="60"/>
    <row r="66" ht="14.25" customHeight="1" s="60"/>
    <row r="67" ht="14.25" customHeight="1" s="60"/>
    <row r="68" ht="14.25" customHeight="1" s="60"/>
    <row r="69" ht="14.25" customHeight="1" s="60"/>
    <row r="70" ht="14.25" customHeight="1" s="60"/>
    <row r="71" ht="14.25" customHeight="1" s="60"/>
    <row r="72" ht="14.25" customHeight="1" s="60"/>
    <row r="73" ht="14.25" customHeight="1" s="60"/>
    <row r="74" ht="14.25" customHeight="1" s="60"/>
    <row r="75" ht="14.25" customHeight="1" s="60"/>
    <row r="76" ht="14.25" customHeight="1" s="60"/>
    <row r="77" ht="14.25" customHeight="1" s="60"/>
    <row r="78" ht="14.25" customHeight="1" s="60"/>
    <row r="79" ht="14.25" customHeight="1" s="60"/>
    <row r="80" ht="14.25" customHeight="1" s="60"/>
    <row r="81" ht="14.25" customHeight="1" s="60"/>
    <row r="82" ht="14.25" customHeight="1" s="60"/>
    <row r="83" ht="14.25" customHeight="1" s="60"/>
    <row r="84" ht="14.25" customHeight="1" s="60"/>
    <row r="85" ht="14.25" customHeight="1" s="60"/>
    <row r="86" ht="14.25" customHeight="1" s="60"/>
    <row r="87" ht="14.25" customHeight="1" s="60"/>
    <row r="88" ht="14.25" customHeight="1" s="60"/>
    <row r="89" ht="14.25" customHeight="1" s="60"/>
    <row r="90" ht="14.25" customHeight="1" s="60"/>
    <row r="91" ht="14.25" customHeight="1" s="60"/>
    <row r="92" ht="14.25" customHeight="1" s="60"/>
    <row r="93" ht="14.25" customHeight="1" s="60"/>
    <row r="94" ht="14.25" customHeight="1" s="60"/>
    <row r="95" ht="14.25" customHeight="1" s="60"/>
    <row r="96" ht="14.25" customHeight="1" s="60"/>
    <row r="97" ht="14.25" customHeight="1" s="60"/>
    <row r="98" ht="14.25" customHeight="1" s="60"/>
    <row r="99" ht="14.25" customHeight="1" s="60"/>
    <row r="100" ht="14.25" customHeight="1" s="60"/>
    <row r="101" ht="14.25" customHeight="1" s="60"/>
    <row r="102" ht="14.25" customHeight="1" s="60"/>
    <row r="103" ht="14.25" customHeight="1" s="60"/>
    <row r="104" ht="14.25" customHeight="1" s="60"/>
    <row r="105" ht="14.25" customHeight="1" s="60"/>
    <row r="106" ht="14.25" customHeight="1" s="60"/>
    <row r="107" ht="14.25" customHeight="1" s="60"/>
    <row r="108" ht="14.25" customHeight="1" s="60"/>
    <row r="109" ht="14.25" customHeight="1" s="60"/>
    <row r="110" ht="14.25" customHeight="1" s="60"/>
    <row r="111" ht="14.25" customHeight="1" s="60"/>
    <row r="112" ht="14.25" customHeight="1" s="60"/>
    <row r="113" ht="14.25" customHeight="1" s="60"/>
    <row r="114" ht="14.25" customHeight="1" s="60"/>
    <row r="115" ht="14.25" customHeight="1" s="60"/>
    <row r="116" ht="14.25" customHeight="1" s="60"/>
    <row r="117" ht="14.25" customHeight="1" s="60"/>
    <row r="118" ht="14.25" customHeight="1" s="60"/>
    <row r="119" ht="14.25" customHeight="1" s="60"/>
    <row r="120" ht="14.25" customHeight="1" s="60"/>
    <row r="121" ht="14.25" customHeight="1" s="60"/>
    <row r="122" ht="14.25" customHeight="1" s="60"/>
    <row r="123" ht="14.25" customHeight="1" s="60"/>
    <row r="124" ht="14.25" customHeight="1" s="60"/>
    <row r="125" ht="14.25" customHeight="1" s="60"/>
    <row r="126" ht="14.25" customHeight="1" s="60"/>
    <row r="127" ht="14.25" customHeight="1" s="60"/>
    <row r="128" ht="14.25" customHeight="1" s="60"/>
    <row r="129" ht="14.25" customHeight="1" s="60"/>
    <row r="130" ht="14.25" customHeight="1" s="60"/>
    <row r="131" ht="14.25" customHeight="1" s="60"/>
    <row r="132" ht="14.25" customHeight="1" s="60"/>
    <row r="133" ht="14.25" customHeight="1" s="60"/>
    <row r="134" ht="14.25" customHeight="1" s="60"/>
    <row r="135" ht="14.25" customHeight="1" s="60"/>
    <row r="136" ht="14.25" customHeight="1" s="60"/>
    <row r="137" ht="14.25" customHeight="1" s="60"/>
    <row r="138" ht="14.25" customHeight="1" s="60"/>
    <row r="139" ht="14.25" customHeight="1" s="60"/>
    <row r="140" ht="14.25" customHeight="1" s="60"/>
    <row r="141" ht="14.25" customHeight="1" s="60"/>
    <row r="142" ht="14.25" customHeight="1" s="60"/>
    <row r="143" ht="14.25" customHeight="1" s="60"/>
    <row r="144" ht="14.25" customHeight="1" s="60"/>
    <row r="145" ht="14.25" customHeight="1" s="60"/>
    <row r="146" ht="14.25" customHeight="1" s="60"/>
    <row r="147" ht="14.25" customHeight="1" s="60"/>
    <row r="148" ht="14.25" customHeight="1" s="60"/>
    <row r="149" ht="14.25" customHeight="1" s="60"/>
    <row r="150" ht="14.25" customHeight="1" s="60"/>
    <row r="151" ht="14.25" customHeight="1" s="60"/>
    <row r="152" ht="14.25" customHeight="1" s="60"/>
    <row r="153" ht="14.25" customHeight="1" s="60"/>
    <row r="154" ht="14.25" customHeight="1" s="60"/>
    <row r="155" ht="14.25" customHeight="1" s="60"/>
    <row r="156" ht="14.25" customHeight="1" s="60"/>
    <row r="157" ht="14.25" customHeight="1" s="60"/>
    <row r="158" ht="14.25" customHeight="1" s="60"/>
    <row r="159" ht="14.25" customHeight="1" s="60"/>
    <row r="160" ht="14.25" customHeight="1" s="60"/>
    <row r="161" ht="14.25" customHeight="1" s="60"/>
    <row r="162" ht="14.25" customHeight="1" s="60"/>
    <row r="163" ht="14.25" customHeight="1" s="60"/>
    <row r="164" ht="14.25" customHeight="1" s="60"/>
    <row r="165" ht="14.25" customHeight="1" s="60"/>
    <row r="166" ht="14.25" customHeight="1" s="60"/>
    <row r="167" ht="14.25" customHeight="1" s="60"/>
    <row r="168" ht="14.25" customHeight="1" s="60"/>
    <row r="169" ht="14.25" customHeight="1" s="60"/>
    <row r="170" ht="14.25" customHeight="1" s="60"/>
    <row r="171" ht="14.25" customHeight="1" s="60"/>
    <row r="172" ht="14.25" customHeight="1" s="60"/>
    <row r="173" ht="14.25" customHeight="1" s="60"/>
    <row r="174" ht="14.25" customHeight="1" s="60"/>
    <row r="175" ht="14.25" customHeight="1" s="60"/>
    <row r="176" ht="14.25" customHeight="1" s="60"/>
    <row r="177" ht="14.25" customHeight="1" s="60"/>
    <row r="178" ht="14.25" customHeight="1" s="60"/>
    <row r="179" ht="14.25" customHeight="1" s="60"/>
    <row r="180" ht="14.25" customHeight="1" s="60"/>
    <row r="181" ht="14.25" customHeight="1" s="60"/>
    <row r="182" ht="14.25" customHeight="1" s="60"/>
    <row r="183" ht="14.25" customHeight="1" s="60"/>
    <row r="184" ht="14.25" customHeight="1" s="60"/>
    <row r="185" ht="14.25" customHeight="1" s="60"/>
    <row r="186" ht="14.25" customHeight="1" s="60"/>
    <row r="187" ht="14.25" customHeight="1" s="60"/>
    <row r="188" ht="14.25" customHeight="1" s="60"/>
    <row r="189" ht="14.25" customHeight="1" s="60"/>
    <row r="190" ht="14.25" customHeight="1" s="60"/>
    <row r="191" ht="14.25" customHeight="1" s="60"/>
    <row r="192" ht="14.25" customHeight="1" s="60"/>
    <row r="193" ht="14.25" customHeight="1" s="60"/>
    <row r="194" ht="14.25" customHeight="1" s="60"/>
    <row r="195" ht="14.25" customHeight="1" s="60"/>
    <row r="196" ht="14.25" customHeight="1" s="60"/>
    <row r="197" ht="14.25" customHeight="1" s="60"/>
    <row r="198" ht="14.25" customHeight="1" s="60"/>
    <row r="199" ht="14.25" customHeight="1" s="60"/>
    <row r="200" ht="14.25" customHeight="1" s="60"/>
    <row r="201" ht="14.25" customHeight="1" s="60"/>
    <row r="202" ht="14.25" customHeight="1" s="60"/>
    <row r="203" ht="14.25" customHeight="1" s="60"/>
    <row r="204" ht="14.25" customHeight="1" s="60"/>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10">
    <mergeCell ref="B4:F4"/>
    <mergeCell ref="B30:F30"/>
    <mergeCell ref="B29:F29"/>
    <mergeCell ref="B6:F6"/>
    <mergeCell ref="B2:F2"/>
    <mergeCell ref="B33:F33"/>
    <mergeCell ref="B28:F28"/>
    <mergeCell ref="B31:F31"/>
    <mergeCell ref="B32:F32"/>
    <mergeCell ref="B18:F18"/>
  </mergeCells>
  <conditionalFormatting sqref="E8:E16">
    <cfRule type="cellIs" priority="1" operator="equal" dxfId="0">
      <formula>"Feito"</formula>
    </cfRule>
    <cfRule type="cellIs" priority="2" operator="equal" dxfId="1">
      <formula>"Pendente"</formula>
    </cfRule>
  </conditionalFormatting>
  <dataValidations count="1">
    <dataValidation sqref="E8:E16" showDropDown="0" showInputMessage="0" showErrorMessage="0" allowBlank="1" type="list">
      <formula1>"Feito,Pendente"</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B2:G204"/>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3" customWidth="1" style="60" min="1" max="1"/>
    <col width="5" customWidth="1" style="60" min="2" max="2"/>
    <col width="34" customWidth="1" style="60" min="3" max="3"/>
    <col width="33.29" customWidth="1" style="60" min="4" max="4"/>
    <col width="16" customWidth="1" style="60" min="5" max="5"/>
    <col width="96" customWidth="1" style="60" min="6" max="6"/>
    <col width="22" customWidth="1" style="60" min="7" max="7"/>
    <col width="8.710000000000001" customWidth="1" style="60" min="8" max="27"/>
  </cols>
  <sheetData>
    <row r="1" ht="14.25" customHeight="1" s="60"/>
    <row r="2" ht="25.5" customHeight="1" s="60">
      <c r="B2" s="66" t="inlineStr">
        <is>
          <t>COMENTÁRIOS — resuma o que achou da entrega (mesma estrutura da planilha antiga)</t>
        </is>
      </c>
    </row>
    <row r="3" ht="14.25" customHeight="1" s="60"/>
    <row r="4" ht="14.25" customHeight="1" s="60">
      <c r="B4" s="24" t="inlineStr">
        <is>
          <t>#</t>
        </is>
      </c>
      <c r="C4" s="24" t="inlineStr">
        <is>
          <t>Candidato(a)</t>
        </is>
      </c>
      <c r="D4" s="24" t="inlineStr">
        <is>
          <t>Nome</t>
        </is>
      </c>
      <c r="E4" s="24" t="inlineStr">
        <is>
          <t>Avaliador</t>
        </is>
      </c>
      <c r="F4" s="24" t="inlineStr">
        <is>
          <t>Comentários</t>
        </is>
      </c>
      <c r="G4" s="24" t="inlineStr">
        <is>
          <t>Aprovaria?</t>
        </is>
      </c>
    </row>
    <row r="5" ht="14.25" customHeight="1" s="60">
      <c r="B5" s="30">
        <f>IF($C5="","",ROW()-4)</f>
        <v/>
      </c>
      <c r="C5" s="30" t="inlineStr">
        <is>
          <t>g278083@dac.unicamp.br</t>
        </is>
      </c>
      <c r="D5" s="30" t="inlineStr">
        <is>
          <t>Gabrielle Cristofani do Rosario</t>
        </is>
      </c>
      <c r="F5" s="73" t="n"/>
      <c r="G5" s="30" t="n"/>
    </row>
    <row r="6" ht="14.25" customHeight="1" s="60">
      <c r="B6" s="30">
        <f>IF($C6="","",ROW()-4)</f>
        <v/>
      </c>
      <c r="C6" s="30" t="inlineStr">
        <is>
          <t>b309603@dac.unicamp.br</t>
        </is>
      </c>
      <c r="D6" s="30" t="inlineStr">
        <is>
          <t>Bruno Heberth Oliveira Bastos</t>
        </is>
      </c>
      <c r="F6" s="73" t="n"/>
      <c r="G6" s="30" t="n"/>
    </row>
    <row r="7" ht="14.25" customHeight="1" s="60">
      <c r="B7" s="30">
        <f>IF($C7="","",ROW()-4)</f>
        <v/>
      </c>
      <c r="C7" s="30" t="inlineStr">
        <is>
          <t>j309764@dac.unicamp.br</t>
        </is>
      </c>
      <c r="D7" s="30" t="inlineStr">
        <is>
          <t>João Pedro Mendes Stama</t>
        </is>
      </c>
      <c r="F7" s="73" t="n"/>
      <c r="G7" s="30" t="n"/>
    </row>
    <row r="8" ht="14.25" customHeight="1" s="60">
      <c r="B8" s="30">
        <f>IF($C8="","",ROW()-4)</f>
        <v/>
      </c>
      <c r="C8" s="30" t="inlineStr">
        <is>
          <t>r238449@dac.unicamp.br</t>
        </is>
      </c>
      <c r="D8" s="30" t="inlineStr">
        <is>
          <t>Rafael Ponciano Rodrigues dos Santos</t>
        </is>
      </c>
      <c r="F8" s="73" t="n"/>
      <c r="G8" s="30" t="n"/>
    </row>
    <row r="9" ht="14.25" customHeight="1" s="60">
      <c r="B9" s="30">
        <f>IF($C9="","",ROW()-4)</f>
        <v/>
      </c>
      <c r="C9" s="30" t="inlineStr">
        <is>
          <t>enzo.gag17@gmail.com</t>
        </is>
      </c>
      <c r="D9" s="30" t="inlineStr">
        <is>
          <t>Enzo Chofakian Gagliardi</t>
        </is>
      </c>
      <c r="F9" s="73" t="n"/>
      <c r="G9" s="30" t="n"/>
    </row>
    <row r="10" ht="14.25" customHeight="1" s="60">
      <c r="B10" s="30">
        <f>IF($C10="","",ROW()-4)</f>
        <v/>
      </c>
      <c r="C10" s="30" t="inlineStr">
        <is>
          <t>e278588@dac.unicamp.br</t>
        </is>
      </c>
      <c r="D10" s="30" t="inlineStr">
        <is>
          <t>Enrico Tristão e Mello de Oliveira</t>
        </is>
      </c>
      <c r="F10" s="73" t="n"/>
      <c r="G10" s="30" t="n"/>
    </row>
    <row r="11" ht="14.25" customHeight="1" s="60">
      <c r="B11" s="30">
        <f>IF($C11="","",ROW()-4)</f>
        <v/>
      </c>
      <c r="C11" s="30" t="inlineStr">
        <is>
          <t>e221509@dac.unicamp.br</t>
        </is>
      </c>
      <c r="D11" s="30" t="inlineStr">
        <is>
          <t>Eduardo Alves Henrique</t>
        </is>
      </c>
      <c r="F11" s="73" t="n"/>
      <c r="G11" s="30" t="n"/>
    </row>
    <row r="12" ht="14.25" customHeight="1" s="60">
      <c r="B12" s="30">
        <f>IF($C12="","",ROW()-4)</f>
        <v/>
      </c>
      <c r="C12" s="30" t="inlineStr">
        <is>
          <t>l304532@dac.unicamp.br</t>
        </is>
      </c>
      <c r="D12" s="30" t="inlineStr">
        <is>
          <t>Leandra Cunha de Souza</t>
        </is>
      </c>
      <c r="F12" s="73" t="n"/>
      <c r="G12" s="30" t="n"/>
    </row>
    <row r="13" ht="14.25" customHeight="1" s="60">
      <c r="B13" s="30">
        <f>IF($C13="","",ROW()-4)</f>
        <v/>
      </c>
      <c r="C13" s="30" t="inlineStr">
        <is>
          <t>v188630@dac.unicamp.br</t>
        </is>
      </c>
      <c r="D13" s="30" t="inlineStr">
        <is>
          <t>Vagner Ássimos Gomes Carlos Filho</t>
        </is>
      </c>
      <c r="F13" s="73" t="n"/>
      <c r="G13" s="30" t="n"/>
    </row>
    <row r="14" ht="14.25" customHeight="1" s="60">
      <c r="B14" s="30">
        <f>IF($C14="","",ROW()-4)</f>
        <v/>
      </c>
      <c r="C14" s="30" t="inlineStr">
        <is>
          <t>m277865@dac.unicamp.br</t>
        </is>
      </c>
      <c r="D14" s="30" t="inlineStr">
        <is>
          <t>Mariana Nunes Galvão Sant'Anna</t>
        </is>
      </c>
      <c r="F14" s="73" t="n"/>
      <c r="G14" s="30" t="n"/>
    </row>
    <row r="15" ht="14.25" customHeight="1" s="60">
      <c r="B15" s="30">
        <f>IF($C15="","",ROW()-4)</f>
        <v/>
      </c>
      <c r="C15" s="30" t="inlineStr">
        <is>
          <t>a266739@dac.unicamp.br</t>
        </is>
      </c>
      <c r="D15" s="30" t="inlineStr">
        <is>
          <t>Aslan Rodrigues Maia</t>
        </is>
      </c>
      <c r="E15" s="30" t="inlineStr">
        <is>
          <t>Ferro</t>
        </is>
      </c>
      <c r="F15" s="73" t="inlineStr">
        <is>
          <t>TIrou 2/3 do Gmat, e falou um pouco travado no vídeo, mas foi bem (não é bixo)</t>
        </is>
      </c>
      <c r="G15" s="30" t="inlineStr">
        <is>
          <t>Passaria para ver o case</t>
        </is>
      </c>
    </row>
    <row r="16" ht="14.25" customHeight="1" s="60">
      <c r="B16" s="30">
        <f>IF($C16="","",ROW()-4)</f>
        <v/>
      </c>
      <c r="C16" s="30" t="inlineStr">
        <is>
          <t>j278641@dac.unicamp.br</t>
        </is>
      </c>
      <c r="D16" s="30" t="inlineStr">
        <is>
          <t>João Gabriel de Oliveira Morcelli</t>
        </is>
      </c>
      <c r="E16" s="30" t="inlineStr">
        <is>
          <t>Ferro</t>
        </is>
      </c>
      <c r="F16" s="73" t="inlineStr">
        <is>
          <t>Tirou 2/3 do Gmat tbm, e fez no final sem energia, cara foi resiliente, falou muito bem no vídeo</t>
        </is>
      </c>
      <c r="G16" s="30" t="inlineStr">
        <is>
          <t>Sim</t>
        </is>
      </c>
    </row>
    <row r="17" ht="14.25" customHeight="1" s="60">
      <c r="B17" s="30">
        <f>IF($C17="","",ROW()-4)</f>
        <v/>
      </c>
      <c r="C17" s="30" t="inlineStr">
        <is>
          <t>r278709@dac.unicamp.br</t>
        </is>
      </c>
      <c r="D17" s="30" t="inlineStr">
        <is>
          <t>Raphael Negrini Saggioro</t>
        </is>
      </c>
      <c r="E17" s="30" t="inlineStr">
        <is>
          <t>Ferro</t>
        </is>
      </c>
      <c r="F17" s="73" t="inlineStr">
        <is>
          <t>Foi bem no Gmat tbm, falou muito bem, e falou dos projetos do CCU, fez a pesquisa básica ali, mandou bem</t>
        </is>
      </c>
      <c r="G17" s="30" t="inlineStr">
        <is>
          <t>Sim</t>
        </is>
      </c>
    </row>
    <row r="18" ht="14.25" customHeight="1" s="60">
      <c r="B18" s="30">
        <f>IF($C18="","",ROW()-4)</f>
        <v/>
      </c>
      <c r="C18" s="30" t="inlineStr">
        <is>
          <t>g278107@dac.unicamp.br</t>
        </is>
      </c>
      <c r="D18" s="30" t="inlineStr">
        <is>
          <t>Gustavo Daher Pereira</t>
        </is>
      </c>
      <c r="F18" s="73" t="n"/>
      <c r="G18" s="30" t="n"/>
    </row>
    <row r="19" ht="14.25" customHeight="1" s="60">
      <c r="B19" s="30">
        <f>IF($C19="","",ROW()-4)</f>
        <v/>
      </c>
      <c r="C19" s="30" t="inlineStr">
        <is>
          <t>rickfilho2007@gmail.com</t>
        </is>
      </c>
      <c r="D19" s="30" t="inlineStr">
        <is>
          <t>Ricardo Augusto Schmitt Filho</t>
        </is>
      </c>
      <c r="F19" s="73" t="n"/>
      <c r="G19" s="30" t="n"/>
    </row>
    <row r="20" ht="14.25" customHeight="1" s="60">
      <c r="B20" s="30">
        <f>IF($C20="","",ROW()-4)</f>
        <v/>
      </c>
      <c r="C20" s="30" t="inlineStr">
        <is>
          <t>m306365@dac.unicamp.br</t>
        </is>
      </c>
      <c r="D20" s="30" t="inlineStr">
        <is>
          <t>Matheus Dias Freitas</t>
        </is>
      </c>
      <c r="F20" s="73" t="n"/>
      <c r="G20" s="30" t="n"/>
    </row>
    <row r="21" ht="14.25" customHeight="1" s="60">
      <c r="B21" s="30">
        <f>IF($C21="","",ROW()-4)</f>
        <v/>
      </c>
      <c r="C21" s="30" t="inlineStr">
        <is>
          <t>k267983@dac.unicamp.br</t>
        </is>
      </c>
      <c r="D21" s="30" t="inlineStr">
        <is>
          <t>Klaus Augusto Santos da Silva</t>
        </is>
      </c>
      <c r="F21" s="73" t="n"/>
      <c r="G21" s="30" t="n"/>
    </row>
    <row r="22" ht="14.25" customHeight="1" s="60">
      <c r="B22" s="30">
        <f>IF($C22="","",ROW()-4)</f>
        <v/>
      </c>
      <c r="C22" s="30" t="inlineStr">
        <is>
          <t>r302729@dac.unicamp.br</t>
        </is>
      </c>
      <c r="D22" s="30" t="inlineStr">
        <is>
          <t>Rafael Rodrigues Moreira</t>
        </is>
      </c>
      <c r="F22" s="73" t="n"/>
      <c r="G22" s="30" t="n"/>
    </row>
    <row r="23" ht="14.25" customHeight="1" s="60">
      <c r="B23" s="30">
        <f>IF($C23="","",ROW()-4)</f>
        <v/>
      </c>
      <c r="C23" s="30" t="inlineStr">
        <is>
          <t>c258388@dac.unicamp.br</t>
        </is>
      </c>
      <c r="D23" s="30" t="inlineStr">
        <is>
          <t>Caio Augusto Saab</t>
        </is>
      </c>
      <c r="F23" s="73" t="n"/>
      <c r="G23" s="30" t="n"/>
    </row>
    <row r="24" ht="14.25" customHeight="1" s="60">
      <c r="B24" s="30">
        <f>IF($C24="","",ROW()-4)</f>
        <v/>
      </c>
      <c r="C24" s="30" t="inlineStr">
        <is>
          <t>j260826@dac.unicamp.br</t>
        </is>
      </c>
      <c r="D24" s="30" t="inlineStr">
        <is>
          <t>José Vitor Dias Tutu</t>
        </is>
      </c>
      <c r="F24" s="73" t="n"/>
      <c r="G24" s="30" t="n"/>
    </row>
    <row r="25" ht="14.25" customHeight="1" s="60">
      <c r="B25" s="30">
        <f>IF($C25="","",ROW()-4)</f>
        <v/>
      </c>
      <c r="C25" s="30" t="inlineStr">
        <is>
          <t xml:space="preserve">i253464@dac.unicamp.br
</t>
        </is>
      </c>
      <c r="D25" s="30" t="inlineStr">
        <is>
          <t>Isadora Kluge Dorigan</t>
        </is>
      </c>
      <c r="F25" s="73" t="n"/>
      <c r="G25" s="30" t="n"/>
    </row>
    <row r="26" ht="14.25" customHeight="1" s="60">
      <c r="B26" s="30">
        <f>IF($C26="","",ROW()-4)</f>
        <v/>
      </c>
      <c r="C26" s="30" t="inlineStr">
        <is>
          <t>01</t>
        </is>
      </c>
      <c r="D26" s="30" t="inlineStr">
        <is>
          <t>Candidato 01 — pasta entregas-candidatos/01 (BagHub 2026.2)</t>
        </is>
      </c>
      <c r="E26" s="30" t="inlineStr">
        <is>
          <t>Avaliador 1</t>
        </is>
      </c>
      <c r="F26" s="73" t="inlineStr">
        <is>
          <t>Usou IA, dá para ver pelo layout: o deck é todo imagem, sem texto selecionável, o relatório é HTML exportado em PDF e o nome do arquivo vem com "McKinsey Style". A profundidade é igual nas quatro seções e a memória de cálculo aparece só em um bairro. Mesmo assim entregou bem: os oito cenários fecham, inclusive o arredondamento dos bancos da Arena, e a recomendação vem com número no slide 2 e na primeira página. Do lado fraco, o critério do rollout muda no meio, com Noite Alta a 64% na frente da Arena a 83%, não há sensibilidade nem ponto de virada entre os modelos, e o slide 7 mostra seis dos oito cenários. Vale levar para a entrevista e pedir para refazer a conta da Estação Central mexendo no custo de operação dos parceiros. Nota 7,87 com V1 e V2 em branco, 8,74 sobre o que é avaliável.</t>
        </is>
      </c>
      <c r="G26" s="30" t="inlineStr">
        <is>
          <t>Passaria para ver a entrevista</t>
        </is>
      </c>
    </row>
    <row r="27" ht="14.25" customHeight="1" s="60">
      <c r="B27" s="30">
        <f>IF($C27="","",ROW()-4)</f>
        <v/>
      </c>
      <c r="C27" s="0" t="inlineStr">
        <is>
          <t>a266739@dac.unicamp.br</t>
        </is>
      </c>
      <c r="D27" s="0" t="inlineStr">
        <is>
          <t>Aslan Rodrigues Maia</t>
        </is>
      </c>
      <c r="E27" s="0" t="inlineStr">
        <is>
          <t>Avaliador 1</t>
        </is>
      </c>
      <c r="F27" s="73"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Nota 8,30 com vídeo em branco. Considerando só o que dá para avaliar, 9,22.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IDENTIFICAÇÃO: Aslan Rodrigues Maia, a266739@dac.unicamp.br. Confiança alta. Como cheguei nisso: nome no nome dos dois arquivos e no titulo interno do PDF ("Apresentação - Aslan Maia - Case CCU"). As notas de vídeo dele estão nas linhas 17 e 39 desta aba e precisam ser transcritas para cá, porque valem 10 pontos e hoje entram como zero.</t>
        </is>
      </c>
      <c r="G27" s="30" t="inlineStr">
        <is>
          <t>Sim</t>
        </is>
      </c>
    </row>
    <row r="28" ht="14.25" customHeight="1" s="60">
      <c r="B28" s="30">
        <f>IF($C28="","",ROW()-4)</f>
        <v/>
      </c>
      <c r="C28" s="0" t="inlineStr">
        <is>
          <t>b309603@dac.unicamp.br</t>
        </is>
      </c>
      <c r="D28" s="0" t="inlineStr">
        <is>
          <t>Bruno Heberth Oliveira Bastos</t>
        </is>
      </c>
      <c r="E28" s="0" t="inlineStr">
        <is>
          <t>Avaliador 1</t>
        </is>
      </c>
      <c r="F28" s="73"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Nota 7,13 com vídeo em branco. Considerando só o que dá para avaliar, 7,93.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IDENTIFICAÇÃO: Bruno Heberth Oliveira Bastos, b309603@dac.unicamp.br. Confiança alta. Como cheguei nisso: nome no nome dos dois arquivos dele. As notas de vídeo dele estão nas linhas 8 e 30 desta aba e precisam ser transcritas para cá, porque valem 10 pontos e hoje entram como zero.</t>
        </is>
      </c>
      <c r="G28" s="30" t="inlineStr">
        <is>
          <t>Sim</t>
        </is>
      </c>
    </row>
    <row r="29" ht="14.25" customHeight="1" s="60">
      <c r="B29" s="30">
        <f>IF($C29="","",ROW()-4)</f>
        <v/>
      </c>
      <c r="C29" s="0" t="inlineStr">
        <is>
          <t>c258388@dac.unicamp.br</t>
        </is>
      </c>
      <c r="D29" s="0" t="inlineStr">
        <is>
          <t>Caio Augusto Saab</t>
        </is>
      </c>
      <c r="E29" s="0" t="inlineStr">
        <is>
          <t>Avaliador 1</t>
        </is>
      </c>
      <c r="F29" s="73"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Nota 2,97 com vídeo em branco. Considerando só o que dá para avaliar, 3,30.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IDENTIFICAÇÃO: Caio Augusto Saab, c258388@dac.unicamp.br. Confiança media, confirmar. Como cheguei nisso: campo Author do metadado do PDF, gerado no Microsoft Word. O arquivo nao traz o nome no texto nem no nome do arquivo. As notas de vídeo dele estão nas linhas 25 e 47 desta aba e precisam ser transcritas para cá, porque valem 10 pontos e hoje entram como zero. Atenção: esta identificação vem só do metadado, não do conteúdo. Metadado pode vir de computador compartilhado ou de modelo reaproveitado, então confirmem com o registro de envio antes de usar numa decisão.</t>
        </is>
      </c>
      <c r="G29" s="30" t="inlineStr">
        <is>
          <t>Não</t>
        </is>
      </c>
    </row>
    <row r="30" ht="14.25" customHeight="1" s="60">
      <c r="B30" s="30">
        <f>IF($C30="","",ROW()-4)</f>
        <v/>
      </c>
      <c r="C30" s="0" t="inlineStr">
        <is>
          <t>e221509@dac.unicamp.br</t>
        </is>
      </c>
      <c r="D30" s="0" t="inlineStr">
        <is>
          <t>Eduardo Alves Henrique</t>
        </is>
      </c>
      <c r="E30" s="0" t="inlineStr">
        <is>
          <t>Avaliador 1</t>
        </is>
      </c>
      <c r="F30" s="73"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Nota 6,03 com vídeo em branco. Considerando só o que dá para avaliar, 6,70.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IDENTIFICAÇÃO: Eduardo Alves Henrique, e221509@dac.unicamp.br. Confiança alta. Como cheguei nisso: nome escrito na capa do deck. As notas de vídeo dele estão nas linhas 13 e 35 desta aba e precisam ser transcritas para cá, porque valem 10 pontos e hoje entram como zero.</t>
        </is>
      </c>
      <c r="G30" s="30" t="inlineStr">
        <is>
          <t>Passaria para ver a entrevista</t>
        </is>
      </c>
    </row>
    <row r="31" ht="14.25" customHeight="1" s="60">
      <c r="B31" s="30">
        <f>IF($C31="","",ROW()-4)</f>
        <v/>
      </c>
      <c r="C31" s="0" t="inlineStr">
        <is>
          <t>e278588@dac.unicamp.br</t>
        </is>
      </c>
      <c r="D31" s="0" t="inlineStr">
        <is>
          <t>Enrico Tristão e Mello de Oliveira</t>
        </is>
      </c>
      <c r="E31" s="0" t="inlineStr">
        <is>
          <t>Avaliador 1</t>
        </is>
      </c>
      <c r="F31" s="73"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Nota 8,33 com vídeo em branco. Considerando só o que dá para avaliar, 9,26.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IDENTIFICAÇÃO: Enrico Tristão e Mello de Oliveira, e278588@dac.unicamp.br. Confiança alta. Como cheguei nisso: nome no nome do arquivo e campo lastModifiedBy do pptx e do xlsx ("Enrico Mello"). As notas de vídeo dele estão nas linhas 12 e 34 desta aba e precisam ser transcritas para cá, porque valem 10 pontos e hoje entram como zero.</t>
        </is>
      </c>
      <c r="G31" s="30" t="inlineStr">
        <is>
          <t>Sim</t>
        </is>
      </c>
    </row>
    <row r="32" ht="14.25" customHeight="1" s="60">
      <c r="B32" s="30">
        <f>IF($C32="","",ROW()-4)</f>
        <v/>
      </c>
      <c r="C32" s="0" t="inlineStr">
        <is>
          <t>07</t>
        </is>
      </c>
      <c r="D32" s="0" t="inlineStr">
        <is>
          <t>Candidato 07 (anônimo)</t>
        </is>
      </c>
      <c r="E32" s="0" t="inlineStr">
        <is>
          <t>Avaliador 1</t>
        </is>
      </c>
      <c r="F32" s="73" t="inlineStr">
        <is>
          <t>Maior nota do conjunto. O que decide é disciplina de modelagem somada à pergunta certa de robustez.
Os oito cenários fecham e a planilha tem autoconferência: um bloco de Conferências com três checagens que têm de dar zero, mais um validador que responde OK ou REVER se a capacidade física não cobrir a necessária. É o único que modela a sobra do arredondamento, porque 23 bancos na Arena dão 920 posições físicas para 900 necessárias, e ele registra as 20 de sobra sem deixar isso contaminar o custo. E é o único que antecipou por escrito a armadilha em que a pasta 05 caiu: a aba de premissas diz, em letras claras, que todos os custos são anuais e que o banco não é CAPEX.
O melhor da entrega está no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Tenho um contraponto que levaria à entrevista. Os 9,3% de folga não são obviamente "risco baixo" como ele afirma no slide. É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pergunto: por que a queda admissível até zerar, 77,3%, é exatamente igual à sua margem operacional? Quem entendeu que todo custo do case é fixo responde na hora. Quem só preencheu a planilha trava.
Nota 8,60 com vídeo em branco. Considerando só o que dá para avaliar, 9,56.
Indício de IA: Baixo (consultivo, não afeta nota). A disciplina do modelo é o indício. Bloco de Conferências com três identidades que devem zerar e um validador condicional de capacidade. A aba de premissas documenta convenção de cores e deixa nota de manutenção para quem usar o modelo depois, escrita para um leitor futuro e não para um avaliador. Ele marca sistematicamente o que não pode saber: distâncias não informadas, hipótese a validar, médias diárias como normalização. Esse hábito é o oposto de texto gerado.
IDENTIFICAÇÃO: pasta anônima. Nenhum arquivo traz nome no texto, no nome do arquivo ou no metadado. Rastro de ferramenta que pode ajudar a estreitar: metadados completamente vazios nos dois arquivos. A planilha foi feita no Excel Online. Sem o mapa número para candidato, V1 e V2 não podem ser transcritos e o bloco Vídeo fica valendo zero. Candidatos inscritos ainda não pareados a nenhuma pasta: João Pedro Mendes Stama, Rafael Ponciano Rodrigues dos Santos, Enzo Chofakian Gagliardi, João Gabriel de Oliveira Morcelli, Raphael Negrini Saggioro, Gustavo Daher Pereira, Ricardo Augusto Schmitt Filho, Matheus Dias Freitas, Klaus Augusto Santos da Silva, José Vitor Dias Tutu, Isadora Kluge Dorigan.</t>
        </is>
      </c>
      <c r="G32" s="30" t="inlineStr">
        <is>
          <t>Sim</t>
        </is>
      </c>
    </row>
    <row r="33" ht="14.25" customHeight="1" s="60">
      <c r="B33" s="30">
        <f>IF($C33="","",ROW()-4)</f>
        <v/>
      </c>
      <c r="C33" s="0" t="inlineStr">
        <is>
          <t>g278083@dac.unicamp.br</t>
        </is>
      </c>
      <c r="D33" s="0" t="inlineStr">
        <is>
          <t>Gabrielle Cristofani do Rosario</t>
        </is>
      </c>
      <c r="E33" s="0" t="inlineStr">
        <is>
          <t>Avaliador 1</t>
        </is>
      </c>
      <c r="F33" s="73"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Nota 7,33 com vídeo em branco. Considerando só o que dá para avaliar, 8,15.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ATENÇÃO: URGENTE, o arquivo IMG-20260918-WA0254.jpg não tem relação com o case: é a captura de tela de um comprovante de compra parcelada, com valores, datas de vencimento e dados financeiros pessoais. Foi anexado por engano. Recomendo remover do repositório antes de qualquer coisa, porque o repositório chegou a ficar público. Não avaliei esse arquivo e não reproduzi seu conteúdo.
IDENTIFICAÇÃO: Gabrielle Cristofani do Rosario, g278083@dac.unicamp.br. Confiança alta. Como cheguei nisso: nome na capa, no nome do arquivo e no campo Author do metadado. As notas de vídeo dele estão nas linhas 7 e 29 desta aba e precisam ser transcritas para cá, porque valem 10 pontos e hoje entram como zero.</t>
        </is>
      </c>
      <c r="G33" s="30" t="inlineStr">
        <is>
          <t>Sim</t>
        </is>
      </c>
    </row>
    <row r="34" ht="14.25" customHeight="1" s="60">
      <c r="B34" s="30">
        <f>IF($C34="","",ROW()-4)</f>
        <v/>
      </c>
      <c r="C34" s="0" t="inlineStr">
        <is>
          <t>09</t>
        </is>
      </c>
      <c r="D34" s="0" t="inlineStr">
        <is>
          <t>Candidato 09 (anônimo)</t>
        </is>
      </c>
      <c r="E34" s="0" t="inlineStr">
        <is>
          <t>Avaliador 1</t>
        </is>
      </c>
      <c r="F34" s="73" t="inlineStr">
        <is>
          <t>Entrega de alto nível com um erro de leitura que atravessa metade dela. As duas coisas precisam ser ditas juntas.
O que está muito bom: o score multicritério é o método mais transparente do conjunto, com pesos publicados, normalização coerente e as oito alternativas comparadas na mesma régua. Conferi a interpolação do resultado operacional e fecha. Os action titles são exemplares, inclusive o do slide 4, que assume o contra-argumento em vez de esconder.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milhões recorrente, o R$ 142,20 milhões de cinco anos e o roadmap bifásico inteiro. Que é justamente a parte mais original da entrega. A pasta 05 cometeu o mesmo erro, mas confinado a um slide e anotado à mão como decisão consciente. Aqui ele é a espinha dorsal e não está declarado em lugar nenhum.
Segundo ponto, menor. Ele lê a prioridade de rentabilidade anual como margem, quando o resto da frase no case, que fala em sustentar a expansão, aponta para caixa absoluto. É leitura defensável e está declarada, mas é o que o faz escolher a segunda melhor opção.
Na entrevista eu faço uma pergunta só, e ela vale a etapa toda. O Anexo E diz que todos os custos são anuais, inclusive os R$ 70.000 por banco. Seu modelo remove esse custo a partir do Ano 2, por quê, e o que acontece com a sua recomendação se ele for mesmo anual? Quem entendeu o próprio modelo reconhece na hora que o roadmap cai.
Nota 8,30 com vídeo em branco. Considerando só o que dá para avaliar, 9,22.
Indício de IA: Baixo (consultivo, não afeta nota). O mais claro é a Arena com 23 bancos digitados à mão enquanto os outros três usam fórmula. É alguém que rodou o modelo, viu 22,5 aparecer e corrigiu pontualmente. A planilha tem marcas de trabalho manual, com células escritas como "IDEM" e "Noite alta" em minúscula contra "Noite Alta" no deck. E o erro central, tratar custo anual como investimento, é falha de interpretação de quem leu rápido, não artefato de geração.
IDENTIFICAÇÃO: pasta anônima. Nenhum arquivo traz nome no texto, no nome do arquivo ou no metadado. Rastro de ferramenta que pode ajudar a estreitar: pptx exportado por "Walnut Exporter" e planilha no Excel Online. Criado em 17/09/2026 as 23:17 UTC. Sem o mapa número para candidato, V1 e V2 não podem ser transcritos e o bloco Vídeo fica valendo zero. Candidatos inscritos ainda não pareados a nenhuma pasta: João Pedro Mendes Stama, Rafael Ponciano Rodrigues dos Santos, Enzo Chofakian Gagliardi, João Gabriel de Oliveira Morcelli, Raphael Negrini Saggioro, Gustavo Daher Pereira, Ricardo Augusto Schmitt Filho, Matheus Dias Freitas, Klaus Augusto Santos da Silva, José Vitor Dias Tutu, Isadora Kluge Dorigan.</t>
        </is>
      </c>
      <c r="G34" s="30" t="inlineStr">
        <is>
          <t>Sim</t>
        </is>
      </c>
    </row>
    <row r="35" ht="14.25" customHeight="1" s="60">
      <c r="B35" s="30">
        <f>IF($C35="","",ROW()-4)</f>
        <v/>
      </c>
      <c r="C35" s="0" t="inlineStr">
        <is>
          <t>10</t>
        </is>
      </c>
      <c r="D35" s="0" t="inlineStr">
        <is>
          <t>Candidato 10 (anônimo)</t>
        </is>
      </c>
      <c r="E35" s="0" t="inlineStr">
        <is>
          <t>Avaliador 1</t>
        </is>
      </c>
      <c r="F35" s="73"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o que se espera de consultoria.
O argumento por trás também é sólido e ancorado no material. O Anexo D diz que parceiros têm horários variáveis e que armários operam 24h, e uma estação com 110 mil embarques por 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 milhões, mas o case pede um bairro prioritário e uma sequência, não quatro lançamentos simultâneos. Restrita à decisão real, a abdicação é R$ 2,76 milhões, não R$ 3,39 milhões. A ideia está certa e a conta está na base errada.
O segundo é que ele lista apenas os riscos da opção que descartou. Escolheu armários e não diz uma palavra sobre os riscos de armários: 60 bancos para instalar, capital imobilizado, dependência tecnológica. Falta também qualquer próximo passo, que a tarefa 04 pede. E enviar o rascunho junto, com os separadores de "######", custou ponto de forma sem necessidade.
Na entrevista eu faço as duas perguntas que fecham os buracos. Se a decisão é só sobre a Estação, quanto você está abdicando de fato? E quais são os riscos de escolher armários, já que você só listou os de parceiros?
Nota 6,57 com vídeo em branco. Considerando só o que dá para avaliar, 7,30.
Indício de IA: Baixo (consultivo, não afeta nota). O rascunho enviado junto é material de trabalho pessoal, com anotações em caixa alta separadas por linhas de "######". Ninguém gera isso, e a progressão rascunho para relatório final deixa o processo de escrita visível. O raciocínio de Noite Alta é idiossincrático e coloquial de um jeito que texto gerado raramente é. Ele marca a própria suposição na Arena com "supõe-se" em vez de afirmar.
IDENTIFICAÇÃO: pasta anônima. Nenhum arquivo traz nome no texto, no nome do arquivo ou no metadado. Rastro de ferramenta que pode ajudar a estreitar: rascunho impresso pelo Google Docs Renderer. No docx, o campo de autor foi preenchido com o titulo do documento e o lastModifiedBy esta como "Un-named". Sem o mapa número para candidato, V1 e V2 não podem ser transcritos e o bloco Vídeo fica valendo zero. Candidatos inscritos ainda não pareados a nenhuma pasta: João Pedro Mendes Stama, Rafael Ponciano Rodrigues dos Santos, Enzo Chofakian Gagliardi, João Gabriel de Oliveira Morcelli, Raphael Negrini Saggioro, Gustavo Daher Pereira, Ricardo Augusto Schmitt Filho, Matheus Dias Freitas, Klaus Augusto Santos da Silva, José Vitor Dias Tutu, Isadora Kluge Dorigan.</t>
        </is>
      </c>
      <c r="G35" s="30" t="inlineStr">
        <is>
          <t>Passaria para ver a entrevista</t>
        </is>
      </c>
    </row>
    <row r="36" ht="14.25" customHeight="1" s="60">
      <c r="B36" s="30">
        <f>IF($C36="","",ROW()-4)</f>
        <v/>
      </c>
      <c r="C36" s="0" t="inlineStr">
        <is>
          <t>l304532@dac.unicamp.br</t>
        </is>
      </c>
      <c r="D36" s="0" t="inlineStr">
        <is>
          <t>Leandra Cunha de Souza</t>
        </is>
      </c>
      <c r="E36" s="0" t="inlineStr">
        <is>
          <t>Avaliador 1</t>
        </is>
      </c>
      <c r="F36" s="73"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Nota 6,07 com vídeo em branco. Considerando só o que dá para avaliar, 6,74.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IDENTIFICAÇÃO: Leandra Cunha de Souza, l304532@dac.unicamp.br. Confiança alta. Como cheguei nisso: nome na capa, e-mail no ultimo slide e campo Author do metadado ("Leandra Cunha"). As notas de vídeo dele estão nas linhas 14 e 36 desta aba e precisam ser transcritas para cá, porque valem 10 pontos e hoje entram como zero.</t>
        </is>
      </c>
      <c r="G36" s="30" t="inlineStr">
        <is>
          <t>Passaria para ver a entrevista</t>
        </is>
      </c>
    </row>
    <row r="37" ht="14.25" customHeight="1" s="60">
      <c r="B37" s="30">
        <f>IF($C37="","",ROW()-4)</f>
        <v/>
      </c>
      <c r="C37" s="0" t="inlineStr">
        <is>
          <t>m277865@dac.unicamp.br</t>
        </is>
      </c>
      <c r="D37" s="0" t="inlineStr">
        <is>
          <t>Mariana Nunes Galvão Sant'Anna</t>
        </is>
      </c>
      <c r="E37" s="0" t="inlineStr">
        <is>
          <t>Avaliador 1</t>
        </is>
      </c>
      <c r="F37" s="73"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Nota 7,93 com vídeo em branco. Considerando só o que dá para avaliar, 8,81.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IDENTIFICAÇÃO: Mariana Nunes Galvão Sant'Anna, m277865@dac.unicamp.br. Confiança alta. Como cheguei nisso: nome no nome do arquivo, no slide de fechamento e no campo Author do metadado. As notas de vídeo dele estão nas linhas 16 e 38 desta aba e precisam ser transcritas para cá, porque valem 10 pontos e hoje entram como zero.</t>
        </is>
      </c>
      <c r="G37" s="30" t="inlineStr">
        <is>
          <t>Sim</t>
        </is>
      </c>
    </row>
    <row r="38" ht="14.25" customHeight="1" s="60">
      <c r="B38" s="30">
        <f>IF($C38="","",ROW()-4)</f>
        <v/>
      </c>
      <c r="C38" s="0" t="inlineStr">
        <is>
          <t>13</t>
        </is>
      </c>
      <c r="D38" s="0" t="inlineStr">
        <is>
          <t>Candidato 13 (anônimo)</t>
        </is>
      </c>
      <c r="E38" s="0" t="inlineStr">
        <is>
          <t>Avaliador 1</t>
        </is>
      </c>
      <c r="F38" s="73" t="inlineStr">
        <is>
          <t>A entrega mais frustrante que corrigi,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que eu vi em todas as pastas. Anotou que uma conexão dura em média 1h30 a 2h e que isso geralmente não dá tempo de passear pela cidade.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 o formato: seis fotos de caderno com sombra e um print de planilha, sem nenhum documento fechado.
Sobre a projeção, ela também não sobrevive. Ele anota "apenas 1º ano" ao lado do custo do banco, e o Anexo E diz que todos os valores são anuais. Corrigida a premissa, os armários nunca ultrapassam os parceiros e os quatro gráficos perdem sentido. Vale registrar que este é o terceiro candidato a ler o banco como investimento, junto com as pastas 05 e 09, o que me faz achar que a redação do Anexo E merece ajuste no próximo case.
Na entrevista, se ele passar, a primeira pergunta é a que falta. Você calculou tudo, então qual bairro e qual modelo você escolhe, e por quê? A segunda, por que o banco vale só no primeiro ano? A terceira eu faria por interesse genuíno: sua observação sobre a conexão de 1h30 é boa, o que ela faz com a demanda de 24 mil transações do case?
Nota 3,13 com vídeo em branco. Considerando só o que dá para avaliar, 3,48.
Indício de IA: Baixo (consultivo, não afeta nota). Evidência de propriedade praticamente incontestável, ao lado da pasta 05. Seis páginas de caderno fotografadas sob luz ruim, com os 3C's aplicados à mão e cada conta desenvolvida passo a passo. A anotação "apenas 1º ano" documenta decisão consciente. A observação sobre a duração das conexões traz informação de fora do case, o que texto gerado a partir do enunciado não produz porque não questiona o input. A ausência de recomendação é falta de tempo, não artefato.
IDENTIFICAÇÃO: pasta anônima. Nenhum arquivo traz nome no texto, no nome do arquivo ou no metadado. Rastro de ferramenta que pode ajudar a estreitar: PDF das contas gerado pelo app Fotos do iOS 26.6.2. Sem o mapa número para candidato, V1 e V2 não podem ser transcritos e o bloco Vídeo fica valendo zero. Candidatos inscritos ainda não pareados a nenhuma pasta: João Pedro Mendes Stama, Rafael Ponciano Rodrigues dos Santos, Enzo Chofakian Gagliardi, João Gabriel de Oliveira Morcelli, Raphael Negrini Saggioro, Gustavo Daher Pereira, Ricardo Augusto Schmitt Filho, Matheus Dias Freitas, Klaus Augusto Santos da Silva, José Vitor Dias Tutu, Isadora Kluge Dorigan.</t>
        </is>
      </c>
      <c r="G38" s="30" t="inlineStr">
        <is>
          <t>Não</t>
        </is>
      </c>
    </row>
    <row r="39" ht="14.25" customHeight="1" s="60">
      <c r="B39" s="30">
        <f>IF($C39="","",ROW()-4)</f>
        <v/>
      </c>
      <c r="C39" s="0" t="inlineStr">
        <is>
          <t>r302729@dac.unicamp.br</t>
        </is>
      </c>
      <c r="D39" s="0" t="inlineStr">
        <is>
          <t>Rafael Rodrigues Moreira</t>
        </is>
      </c>
      <c r="E39" s="0" t="inlineStr">
        <is>
          <t>Avaliador 1</t>
        </is>
      </c>
      <c r="F39" s="73"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Nota 5,20 com vídeo em branco. Considerando só o que dá para avaliar, 5,78.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IDENTIFICAÇÃO: Rafael Rodrigues Moreira, r302729@dac.unicamp.br. Confiança alta. Como cheguei nisso: nome na capa e no nome do arquivo. As notas de vídeo dele estão nas linhas 24 e 46 desta aba e precisam ser transcritas para cá, porque valem 10 pontos e hoje entram como zero.</t>
        </is>
      </c>
      <c r="G39" s="30" t="inlineStr">
        <is>
          <t>Passaria para ver a entrevista</t>
        </is>
      </c>
    </row>
    <row r="40" ht="14.25" customHeight="1" s="60">
      <c r="B40" s="30">
        <f>IF($C40="","",ROW()-4)</f>
        <v/>
      </c>
      <c r="C40" s="0" t="inlineStr">
        <is>
          <t>15</t>
        </is>
      </c>
      <c r="D40" s="0" t="inlineStr">
        <is>
          <t>Candidato 15 (anônimo)</t>
        </is>
      </c>
      <c r="E40" s="0" t="inlineStr">
        <is>
          <t>Avaliador 1</t>
        </is>
      </c>
      <c r="F40" s="73" t="inlineStr">
        <is>
          <t>O cálculo está perfeito e é praticamente tudo o que existe.
Os oito cenários estão certos, desenvolvidos à mão, e a Arena, onde a maioria escorrega, está não só correta como autocorrigida. Ele escreveu a divisão 900 por 40, riscou o primeiro resultado e anotou acima, com seta, "arredondando para 23". Ver a correção acontecendo na página é, para mim,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Nota 2,63 com vídeo em branco. Considerando só o que dá para avaliar, 2,93.
Indício de IA: Baixo (consultivo, não afeta nota). Evidência praticamente incontestável. Oito páginas manuscritas digitalizadas, com o rascunho transcrevendo os anexos à mão. O ponto decisivo é a autocorreção visível na página da Arena: valor riscado e a anotação "arredondando para 23" acrescentada acima com seta. Erro cometido e corrigido no próprio papel não é fabricável. A ausência de recomendação é falha de execução, e texto gerado faz o contrário, entrega a conclusão e economiza no desenvolvimento.
IDENTIFICAÇÃO: pasta anônima. Nenhum arquivo traz nome no texto, no nome do arquivo ou no metadado. Rastro de ferramenta que pode ajudar a estreitar: os dois PDFs foram gerados pelo CamScanner. Sem o mapa número para candidato, V1 e V2 não podem ser transcritos e o bloco Vídeo fica valendo zero. Candidatos inscritos ainda não pareados a nenhuma pasta: João Pedro Mendes Stama, Rafael Ponciano Rodrigues dos Santos, Enzo Chofakian Gagliardi, João Gabriel de Oliveira Morcelli, Raphael Negrini Saggioro, Gustavo Daher Pereira, Ricardo Augusto Schmitt Filho, Matheus Dias Freitas, Klaus Augusto Santos da Silva, José Vitor Dias Tutu, Isadora Kluge Dorigan.</t>
        </is>
      </c>
      <c r="G40" s="30" t="inlineStr">
        <is>
          <t>Não</t>
        </is>
      </c>
    </row>
    <row r="41" ht="14.25" customHeight="1" s="60">
      <c r="B41" s="30">
        <f>IF($C41="","",ROW()-4)</f>
        <v/>
      </c>
      <c r="C41" s="0" t="inlineStr">
        <is>
          <t>v188630@dac.unicamp.br</t>
        </is>
      </c>
      <c r="D41" s="0" t="inlineStr">
        <is>
          <t>Vagner Ássimos Gomes Carlos Filho</t>
        </is>
      </c>
      <c r="E41" s="0" t="inlineStr">
        <is>
          <t>Avaliador 1</t>
        </is>
      </c>
      <c r="F41" s="73"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Nota 7,70 com vídeo em branco. Considerando só o que dá para avaliar, 8,56.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IDENTIFICAÇÃO: Vagner Ássimos Gomes Carlos Filho, v188630@dac.unicamp.br. Confiança alta. Como cheguei nisso: nome na capa e campo Author do metadado ("Vagner"). As notas de vídeo dele estão nas linhas 15 e 37 desta aba e precisam ser transcritas para cá, porque valem 10 pontos e hoje entram como zero.</t>
        </is>
      </c>
      <c r="G41" s="30" t="inlineStr">
        <is>
          <t>Sim</t>
        </is>
      </c>
    </row>
    <row r="42" ht="14.25" customHeight="1" s="60">
      <c r="B42" s="30">
        <f>IF($C42="","",ROW()-4)</f>
        <v/>
      </c>
      <c r="F42" s="73" t="n"/>
      <c r="G42" s="30" t="n"/>
    </row>
    <row r="43" ht="14.25" customHeight="1" s="60">
      <c r="B43" s="30">
        <f>IF($C43="","",ROW()-4)</f>
        <v/>
      </c>
      <c r="F43" s="73" t="n"/>
      <c r="G43" s="30" t="n"/>
    </row>
    <row r="44" ht="14.25" customHeight="1" s="60">
      <c r="B44" s="30">
        <f>IF($C44="","",ROW()-4)</f>
        <v/>
      </c>
      <c r="F44" s="73" t="n"/>
      <c r="G44" s="30" t="n"/>
    </row>
    <row r="45" ht="14.25" customHeight="1" s="60">
      <c r="B45" s="30">
        <f>IF($C45="","",ROW()-4)</f>
        <v/>
      </c>
      <c r="F45" s="73" t="n"/>
      <c r="G45" s="30" t="n"/>
    </row>
    <row r="46" ht="14.25" customHeight="1" s="60">
      <c r="B46" s="30">
        <f>IF($C46="","",ROW()-4)</f>
        <v/>
      </c>
      <c r="F46" s="73" t="n"/>
      <c r="G46" s="30" t="n"/>
    </row>
    <row r="47" ht="14.25" customHeight="1" s="60">
      <c r="B47" s="30">
        <f>IF($C47="","",ROW()-4)</f>
        <v/>
      </c>
      <c r="F47" s="73" t="n"/>
      <c r="G47" s="30" t="n"/>
    </row>
    <row r="48" ht="14.25" customHeight="1" s="60">
      <c r="B48" s="30">
        <f>IF($C48="","",ROW()-4)</f>
        <v/>
      </c>
      <c r="F48" s="73" t="n"/>
      <c r="G48" s="30" t="n"/>
    </row>
    <row r="49" ht="14.25" customHeight="1" s="60">
      <c r="B49" s="30">
        <f>IF($C49="","",ROW()-4)</f>
        <v/>
      </c>
      <c r="F49" s="73" t="n"/>
      <c r="G49" s="30" t="n"/>
    </row>
    <row r="50" ht="14.25" customHeight="1" s="60">
      <c r="B50" s="30">
        <f>IF($C50="","",ROW()-4)</f>
        <v/>
      </c>
      <c r="F50" s="73" t="n"/>
      <c r="G50" s="30" t="n"/>
    </row>
    <row r="51" ht="14.25" customHeight="1" s="60">
      <c r="B51" s="30">
        <f>IF($C51="","",ROW()-4)</f>
        <v/>
      </c>
      <c r="F51" s="73" t="n"/>
      <c r="G51" s="30" t="n"/>
    </row>
    <row r="52" ht="14.25" customHeight="1" s="60">
      <c r="B52" s="30">
        <f>IF($C52="","",ROW()-4)</f>
        <v/>
      </c>
      <c r="F52" s="73" t="n"/>
      <c r="G52" s="30" t="n"/>
    </row>
    <row r="53" ht="14.25" customHeight="1" s="60">
      <c r="B53" s="30">
        <f>IF($C53="","",ROW()-4)</f>
        <v/>
      </c>
      <c r="F53" s="73" t="n"/>
      <c r="G53" s="30" t="n"/>
    </row>
    <row r="54" ht="14.25" customHeight="1" s="60">
      <c r="B54" s="30">
        <f>IF($C54="","",ROW()-4)</f>
        <v/>
      </c>
      <c r="F54" s="73" t="n"/>
      <c r="G54" s="30" t="n"/>
    </row>
    <row r="55" ht="14.25" customHeight="1" s="60">
      <c r="B55" s="30">
        <f>IF($C55="","",ROW()-4)</f>
        <v/>
      </c>
      <c r="F55" s="73" t="n"/>
      <c r="G55" s="30" t="n"/>
    </row>
    <row r="56" ht="14.25" customHeight="1" s="60">
      <c r="B56" s="30">
        <f>IF($C56="","",ROW()-4)</f>
        <v/>
      </c>
      <c r="F56" s="73" t="n"/>
      <c r="G56" s="30" t="n"/>
    </row>
    <row r="57" ht="14.25" customHeight="1" s="60">
      <c r="B57" s="30">
        <f>IF($C57="","",ROW()-4)</f>
        <v/>
      </c>
      <c r="F57" s="73" t="n"/>
      <c r="G57" s="30" t="n"/>
    </row>
    <row r="58" ht="14.25" customHeight="1" s="60">
      <c r="B58" s="30">
        <f>IF($C58="","",ROW()-4)</f>
        <v/>
      </c>
      <c r="F58" s="73" t="n"/>
      <c r="G58" s="30" t="n"/>
    </row>
    <row r="59" ht="14.25" customHeight="1" s="60">
      <c r="B59" s="30">
        <f>IF($C59="","",ROW()-4)</f>
        <v/>
      </c>
      <c r="F59" s="73" t="n"/>
      <c r="G59" s="30" t="n"/>
    </row>
    <row r="60" ht="14.25" customHeight="1" s="60">
      <c r="B60" s="30">
        <f>IF($C60="","",ROW()-4)</f>
        <v/>
      </c>
      <c r="F60" s="73" t="n"/>
      <c r="G60" s="30" t="n"/>
    </row>
    <row r="61" ht="14.25" customHeight="1" s="60">
      <c r="B61" s="30">
        <f>IF($C61="","",ROW()-4)</f>
        <v/>
      </c>
      <c r="F61" s="73" t="n"/>
      <c r="G61" s="30" t="n"/>
    </row>
    <row r="62" ht="14.25" customHeight="1" s="60">
      <c r="B62" s="30">
        <f>IF($C62="","",ROW()-4)</f>
        <v/>
      </c>
      <c r="F62" s="73" t="n"/>
      <c r="G62" s="30" t="n"/>
    </row>
    <row r="63" ht="14.25" customHeight="1" s="60">
      <c r="B63" s="30">
        <f>IF($C63="","",ROW()-4)</f>
        <v/>
      </c>
      <c r="F63" s="73" t="n"/>
      <c r="G63" s="30" t="n"/>
    </row>
    <row r="64" ht="14.25" customHeight="1" s="60">
      <c r="B64" s="30">
        <f>IF($C64="","",ROW()-4)</f>
        <v/>
      </c>
      <c r="F64" s="73" t="n"/>
      <c r="G64" s="30" t="n"/>
    </row>
    <row r="65" ht="14.25" customHeight="1" s="60">
      <c r="B65" s="30">
        <f>IF($C65="","",ROW()-4)</f>
        <v/>
      </c>
      <c r="F65" s="73" t="n"/>
      <c r="G65" s="30" t="n"/>
    </row>
    <row r="66" ht="14.25" customHeight="1" s="60">
      <c r="B66" s="30">
        <f>IF($C66="","",ROW()-4)</f>
        <v/>
      </c>
      <c r="F66" s="73" t="n"/>
      <c r="G66" s="30" t="n"/>
    </row>
    <row r="67" ht="14.25" customHeight="1" s="60">
      <c r="B67" s="30">
        <f>IF($C67="","",ROW()-4)</f>
        <v/>
      </c>
      <c r="F67" s="73" t="n"/>
      <c r="G67" s="30" t="n"/>
    </row>
    <row r="68" ht="14.25" customHeight="1" s="60">
      <c r="B68" s="30">
        <f>IF($C68="","",ROW()-4)</f>
        <v/>
      </c>
      <c r="F68" s="73" t="n"/>
      <c r="G68" s="30" t="n"/>
    </row>
    <row r="69" ht="14.25" customHeight="1" s="60">
      <c r="B69" s="30">
        <f>IF($C69="","",ROW()-4)</f>
        <v/>
      </c>
      <c r="F69" s="73" t="n"/>
      <c r="G69" s="30" t="n"/>
    </row>
    <row r="70" ht="14.25" customHeight="1" s="60">
      <c r="B70" s="30">
        <f>IF($C70="","",ROW()-4)</f>
        <v/>
      </c>
      <c r="F70" s="73" t="n"/>
      <c r="G70" s="30" t="n"/>
    </row>
    <row r="71" ht="14.25" customHeight="1" s="60">
      <c r="B71" s="30">
        <f>IF($C71="","",ROW()-4)</f>
        <v/>
      </c>
      <c r="F71" s="73" t="n"/>
      <c r="G71" s="30" t="n"/>
    </row>
    <row r="72" ht="14.25" customHeight="1" s="60">
      <c r="B72" s="30">
        <f>IF($C72="","",ROW()-4)</f>
        <v/>
      </c>
      <c r="F72" s="73" t="n"/>
      <c r="G72" s="30" t="n"/>
    </row>
    <row r="73" ht="14.25" customHeight="1" s="60">
      <c r="B73" s="30">
        <f>IF($C73="","",ROW()-4)</f>
        <v/>
      </c>
      <c r="F73" s="73" t="n"/>
      <c r="G73" s="30" t="n"/>
    </row>
    <row r="74" ht="14.25" customHeight="1" s="60">
      <c r="B74" s="30">
        <f>IF($C74="","",ROW()-4)</f>
        <v/>
      </c>
      <c r="F74" s="73" t="n"/>
      <c r="G74" s="30" t="n"/>
    </row>
    <row r="75" ht="14.25" customHeight="1" s="60">
      <c r="B75" s="30">
        <f>IF($C75="","",ROW()-4)</f>
        <v/>
      </c>
      <c r="F75" s="73" t="n"/>
      <c r="G75" s="30" t="n"/>
    </row>
    <row r="76" ht="14.25" customHeight="1" s="60">
      <c r="B76" s="30">
        <f>IF($C76="","",ROW()-4)</f>
        <v/>
      </c>
      <c r="F76" s="73" t="n"/>
      <c r="G76" s="30" t="n"/>
    </row>
    <row r="77" ht="14.25" customHeight="1" s="60">
      <c r="B77" s="30">
        <f>IF($C77="","",ROW()-4)</f>
        <v/>
      </c>
      <c r="F77" s="73" t="n"/>
      <c r="G77" s="30" t="n"/>
    </row>
    <row r="78" ht="14.25" customHeight="1" s="60">
      <c r="B78" s="30">
        <f>IF($C78="","",ROW()-4)</f>
        <v/>
      </c>
      <c r="F78" s="73" t="n"/>
      <c r="G78" s="30" t="n"/>
    </row>
    <row r="79" ht="14.25" customHeight="1" s="60">
      <c r="B79" s="30">
        <f>IF($C79="","",ROW()-4)</f>
        <v/>
      </c>
      <c r="F79" s="73" t="n"/>
      <c r="G79" s="30" t="n"/>
    </row>
    <row r="80" ht="14.25" customHeight="1" s="60">
      <c r="B80" s="30">
        <f>IF($C80="","",ROW()-4)</f>
        <v/>
      </c>
      <c r="F80" s="73" t="n"/>
      <c r="G80" s="30" t="n"/>
    </row>
    <row r="81" ht="14.25" customHeight="1" s="60">
      <c r="B81" s="30">
        <f>IF($C81="","",ROW()-4)</f>
        <v/>
      </c>
      <c r="F81" s="73" t="n"/>
      <c r="G81" s="30" t="n"/>
    </row>
    <row r="82" ht="14.25" customHeight="1" s="60">
      <c r="B82" s="30">
        <f>IF($C82="","",ROW()-4)</f>
        <v/>
      </c>
      <c r="F82" s="73" t="n"/>
      <c r="G82" s="30" t="n"/>
    </row>
    <row r="83" ht="14.25" customHeight="1" s="60">
      <c r="B83" s="30">
        <f>IF($C83="","",ROW()-4)</f>
        <v/>
      </c>
      <c r="F83" s="73" t="n"/>
      <c r="G83" s="30" t="n"/>
    </row>
    <row r="84" ht="14.25" customHeight="1" s="60">
      <c r="B84" s="30">
        <f>IF($C84="","",ROW()-4)</f>
        <v/>
      </c>
      <c r="F84" s="73" t="n"/>
      <c r="G84" s="30" t="n"/>
    </row>
    <row r="85" ht="14.25" customHeight="1" s="60">
      <c r="B85" s="30">
        <f>IF($C85="","",ROW()-4)</f>
        <v/>
      </c>
      <c r="F85" s="73" t="n"/>
      <c r="G85" s="30" t="n"/>
    </row>
    <row r="86" ht="14.25" customHeight="1" s="60">
      <c r="B86" s="30">
        <f>IF($C86="","",ROW()-4)</f>
        <v/>
      </c>
      <c r="F86" s="73" t="n"/>
      <c r="G86" s="30" t="n"/>
    </row>
    <row r="87" ht="14.25" customHeight="1" s="60">
      <c r="B87" s="30">
        <f>IF($C87="","",ROW()-4)</f>
        <v/>
      </c>
      <c r="F87" s="73" t="n"/>
      <c r="G87" s="30" t="n"/>
    </row>
    <row r="88" ht="14.25" customHeight="1" s="60">
      <c r="B88" s="30">
        <f>IF($C88="","",ROW()-4)</f>
        <v/>
      </c>
      <c r="F88" s="73" t="n"/>
      <c r="G88" s="30" t="n"/>
    </row>
    <row r="89" ht="14.25" customHeight="1" s="60">
      <c r="B89" s="30">
        <f>IF($C89="","",ROW()-4)</f>
        <v/>
      </c>
      <c r="F89" s="73" t="n"/>
      <c r="G89" s="30" t="n"/>
    </row>
    <row r="90" ht="14.25" customHeight="1" s="60">
      <c r="B90" s="30">
        <f>IF($C90="","",ROW()-4)</f>
        <v/>
      </c>
      <c r="F90" s="73" t="n"/>
      <c r="G90" s="30" t="n"/>
    </row>
    <row r="91" ht="14.25" customHeight="1" s="60">
      <c r="B91" s="30">
        <f>IF($C91="","",ROW()-4)</f>
        <v/>
      </c>
      <c r="F91" s="73" t="n"/>
      <c r="G91" s="30" t="n"/>
    </row>
    <row r="92" ht="14.25" customHeight="1" s="60">
      <c r="B92" s="30">
        <f>IF($C92="","",ROW()-4)</f>
        <v/>
      </c>
      <c r="F92" s="73" t="n"/>
      <c r="G92" s="30" t="n"/>
    </row>
    <row r="93" ht="14.25" customHeight="1" s="60">
      <c r="B93" s="30">
        <f>IF($C93="","",ROW()-4)</f>
        <v/>
      </c>
      <c r="F93" s="73" t="n"/>
      <c r="G93" s="30" t="n"/>
    </row>
    <row r="94" ht="14.25" customHeight="1" s="60">
      <c r="B94" s="30">
        <f>IF($C94="","",ROW()-4)</f>
        <v/>
      </c>
      <c r="F94" s="73" t="n"/>
      <c r="G94" s="30" t="n"/>
    </row>
    <row r="95" ht="14.25" customHeight="1" s="60">
      <c r="B95" s="30">
        <f>IF($C95="","",ROW()-4)</f>
        <v/>
      </c>
      <c r="F95" s="73" t="n"/>
      <c r="G95" s="30" t="n"/>
    </row>
    <row r="96" ht="14.25" customHeight="1" s="60">
      <c r="B96" s="30">
        <f>IF($C96="","",ROW()-4)</f>
        <v/>
      </c>
      <c r="F96" s="73" t="n"/>
      <c r="G96" s="30" t="n"/>
    </row>
    <row r="97" ht="14.25" customHeight="1" s="60">
      <c r="B97" s="30">
        <f>IF($C97="","",ROW()-4)</f>
        <v/>
      </c>
      <c r="F97" s="73" t="n"/>
      <c r="G97" s="30" t="n"/>
    </row>
    <row r="98" ht="14.25" customHeight="1" s="60">
      <c r="B98" s="30">
        <f>IF($C98="","",ROW()-4)</f>
        <v/>
      </c>
      <c r="F98" s="73" t="n"/>
      <c r="G98" s="30" t="n"/>
    </row>
    <row r="99" ht="14.25" customHeight="1" s="60">
      <c r="B99" s="30">
        <f>IF($C99="","",ROW()-4)</f>
        <v/>
      </c>
      <c r="F99" s="73" t="n"/>
      <c r="G99" s="30" t="n"/>
    </row>
    <row r="100" ht="14.25" customHeight="1" s="60">
      <c r="B100" s="30">
        <f>IF($C100="","",ROW()-4)</f>
        <v/>
      </c>
      <c r="F100" s="73" t="n"/>
      <c r="G100" s="30" t="n"/>
    </row>
    <row r="101" ht="14.25" customHeight="1" s="60">
      <c r="B101" s="30">
        <f>IF($C101="","",ROW()-4)</f>
        <v/>
      </c>
      <c r="F101" s="73" t="n"/>
      <c r="G101" s="30" t="n"/>
    </row>
    <row r="102" ht="14.25" customHeight="1" s="60">
      <c r="B102" s="30">
        <f>IF($C102="","",ROW()-4)</f>
        <v/>
      </c>
      <c r="F102" s="73" t="n"/>
      <c r="G102" s="30" t="n"/>
    </row>
    <row r="103" ht="14.25" customHeight="1" s="60">
      <c r="B103" s="30">
        <f>IF($C103="","",ROW()-4)</f>
        <v/>
      </c>
      <c r="F103" s="73" t="n"/>
      <c r="G103" s="30" t="n"/>
    </row>
    <row r="104" ht="14.25" customHeight="1" s="60">
      <c r="B104" s="30">
        <f>IF($C104="","",ROW()-4)</f>
        <v/>
      </c>
      <c r="F104" s="73" t="n"/>
      <c r="G104" s="30" t="n"/>
    </row>
    <row r="105" ht="14.25" customHeight="1" s="60">
      <c r="B105" s="30">
        <f>IF($C105="","",ROW()-4)</f>
        <v/>
      </c>
      <c r="F105" s="73" t="n"/>
      <c r="G105" s="30" t="n"/>
    </row>
    <row r="106" ht="14.25" customHeight="1" s="60">
      <c r="B106" s="30">
        <f>IF($C106="","",ROW()-4)</f>
        <v/>
      </c>
      <c r="F106" s="73" t="n"/>
      <c r="G106" s="30" t="n"/>
    </row>
    <row r="107" ht="14.25" customHeight="1" s="60">
      <c r="B107" s="30">
        <f>IF($C107="","",ROW()-4)</f>
        <v/>
      </c>
      <c r="F107" s="73" t="n"/>
      <c r="G107" s="30" t="n"/>
    </row>
    <row r="108" ht="14.25" customHeight="1" s="60">
      <c r="B108" s="30">
        <f>IF($C108="","",ROW()-4)</f>
        <v/>
      </c>
      <c r="F108" s="73" t="n"/>
      <c r="G108" s="30" t="n"/>
    </row>
    <row r="109" ht="14.25" customHeight="1" s="60">
      <c r="B109" s="30">
        <f>IF($C109="","",ROW()-4)</f>
        <v/>
      </c>
      <c r="F109" s="73" t="n"/>
      <c r="G109" s="30" t="n"/>
    </row>
    <row r="110" ht="14.25" customHeight="1" s="60">
      <c r="B110" s="30">
        <f>IF($C110="","",ROW()-4)</f>
        <v/>
      </c>
      <c r="F110" s="73" t="n"/>
      <c r="G110" s="30" t="n"/>
    </row>
    <row r="111" ht="14.25" customHeight="1" s="60">
      <c r="B111" s="30">
        <f>IF($C111="","",ROW()-4)</f>
        <v/>
      </c>
      <c r="F111" s="73" t="n"/>
      <c r="G111" s="30" t="n"/>
    </row>
    <row r="112" ht="14.25" customHeight="1" s="60">
      <c r="B112" s="30">
        <f>IF($C112="","",ROW()-4)</f>
        <v/>
      </c>
      <c r="F112" s="73" t="n"/>
      <c r="G112" s="30" t="n"/>
    </row>
    <row r="113" ht="14.25" customHeight="1" s="60">
      <c r="B113" s="30">
        <f>IF($C113="","",ROW()-4)</f>
        <v/>
      </c>
      <c r="F113" s="73" t="n"/>
      <c r="G113" s="30" t="n"/>
    </row>
    <row r="114" ht="14.25" customHeight="1" s="60">
      <c r="B114" s="30">
        <f>IF($C114="","",ROW()-4)</f>
        <v/>
      </c>
      <c r="F114" s="73" t="n"/>
      <c r="G114" s="30" t="n"/>
    </row>
    <row r="115" ht="14.25" customHeight="1" s="60">
      <c r="B115" s="30">
        <f>IF($C115="","",ROW()-4)</f>
        <v/>
      </c>
      <c r="F115" s="73" t="n"/>
      <c r="G115" s="30" t="n"/>
    </row>
    <row r="116" ht="14.25" customHeight="1" s="60">
      <c r="B116" s="30">
        <f>IF($C116="","",ROW()-4)</f>
        <v/>
      </c>
      <c r="F116" s="73" t="n"/>
      <c r="G116" s="30" t="n"/>
    </row>
    <row r="117" ht="14.25" customHeight="1" s="60">
      <c r="B117" s="30">
        <f>IF($C117="","",ROW()-4)</f>
        <v/>
      </c>
      <c r="F117" s="73" t="n"/>
      <c r="G117" s="30" t="n"/>
    </row>
    <row r="118" ht="14.25" customHeight="1" s="60">
      <c r="B118" s="30">
        <f>IF($C118="","",ROW()-4)</f>
        <v/>
      </c>
      <c r="F118" s="73" t="n"/>
      <c r="G118" s="30" t="n"/>
    </row>
    <row r="119" ht="14.25" customHeight="1" s="60">
      <c r="B119" s="30">
        <f>IF($C119="","",ROW()-4)</f>
        <v/>
      </c>
      <c r="F119" s="73" t="n"/>
      <c r="G119" s="30" t="n"/>
    </row>
    <row r="120" ht="14.25" customHeight="1" s="60">
      <c r="B120" s="30">
        <f>IF($C120="","",ROW()-4)</f>
        <v/>
      </c>
      <c r="F120" s="73" t="n"/>
      <c r="G120" s="30" t="n"/>
    </row>
    <row r="121" ht="14.25" customHeight="1" s="60">
      <c r="B121" s="30">
        <f>IF($C121="","",ROW()-4)</f>
        <v/>
      </c>
      <c r="F121" s="73" t="n"/>
      <c r="G121" s="30" t="n"/>
    </row>
    <row r="122" ht="14.25" customHeight="1" s="60">
      <c r="B122" s="30">
        <f>IF($C122="","",ROW()-4)</f>
        <v/>
      </c>
      <c r="F122" s="73" t="n"/>
      <c r="G122" s="30" t="n"/>
    </row>
    <row r="123" ht="14.25" customHeight="1" s="60">
      <c r="B123" s="30">
        <f>IF($C123="","",ROW()-4)</f>
        <v/>
      </c>
      <c r="F123" s="73" t="n"/>
      <c r="G123" s="30" t="n"/>
    </row>
    <row r="124" ht="14.25" customHeight="1" s="60">
      <c r="B124" s="30">
        <f>IF($C124="","",ROW()-4)</f>
        <v/>
      </c>
      <c r="F124" s="73" t="n"/>
      <c r="G124" s="30" t="n"/>
    </row>
    <row r="125" ht="14.25" customHeight="1" s="60">
      <c r="B125" s="30">
        <f>IF($C125="","",ROW()-4)</f>
        <v/>
      </c>
      <c r="F125" s="73" t="n"/>
      <c r="G125" s="30" t="n"/>
    </row>
    <row r="126" ht="14.25" customHeight="1" s="60">
      <c r="B126" s="30">
        <f>IF($C126="","",ROW()-4)</f>
        <v/>
      </c>
      <c r="F126" s="73" t="n"/>
      <c r="G126" s="30" t="n"/>
    </row>
    <row r="127" ht="14.25" customHeight="1" s="60">
      <c r="B127" s="30">
        <f>IF($C127="","",ROW()-4)</f>
        <v/>
      </c>
      <c r="F127" s="73" t="n"/>
      <c r="G127" s="30" t="n"/>
    </row>
    <row r="128" ht="14.25" customHeight="1" s="60">
      <c r="B128" s="30">
        <f>IF($C128="","",ROW()-4)</f>
        <v/>
      </c>
      <c r="F128" s="73" t="n"/>
      <c r="G128" s="30" t="n"/>
    </row>
    <row r="129" ht="14.25" customHeight="1" s="60">
      <c r="B129" s="30">
        <f>IF($C129="","",ROW()-4)</f>
        <v/>
      </c>
      <c r="F129" s="73" t="n"/>
      <c r="G129" s="30" t="n"/>
    </row>
    <row r="130" ht="14.25" customHeight="1" s="60">
      <c r="B130" s="30">
        <f>IF($C130="","",ROW()-4)</f>
        <v/>
      </c>
      <c r="F130" s="73" t="n"/>
      <c r="G130" s="30" t="n"/>
    </row>
    <row r="131" ht="14.25" customHeight="1" s="60">
      <c r="B131" s="30">
        <f>IF($C131="","",ROW()-4)</f>
        <v/>
      </c>
      <c r="F131" s="73" t="n"/>
      <c r="G131" s="30" t="n"/>
    </row>
    <row r="132" ht="14.25" customHeight="1" s="60">
      <c r="B132" s="30">
        <f>IF($C132="","",ROW()-4)</f>
        <v/>
      </c>
      <c r="F132" s="73" t="n"/>
      <c r="G132" s="30" t="n"/>
    </row>
    <row r="133" ht="14.25" customHeight="1" s="60">
      <c r="B133" s="30">
        <f>IF($C133="","",ROW()-4)</f>
        <v/>
      </c>
      <c r="F133" s="73" t="n"/>
      <c r="G133" s="30" t="n"/>
    </row>
    <row r="134" ht="14.25" customHeight="1" s="60">
      <c r="B134" s="30">
        <f>IF($C134="","",ROW()-4)</f>
        <v/>
      </c>
      <c r="F134" s="73" t="n"/>
      <c r="G134" s="30" t="n"/>
    </row>
    <row r="135" ht="14.25" customHeight="1" s="60">
      <c r="B135" s="30">
        <f>IF($C135="","",ROW()-4)</f>
        <v/>
      </c>
      <c r="F135" s="73" t="n"/>
      <c r="G135" s="30" t="n"/>
    </row>
    <row r="136" ht="14.25" customHeight="1" s="60">
      <c r="B136" s="30">
        <f>IF($C136="","",ROW()-4)</f>
        <v/>
      </c>
      <c r="F136" s="73" t="n"/>
      <c r="G136" s="30" t="n"/>
    </row>
    <row r="137" ht="14.25" customHeight="1" s="60">
      <c r="B137" s="30">
        <f>IF($C137="","",ROW()-4)</f>
        <v/>
      </c>
      <c r="F137" s="73" t="n"/>
      <c r="G137" s="30" t="n"/>
    </row>
    <row r="138" ht="14.25" customHeight="1" s="60">
      <c r="B138" s="30">
        <f>IF($C138="","",ROW()-4)</f>
        <v/>
      </c>
      <c r="F138" s="73" t="n"/>
      <c r="G138" s="30" t="n"/>
    </row>
    <row r="139" ht="14.25" customHeight="1" s="60">
      <c r="B139" s="30">
        <f>IF($C139="","",ROW()-4)</f>
        <v/>
      </c>
      <c r="F139" s="73" t="n"/>
      <c r="G139" s="30" t="n"/>
    </row>
    <row r="140" ht="14.25" customHeight="1" s="60">
      <c r="B140" s="30">
        <f>IF($C140="","",ROW()-4)</f>
        <v/>
      </c>
      <c r="F140" s="73" t="n"/>
      <c r="G140" s="30" t="n"/>
    </row>
    <row r="141" ht="14.25" customHeight="1" s="60">
      <c r="B141" s="30">
        <f>IF($C141="","",ROW()-4)</f>
        <v/>
      </c>
      <c r="F141" s="73" t="n"/>
      <c r="G141" s="30" t="n"/>
    </row>
    <row r="142" ht="14.25" customHeight="1" s="60">
      <c r="B142" s="30">
        <f>IF($C142="","",ROW()-4)</f>
        <v/>
      </c>
      <c r="F142" s="73" t="n"/>
      <c r="G142" s="30" t="n"/>
    </row>
    <row r="143" ht="14.25" customHeight="1" s="60">
      <c r="B143" s="30">
        <f>IF($C143="","",ROW()-4)</f>
        <v/>
      </c>
      <c r="F143" s="73" t="n"/>
      <c r="G143" s="30" t="n"/>
    </row>
    <row r="144" ht="14.25" customHeight="1" s="60">
      <c r="B144" s="30">
        <f>IF($C144="","",ROW()-4)</f>
        <v/>
      </c>
      <c r="F144" s="73" t="n"/>
      <c r="G144" s="30" t="n"/>
    </row>
    <row r="145" ht="14.25" customHeight="1" s="60">
      <c r="B145" s="30">
        <f>IF($C145="","",ROW()-4)</f>
        <v/>
      </c>
      <c r="F145" s="73" t="n"/>
      <c r="G145" s="30" t="n"/>
    </row>
    <row r="146" ht="14.25" customHeight="1" s="60">
      <c r="B146" s="30">
        <f>IF($C146="","",ROW()-4)</f>
        <v/>
      </c>
      <c r="F146" s="73" t="n"/>
      <c r="G146" s="30" t="n"/>
    </row>
    <row r="147" ht="14.25" customHeight="1" s="60">
      <c r="B147" s="30">
        <f>IF($C147="","",ROW()-4)</f>
        <v/>
      </c>
      <c r="F147" s="73" t="n"/>
      <c r="G147" s="30" t="n"/>
    </row>
    <row r="148" ht="14.25" customHeight="1" s="60">
      <c r="B148" s="30">
        <f>IF($C148="","",ROW()-4)</f>
        <v/>
      </c>
      <c r="F148" s="73" t="n"/>
      <c r="G148" s="30" t="n"/>
    </row>
    <row r="149" ht="14.25" customHeight="1" s="60">
      <c r="B149" s="30">
        <f>IF($C149="","",ROW()-4)</f>
        <v/>
      </c>
      <c r="F149" s="73" t="n"/>
      <c r="G149" s="30" t="n"/>
    </row>
    <row r="150" ht="14.25" customHeight="1" s="60">
      <c r="B150" s="30">
        <f>IF($C150="","",ROW()-4)</f>
        <v/>
      </c>
      <c r="F150" s="73" t="n"/>
      <c r="G150" s="30" t="n"/>
    </row>
    <row r="151" ht="14.25" customHeight="1" s="60">
      <c r="B151" s="30">
        <f>IF($C151="","",ROW()-4)</f>
        <v/>
      </c>
      <c r="F151" s="73" t="n"/>
      <c r="G151" s="30" t="n"/>
    </row>
    <row r="152" ht="14.25" customHeight="1" s="60">
      <c r="B152" s="30">
        <f>IF($C152="","",ROW()-4)</f>
        <v/>
      </c>
      <c r="F152" s="73" t="n"/>
      <c r="G152" s="30" t="n"/>
    </row>
    <row r="153" ht="14.25" customHeight="1" s="60">
      <c r="B153" s="30">
        <f>IF($C153="","",ROW()-4)</f>
        <v/>
      </c>
      <c r="F153" s="73" t="n"/>
      <c r="G153" s="30" t="n"/>
    </row>
    <row r="154" ht="14.25" customHeight="1" s="60">
      <c r="B154" s="30">
        <f>IF($C154="","",ROW()-4)</f>
        <v/>
      </c>
      <c r="F154" s="73" t="n"/>
      <c r="G154" s="30" t="n"/>
    </row>
    <row r="155" ht="14.25" customHeight="1" s="60">
      <c r="B155" s="30">
        <f>IF($C155="","",ROW()-4)</f>
        <v/>
      </c>
      <c r="F155" s="73" t="n"/>
      <c r="G155" s="30" t="n"/>
    </row>
    <row r="156" ht="14.25" customHeight="1" s="60">
      <c r="B156" s="30">
        <f>IF($C156="","",ROW()-4)</f>
        <v/>
      </c>
      <c r="F156" s="73" t="n"/>
      <c r="G156" s="30" t="n"/>
    </row>
    <row r="157" ht="14.25" customHeight="1" s="60">
      <c r="B157" s="30">
        <f>IF($C157="","",ROW()-4)</f>
        <v/>
      </c>
      <c r="F157" s="73" t="n"/>
      <c r="G157" s="30" t="n"/>
    </row>
    <row r="158" ht="14.25" customHeight="1" s="60">
      <c r="B158" s="30">
        <f>IF($C158="","",ROW()-4)</f>
        <v/>
      </c>
      <c r="F158" s="73" t="n"/>
      <c r="G158" s="30" t="n"/>
    </row>
    <row r="159" ht="14.25" customHeight="1" s="60">
      <c r="B159" s="30">
        <f>IF($C159="","",ROW()-4)</f>
        <v/>
      </c>
      <c r="F159" s="73" t="n"/>
      <c r="G159" s="30" t="n"/>
    </row>
    <row r="160" ht="14.25" customHeight="1" s="60">
      <c r="B160" s="30">
        <f>IF($C160="","",ROW()-4)</f>
        <v/>
      </c>
      <c r="F160" s="73" t="n"/>
      <c r="G160" s="30" t="n"/>
    </row>
    <row r="161" ht="14.25" customHeight="1" s="60">
      <c r="B161" s="30">
        <f>IF($C161="","",ROW()-4)</f>
        <v/>
      </c>
      <c r="F161" s="73" t="n"/>
      <c r="G161" s="30" t="n"/>
    </row>
    <row r="162" ht="14.25" customHeight="1" s="60">
      <c r="B162" s="30">
        <f>IF($C162="","",ROW()-4)</f>
        <v/>
      </c>
      <c r="F162" s="73" t="n"/>
      <c r="G162" s="30" t="n"/>
    </row>
    <row r="163" ht="14.25" customHeight="1" s="60">
      <c r="B163" s="30">
        <f>IF($C163="","",ROW()-4)</f>
        <v/>
      </c>
      <c r="F163" s="73" t="n"/>
      <c r="G163" s="30" t="n"/>
    </row>
    <row r="164" ht="14.25" customHeight="1" s="60">
      <c r="B164" s="30">
        <f>IF($C164="","",ROW()-4)</f>
        <v/>
      </c>
      <c r="F164" s="73" t="n"/>
      <c r="G164" s="30" t="n"/>
    </row>
    <row r="165" ht="14.25" customHeight="1" s="60">
      <c r="B165" s="30">
        <f>IF($C165="","",ROW()-4)</f>
        <v/>
      </c>
      <c r="F165" s="73" t="n"/>
      <c r="G165" s="30" t="n"/>
    </row>
    <row r="166" ht="14.25" customHeight="1" s="60">
      <c r="B166" s="30">
        <f>IF($C166="","",ROW()-4)</f>
        <v/>
      </c>
      <c r="F166" s="73" t="n"/>
      <c r="G166" s="30" t="n"/>
    </row>
    <row r="167" ht="14.25" customHeight="1" s="60">
      <c r="B167" s="30">
        <f>IF($C167="","",ROW()-4)</f>
        <v/>
      </c>
      <c r="F167" s="73" t="n"/>
      <c r="G167" s="30" t="n"/>
    </row>
    <row r="168" ht="14.25" customHeight="1" s="60">
      <c r="B168" s="30">
        <f>IF($C168="","",ROW()-4)</f>
        <v/>
      </c>
      <c r="F168" s="73" t="n"/>
      <c r="G168" s="30" t="n"/>
    </row>
    <row r="169" ht="14.25" customHeight="1" s="60">
      <c r="B169" s="30">
        <f>IF($C169="","",ROW()-4)</f>
        <v/>
      </c>
      <c r="F169" s="73" t="n"/>
      <c r="G169" s="30" t="n"/>
    </row>
    <row r="170" ht="14.25" customHeight="1" s="60">
      <c r="B170" s="30">
        <f>IF($C170="","",ROW()-4)</f>
        <v/>
      </c>
      <c r="F170" s="73" t="n"/>
      <c r="G170" s="30" t="n"/>
    </row>
    <row r="171" ht="14.25" customHeight="1" s="60">
      <c r="B171" s="30">
        <f>IF($C171="","",ROW()-4)</f>
        <v/>
      </c>
      <c r="F171" s="73" t="n"/>
      <c r="G171" s="30" t="n"/>
    </row>
    <row r="172" ht="14.25" customHeight="1" s="60">
      <c r="B172" s="30">
        <f>IF($C172="","",ROW()-4)</f>
        <v/>
      </c>
      <c r="F172" s="73" t="n"/>
      <c r="G172" s="30" t="n"/>
    </row>
    <row r="173" ht="14.25" customHeight="1" s="60">
      <c r="B173" s="30">
        <f>IF($C173="","",ROW()-4)</f>
        <v/>
      </c>
      <c r="F173" s="73" t="n"/>
      <c r="G173" s="30" t="n"/>
    </row>
    <row r="174" ht="14.25" customHeight="1" s="60">
      <c r="B174" s="30">
        <f>IF($C174="","",ROW()-4)</f>
        <v/>
      </c>
      <c r="F174" s="73" t="n"/>
      <c r="G174" s="30" t="n"/>
    </row>
    <row r="175" ht="14.25" customHeight="1" s="60">
      <c r="B175" s="30">
        <f>IF($C175="","",ROW()-4)</f>
        <v/>
      </c>
      <c r="F175" s="73" t="n"/>
      <c r="G175" s="30" t="n"/>
    </row>
    <row r="176" ht="14.25" customHeight="1" s="60">
      <c r="B176" s="30">
        <f>IF($C176="","",ROW()-4)</f>
        <v/>
      </c>
      <c r="F176" s="73" t="n"/>
      <c r="G176" s="30" t="n"/>
    </row>
    <row r="177" ht="14.25" customHeight="1" s="60">
      <c r="B177" s="30">
        <f>IF($C177="","",ROW()-4)</f>
        <v/>
      </c>
      <c r="F177" s="73" t="n"/>
      <c r="G177" s="30" t="n"/>
    </row>
    <row r="178" ht="14.25" customHeight="1" s="60">
      <c r="B178" s="30">
        <f>IF($C178="","",ROW()-4)</f>
        <v/>
      </c>
      <c r="F178" s="73" t="n"/>
      <c r="G178" s="30" t="n"/>
    </row>
    <row r="179" ht="14.25" customHeight="1" s="60">
      <c r="B179" s="30">
        <f>IF($C179="","",ROW()-4)</f>
        <v/>
      </c>
      <c r="F179" s="73" t="n"/>
      <c r="G179" s="30" t="n"/>
    </row>
    <row r="180" ht="14.25" customHeight="1" s="60">
      <c r="B180" s="30">
        <f>IF($C180="","",ROW()-4)</f>
        <v/>
      </c>
      <c r="F180" s="73" t="n"/>
      <c r="G180" s="30" t="n"/>
    </row>
    <row r="181" ht="14.25" customHeight="1" s="60">
      <c r="B181" s="30">
        <f>IF($C181="","",ROW()-4)</f>
        <v/>
      </c>
      <c r="F181" s="73" t="n"/>
      <c r="G181" s="30" t="n"/>
    </row>
    <row r="182" ht="14.25" customHeight="1" s="60">
      <c r="B182" s="30">
        <f>IF($C182="","",ROW()-4)</f>
        <v/>
      </c>
      <c r="F182" s="73" t="n"/>
      <c r="G182" s="30" t="n"/>
    </row>
    <row r="183" ht="14.25" customHeight="1" s="60">
      <c r="B183" s="30">
        <f>IF($C183="","",ROW()-4)</f>
        <v/>
      </c>
      <c r="F183" s="73" t="n"/>
      <c r="G183" s="30" t="n"/>
    </row>
    <row r="184" ht="14.25" customHeight="1" s="60">
      <c r="B184" s="30">
        <f>IF($C184="","",ROW()-4)</f>
        <v/>
      </c>
      <c r="F184" s="73" t="n"/>
      <c r="G184" s="30" t="n"/>
    </row>
    <row r="185" ht="14.25" customHeight="1" s="60">
      <c r="B185" s="30">
        <f>IF($C185="","",ROW()-4)</f>
        <v/>
      </c>
      <c r="F185" s="73" t="n"/>
      <c r="G185" s="30" t="n"/>
    </row>
    <row r="186" ht="14.25" customHeight="1" s="60">
      <c r="B186" s="30">
        <f>IF($C186="","",ROW()-4)</f>
        <v/>
      </c>
      <c r="F186" s="73" t="n"/>
      <c r="G186" s="30" t="n"/>
    </row>
    <row r="187" ht="14.25" customHeight="1" s="60">
      <c r="B187" s="30">
        <f>IF($C187="","",ROW()-4)</f>
        <v/>
      </c>
      <c r="F187" s="73" t="n"/>
      <c r="G187" s="30" t="n"/>
    </row>
    <row r="188" ht="14.25" customHeight="1" s="60">
      <c r="B188" s="30">
        <f>IF($C188="","",ROW()-4)</f>
        <v/>
      </c>
      <c r="F188" s="73" t="n"/>
      <c r="G188" s="30" t="n"/>
    </row>
    <row r="189" ht="14.25" customHeight="1" s="60">
      <c r="B189" s="30">
        <f>IF($C189="","",ROW()-4)</f>
        <v/>
      </c>
      <c r="F189" s="73" t="n"/>
      <c r="G189" s="30" t="n"/>
    </row>
    <row r="190" ht="14.25" customHeight="1" s="60">
      <c r="B190" s="30">
        <f>IF($C190="","",ROW()-4)</f>
        <v/>
      </c>
      <c r="F190" s="73" t="n"/>
      <c r="G190" s="30" t="n"/>
    </row>
    <row r="191" ht="14.25" customHeight="1" s="60">
      <c r="B191" s="30">
        <f>IF($C191="","",ROW()-4)</f>
        <v/>
      </c>
      <c r="F191" s="73" t="n"/>
      <c r="G191" s="30" t="n"/>
    </row>
    <row r="192" ht="14.25" customHeight="1" s="60">
      <c r="B192" s="30">
        <f>IF($C192="","",ROW()-4)</f>
        <v/>
      </c>
      <c r="F192" s="73" t="n"/>
      <c r="G192" s="30" t="n"/>
    </row>
    <row r="193" ht="14.25" customHeight="1" s="60">
      <c r="B193" s="30">
        <f>IF($C193="","",ROW()-4)</f>
        <v/>
      </c>
      <c r="F193" s="73" t="n"/>
      <c r="G193" s="30" t="n"/>
    </row>
    <row r="194" ht="14.25" customHeight="1" s="60">
      <c r="B194" s="30">
        <f>IF($C194="","",ROW()-4)</f>
        <v/>
      </c>
      <c r="F194" s="73" t="n"/>
      <c r="G194" s="30" t="n"/>
    </row>
    <row r="195" ht="14.25" customHeight="1" s="60">
      <c r="B195" s="30">
        <f>IF($C195="","",ROW()-4)</f>
        <v/>
      </c>
      <c r="F195" s="73" t="n"/>
      <c r="G195" s="30" t="n"/>
    </row>
    <row r="196" ht="14.25" customHeight="1" s="60">
      <c r="B196" s="30">
        <f>IF($C196="","",ROW()-4)</f>
        <v/>
      </c>
      <c r="F196" s="73" t="n"/>
      <c r="G196" s="30" t="n"/>
    </row>
    <row r="197" ht="14.25" customHeight="1" s="60">
      <c r="B197" s="30">
        <f>IF($C197="","",ROW()-4)</f>
        <v/>
      </c>
      <c r="F197" s="73" t="n"/>
      <c r="G197" s="30" t="n"/>
    </row>
    <row r="198" ht="14.25" customHeight="1" s="60">
      <c r="B198" s="30">
        <f>IF($C198="","",ROW()-4)</f>
        <v/>
      </c>
      <c r="F198" s="73" t="n"/>
      <c r="G198" s="30" t="n"/>
    </row>
    <row r="199" ht="14.25" customHeight="1" s="60">
      <c r="B199" s="30">
        <f>IF($C199="","",ROW()-4)</f>
        <v/>
      </c>
      <c r="F199" s="73" t="n"/>
      <c r="G199" s="30" t="n"/>
    </row>
    <row r="200" ht="14.25" customHeight="1" s="60">
      <c r="B200" s="30">
        <f>IF($C200="","",ROW()-4)</f>
        <v/>
      </c>
      <c r="F200" s="73" t="n"/>
      <c r="G200" s="30" t="n"/>
    </row>
    <row r="201" ht="14.25" customHeight="1" s="60">
      <c r="B201" s="30">
        <f>IF($C201="","",ROW()-4)</f>
        <v/>
      </c>
      <c r="F201" s="73" t="n"/>
      <c r="G201" s="30" t="n"/>
    </row>
    <row r="202" ht="14.25" customHeight="1" s="60">
      <c r="B202" s="30">
        <f>IF($C202="","",ROW()-4)</f>
        <v/>
      </c>
      <c r="F202" s="73" t="n"/>
      <c r="G202" s="30" t="n"/>
    </row>
    <row r="203" ht="14.25" customHeight="1" s="60">
      <c r="B203" s="30">
        <f>IF($C203="","",ROW()-4)</f>
        <v/>
      </c>
      <c r="F203" s="73" t="n"/>
      <c r="G203" s="30" t="n"/>
    </row>
    <row r="204" ht="14.25" customHeight="1" s="60">
      <c r="B204" s="30">
        <f>IF($C204="","",ROW()-4)</f>
        <v/>
      </c>
      <c r="F204" s="73" t="n"/>
      <c r="G204" s="30" t="n"/>
    </row>
    <row r="205" ht="14.25" customHeight="1" s="60"/>
    <row r="206" ht="14.25" customHeight="1" s="60"/>
    <row r="207" ht="14.25" customHeight="1" s="60"/>
    <row r="208" ht="14.25" customHeight="1" s="60"/>
    <row r="209" ht="14.25" customHeight="1" s="60"/>
    <row r="210" ht="14.25" customHeight="1" s="60"/>
    <row r="211" ht="14.25" customHeight="1" s="60"/>
    <row r="212" ht="14.25" customHeight="1" s="60"/>
    <row r="213" ht="14.25" customHeight="1" s="60"/>
    <row r="214" ht="14.25" customHeight="1" s="60"/>
    <row r="215" ht="14.25" customHeight="1" s="60"/>
    <row r="216" ht="14.25" customHeight="1" s="60"/>
    <row r="217" ht="14.25" customHeight="1" s="60"/>
    <row r="218" ht="14.25" customHeight="1" s="60"/>
    <row r="219" ht="14.25" customHeight="1" s="60"/>
    <row r="220" ht="14.25" customHeight="1" s="60"/>
    <row r="221" ht="14.25" customHeight="1" s="60"/>
    <row r="222" ht="14.25" customHeight="1" s="60"/>
    <row r="223" ht="14.25" customHeight="1" s="60"/>
    <row r="224" ht="14.25" customHeight="1" s="60"/>
    <row r="225" ht="14.25" customHeight="1" s="60"/>
    <row r="226" ht="14.25" customHeight="1" s="60"/>
    <row r="227" ht="14.25" customHeight="1" s="60"/>
    <row r="228" ht="14.25" customHeight="1" s="60"/>
    <row r="229" ht="14.25" customHeight="1" s="60"/>
    <row r="230" ht="14.25" customHeight="1" s="60"/>
    <row r="231" ht="14.25" customHeight="1" s="60"/>
    <row r="232" ht="14.25" customHeight="1" s="60"/>
    <row r="233" ht="14.25" customHeight="1" s="60"/>
    <row r="234" ht="14.25" customHeight="1" s="60"/>
    <row r="235" ht="14.25" customHeight="1" s="60"/>
    <row r="236" ht="14.25" customHeight="1" s="60"/>
    <row r="237" ht="14.25" customHeight="1" s="60"/>
    <row r="238" ht="14.25" customHeight="1" s="60"/>
    <row r="239" ht="14.25" customHeight="1" s="60"/>
    <row r="240" ht="14.25" customHeight="1" s="60"/>
    <row r="241" ht="14.25" customHeight="1" s="60"/>
    <row r="242" ht="14.25" customHeight="1" s="60"/>
    <row r="243" ht="14.25" customHeight="1" s="60"/>
    <row r="244" ht="14.25" customHeight="1" s="60"/>
    <row r="245" ht="14.25" customHeight="1" s="60"/>
    <row r="246" ht="14.25" customHeight="1" s="60"/>
    <row r="247" ht="14.25" customHeight="1" s="60"/>
    <row r="248" ht="14.25" customHeight="1" s="60"/>
    <row r="249" ht="14.25" customHeight="1" s="60"/>
    <row r="250" ht="14.25" customHeight="1" s="60"/>
    <row r="251" ht="14.25" customHeight="1" s="60"/>
    <row r="252" ht="14.25" customHeight="1" s="60"/>
    <row r="253" ht="14.25" customHeight="1" s="60"/>
    <row r="254" ht="14.25" customHeight="1" s="60"/>
    <row r="255" ht="14.25" customHeight="1" s="60"/>
    <row r="256" ht="14.25" customHeight="1" s="60"/>
    <row r="257" ht="14.25" customHeight="1" s="60"/>
    <row r="258" ht="14.25" customHeight="1" s="60"/>
    <row r="259" ht="14.25" customHeight="1" s="60"/>
    <row r="260" ht="14.25" customHeight="1" s="60"/>
    <row r="261" ht="14.25" customHeight="1" s="60"/>
    <row r="262" ht="14.25" customHeight="1" s="60"/>
    <row r="263" ht="14.25" customHeight="1" s="60"/>
    <row r="264" ht="14.25" customHeight="1" s="60"/>
    <row r="265" ht="14.25" customHeight="1" s="60"/>
    <row r="266" ht="14.25" customHeight="1" s="60"/>
    <row r="267" ht="14.25" customHeight="1" s="60"/>
    <row r="268" ht="14.25" customHeight="1" s="60"/>
    <row r="269" ht="14.25" customHeight="1" s="60"/>
    <row r="270" ht="14.25" customHeight="1" s="60"/>
    <row r="271" ht="14.25" customHeight="1" s="60"/>
    <row r="272" ht="14.25" customHeight="1" s="60"/>
    <row r="273" ht="14.25" customHeight="1" s="60"/>
    <row r="274" ht="14.25" customHeight="1" s="60"/>
    <row r="275" ht="14.25" customHeight="1" s="60"/>
    <row r="276" ht="14.25" customHeight="1" s="60"/>
    <row r="277" ht="14.25" customHeight="1" s="60"/>
    <row r="278" ht="14.25" customHeight="1" s="60"/>
    <row r="279" ht="14.25" customHeight="1" s="60"/>
    <row r="280" ht="14.25" customHeight="1" s="60"/>
    <row r="281" ht="14.25" customHeight="1" s="60"/>
    <row r="282" ht="14.25" customHeight="1" s="60"/>
    <row r="283" ht="14.25" customHeight="1" s="60"/>
    <row r="284" ht="14.25" customHeight="1" s="60"/>
    <row r="285" ht="14.25" customHeight="1" s="60"/>
    <row r="286" ht="14.25" customHeight="1" s="60"/>
    <row r="287" ht="14.25" customHeight="1" s="60"/>
    <row r="288" ht="14.25" customHeight="1" s="60"/>
    <row r="289" ht="14.25" customHeight="1" s="60"/>
    <row r="290" ht="14.25" customHeight="1" s="60"/>
    <row r="291" ht="14.25" customHeight="1" s="60"/>
    <row r="292" ht="14.25" customHeight="1" s="60"/>
    <row r="293" ht="14.25" customHeight="1" s="60"/>
    <row r="294" ht="14.25" customHeight="1" s="60"/>
    <row r="295" ht="14.25" customHeight="1" s="60"/>
    <row r="296" ht="14.25" customHeight="1" s="60"/>
    <row r="297" ht="14.25" customHeight="1" s="60"/>
    <row r="298" ht="14.25" customHeight="1" s="60"/>
    <row r="299" ht="14.25" customHeight="1" s="60"/>
    <row r="300" ht="14.25" customHeight="1" s="60"/>
    <row r="301" ht="14.25" customHeight="1" s="60"/>
    <row r="302" ht="14.25" customHeight="1" s="60"/>
    <row r="303" ht="14.25" customHeight="1" s="60"/>
    <row r="304" ht="14.25" customHeight="1" s="60"/>
    <row r="305" ht="14.25" customHeight="1" s="60"/>
    <row r="306" ht="14.25" customHeight="1" s="60"/>
    <row r="307" ht="14.25" customHeight="1" s="60"/>
    <row r="308" ht="14.25" customHeight="1" s="60"/>
    <row r="309" ht="14.25" customHeight="1" s="60"/>
    <row r="310" ht="14.25" customHeight="1" s="60"/>
    <row r="311" ht="14.25" customHeight="1" s="60"/>
    <row r="312" ht="14.25" customHeight="1" s="60"/>
    <row r="313" ht="14.25" customHeight="1" s="60"/>
    <row r="314" ht="14.25" customHeight="1" s="60"/>
    <row r="315" ht="14.25" customHeight="1" s="60"/>
    <row r="316" ht="14.25" customHeight="1" s="60"/>
    <row r="317" ht="14.25" customHeight="1" s="60"/>
    <row r="318" ht="14.25" customHeight="1" s="60"/>
    <row r="319" ht="14.25" customHeight="1" s="60"/>
    <row r="320" ht="14.25" customHeight="1" s="60"/>
    <row r="321" ht="14.25" customHeight="1" s="60"/>
    <row r="322" ht="14.25" customHeight="1" s="60"/>
    <row r="323" ht="14.25" customHeight="1" s="60"/>
    <row r="324" ht="14.25" customHeight="1" s="60"/>
    <row r="325" ht="14.25" customHeight="1" s="60"/>
    <row r="326" ht="14.25" customHeight="1" s="60"/>
    <row r="327" ht="14.25" customHeight="1" s="60"/>
    <row r="328" ht="14.25" customHeight="1" s="60"/>
    <row r="329" ht="14.25" customHeight="1" s="60"/>
    <row r="330" ht="14.25" customHeight="1" s="60"/>
    <row r="331" ht="14.25" customHeight="1" s="60"/>
    <row r="332" ht="14.25" customHeight="1" s="60"/>
    <row r="333" ht="14.25" customHeight="1" s="60"/>
    <row r="334" ht="14.25" customHeight="1" s="60"/>
    <row r="335" ht="14.25" customHeight="1" s="60"/>
    <row r="336" ht="14.25" customHeight="1" s="60"/>
    <row r="337" ht="14.25" customHeight="1" s="60"/>
    <row r="338" ht="14.25" customHeight="1" s="60"/>
    <row r="339" ht="14.25" customHeight="1" s="60"/>
    <row r="340" ht="14.25" customHeight="1" s="60"/>
    <row r="341" ht="14.25" customHeight="1" s="60"/>
    <row r="342" ht="14.25" customHeight="1" s="60"/>
    <row r="343" ht="14.25" customHeight="1" s="60"/>
    <row r="344" ht="14.25" customHeight="1" s="60"/>
    <row r="345" ht="14.25" customHeight="1" s="60"/>
    <row r="346" ht="14.25" customHeight="1" s="60"/>
    <row r="347" ht="14.25" customHeight="1" s="60"/>
    <row r="348" ht="14.25" customHeight="1" s="60"/>
    <row r="349" ht="14.25" customHeight="1" s="60"/>
    <row r="350" ht="14.25" customHeight="1" s="60"/>
    <row r="351" ht="14.25" customHeight="1" s="60"/>
    <row r="352" ht="14.25" customHeight="1" s="60"/>
    <row r="353" ht="14.25" customHeight="1" s="60"/>
    <row r="354" ht="14.25" customHeight="1" s="60"/>
    <row r="355" ht="14.25" customHeight="1" s="60"/>
    <row r="356" ht="14.25" customHeight="1" s="60"/>
    <row r="357" ht="14.25" customHeight="1" s="60"/>
    <row r="358" ht="14.25" customHeight="1" s="60"/>
    <row r="359" ht="14.25" customHeight="1" s="60"/>
    <row r="360" ht="14.25" customHeight="1" s="60"/>
    <row r="361" ht="14.25" customHeight="1" s="60"/>
    <row r="362" ht="14.25" customHeight="1" s="60"/>
    <row r="363" ht="14.25" customHeight="1" s="60"/>
    <row r="364" ht="14.25" customHeight="1" s="60"/>
    <row r="365" ht="14.25" customHeight="1" s="60"/>
    <row r="366" ht="14.25" customHeight="1" s="60"/>
    <row r="367" ht="14.25" customHeight="1" s="60"/>
    <row r="368" ht="14.25" customHeight="1" s="60"/>
    <row r="369" ht="14.25" customHeight="1" s="60"/>
    <row r="370" ht="14.25" customHeight="1" s="60"/>
    <row r="371" ht="14.25" customHeight="1" s="60"/>
    <row r="372" ht="14.25" customHeight="1" s="60"/>
    <row r="373" ht="14.25" customHeight="1" s="60"/>
    <row r="374" ht="14.25" customHeight="1" s="60"/>
    <row r="375" ht="14.25" customHeight="1" s="60"/>
    <row r="376" ht="14.25" customHeight="1" s="60"/>
    <row r="377" ht="14.25" customHeight="1" s="60"/>
    <row r="378" ht="14.25" customHeight="1" s="60"/>
    <row r="379" ht="14.25" customHeight="1" s="60"/>
    <row r="380" ht="14.25" customHeight="1" s="60"/>
    <row r="381" ht="14.25" customHeight="1" s="60"/>
    <row r="382" ht="14.25" customHeight="1" s="60"/>
    <row r="383" ht="14.25" customHeight="1" s="60"/>
    <row r="384" ht="14.25" customHeight="1" s="60"/>
    <row r="385" ht="14.25" customHeight="1" s="60"/>
    <row r="386" ht="14.25" customHeight="1" s="60"/>
    <row r="387" ht="14.25" customHeight="1" s="60"/>
    <row r="388" ht="14.25" customHeight="1" s="60"/>
    <row r="389" ht="14.25" customHeight="1" s="60"/>
    <row r="390" ht="14.25" customHeight="1" s="60"/>
    <row r="391" ht="14.25" customHeight="1" s="60"/>
    <row r="392" ht="14.25" customHeight="1" s="60"/>
    <row r="393" ht="14.25" customHeight="1" s="60"/>
    <row r="394" ht="14.25" customHeight="1" s="60"/>
    <row r="395" ht="14.25" customHeight="1" s="60"/>
    <row r="396" ht="14.25" customHeight="1" s="60"/>
    <row r="397" ht="14.25" customHeight="1" s="60"/>
    <row r="398" ht="14.25" customHeight="1" s="60"/>
    <row r="399" ht="14.25" customHeight="1" s="60"/>
    <row r="400" ht="14.25" customHeight="1" s="60"/>
    <row r="401" ht="14.25" customHeight="1" s="60"/>
    <row r="402" ht="14.25" customHeight="1" s="60"/>
    <row r="403" ht="14.25" customHeight="1" s="60"/>
    <row r="404" ht="14.25" customHeight="1" s="60"/>
    <row r="405" ht="14.25" customHeight="1" s="60"/>
    <row r="406" ht="14.25" customHeight="1" s="60"/>
    <row r="407" ht="14.25" customHeight="1" s="60"/>
    <row r="408" ht="14.25" customHeight="1" s="60"/>
    <row r="409" ht="14.25" customHeight="1" s="60"/>
    <row r="410" ht="14.25" customHeight="1" s="60"/>
    <row r="411" ht="14.25" customHeight="1" s="60"/>
    <row r="412" ht="14.25" customHeight="1" s="60"/>
    <row r="413" ht="14.25" customHeight="1" s="60"/>
    <row r="414" ht="14.25" customHeight="1" s="60"/>
    <row r="415" ht="14.25" customHeight="1" s="60"/>
    <row r="416" ht="14.25" customHeight="1" s="60"/>
    <row r="417" ht="14.25" customHeight="1" s="60"/>
    <row r="418" ht="14.25" customHeight="1" s="60"/>
    <row r="419" ht="14.25" customHeight="1" s="60"/>
    <row r="420" ht="14.25" customHeight="1" s="60"/>
    <row r="421" ht="14.25" customHeight="1" s="60"/>
    <row r="422" ht="14.25" customHeight="1" s="60"/>
    <row r="423" ht="14.25" customHeight="1" s="60"/>
    <row r="424" ht="14.25" customHeight="1" s="60"/>
    <row r="425" ht="14.25" customHeight="1" s="60"/>
    <row r="426" ht="14.25" customHeight="1" s="60"/>
    <row r="427" ht="14.25" customHeight="1" s="60"/>
    <row r="428" ht="14.25" customHeight="1" s="60"/>
    <row r="429" ht="14.25" customHeight="1" s="60"/>
    <row r="430" ht="14.25" customHeight="1" s="60"/>
    <row r="431" ht="14.25" customHeight="1" s="60"/>
    <row r="432" ht="14.25" customHeight="1" s="60"/>
    <row r="433" ht="14.25" customHeight="1" s="60"/>
    <row r="434" ht="14.25" customHeight="1" s="60"/>
    <row r="435" ht="14.25" customHeight="1" s="60"/>
    <row r="436" ht="14.25" customHeight="1" s="60"/>
    <row r="437" ht="14.25" customHeight="1" s="60"/>
    <row r="438" ht="14.25" customHeight="1" s="60"/>
    <row r="439" ht="14.25" customHeight="1" s="60"/>
    <row r="440" ht="14.25" customHeight="1" s="60"/>
    <row r="441" ht="14.25" customHeight="1" s="60"/>
    <row r="442" ht="14.25" customHeight="1" s="60"/>
    <row r="443" ht="14.25" customHeight="1" s="60"/>
    <row r="444" ht="14.25" customHeight="1" s="60"/>
    <row r="445" ht="14.25" customHeight="1" s="60"/>
    <row r="446" ht="14.25" customHeight="1" s="60"/>
    <row r="447" ht="14.25" customHeight="1" s="60"/>
    <row r="448" ht="14.25" customHeight="1" s="60"/>
    <row r="449" ht="14.25" customHeight="1" s="60"/>
    <row r="450" ht="14.25" customHeight="1" s="60"/>
    <row r="451" ht="14.25" customHeight="1" s="60"/>
    <row r="452" ht="14.25" customHeight="1" s="60"/>
    <row r="453" ht="14.25" customHeight="1" s="60"/>
    <row r="454" ht="14.25" customHeight="1" s="60"/>
    <row r="455" ht="14.25" customHeight="1" s="60"/>
    <row r="456" ht="14.25" customHeight="1" s="60"/>
    <row r="457" ht="14.25" customHeight="1" s="60"/>
    <row r="458" ht="14.25" customHeight="1" s="60"/>
    <row r="459" ht="14.25" customHeight="1" s="60"/>
    <row r="460" ht="14.25" customHeight="1" s="60"/>
    <row r="461" ht="14.25" customHeight="1" s="60"/>
    <row r="462" ht="14.25" customHeight="1" s="60"/>
    <row r="463" ht="14.25" customHeight="1" s="60"/>
    <row r="464" ht="14.25" customHeight="1" s="60"/>
    <row r="465" ht="14.25" customHeight="1" s="60"/>
    <row r="466" ht="14.25" customHeight="1" s="60"/>
    <row r="467" ht="14.25" customHeight="1" s="60"/>
    <row r="468" ht="14.25" customHeight="1" s="60"/>
    <row r="469" ht="14.25" customHeight="1" s="60"/>
    <row r="470" ht="14.25" customHeight="1" s="60"/>
    <row r="471" ht="14.25" customHeight="1" s="60"/>
    <row r="472" ht="14.25" customHeight="1" s="60"/>
    <row r="473" ht="14.25" customHeight="1" s="60"/>
    <row r="474" ht="14.25" customHeight="1" s="60"/>
    <row r="475" ht="14.25" customHeight="1" s="60"/>
    <row r="476" ht="14.25" customHeight="1" s="60"/>
    <row r="477" ht="14.25" customHeight="1" s="60"/>
    <row r="478" ht="14.25" customHeight="1" s="60"/>
    <row r="479" ht="14.25" customHeight="1" s="60"/>
    <row r="480" ht="14.25" customHeight="1" s="60"/>
    <row r="481" ht="14.25" customHeight="1" s="60"/>
    <row r="482" ht="14.25" customHeight="1" s="60"/>
    <row r="483" ht="14.25" customHeight="1" s="60"/>
    <row r="484" ht="14.25" customHeight="1" s="60"/>
    <row r="485" ht="14.25" customHeight="1" s="60"/>
    <row r="486" ht="14.25" customHeight="1" s="60"/>
    <row r="487" ht="14.25" customHeight="1" s="60"/>
    <row r="488" ht="14.25" customHeight="1" s="60"/>
    <row r="489" ht="14.25" customHeight="1" s="60"/>
    <row r="490" ht="14.25" customHeight="1" s="60"/>
    <row r="491" ht="14.25" customHeight="1" s="60"/>
    <row r="492" ht="14.25" customHeight="1" s="60"/>
    <row r="493" ht="14.25" customHeight="1" s="60"/>
    <row r="494" ht="14.25" customHeight="1" s="60"/>
    <row r="495" ht="14.25" customHeight="1" s="60"/>
    <row r="496" ht="14.25" customHeight="1" s="60"/>
    <row r="497" ht="14.25" customHeight="1" s="60"/>
    <row r="498" ht="14.25" customHeight="1" s="60"/>
    <row r="499" ht="14.25" customHeight="1" s="60"/>
    <row r="500" ht="14.25" customHeight="1" s="60"/>
    <row r="501" ht="14.25" customHeight="1" s="60"/>
    <row r="502" ht="14.25" customHeight="1" s="60"/>
    <row r="503" ht="14.25" customHeight="1" s="60"/>
    <row r="504" ht="14.25" customHeight="1" s="60"/>
    <row r="505" ht="14.25" customHeight="1" s="60"/>
    <row r="506" ht="14.25" customHeight="1" s="60"/>
    <row r="507" ht="14.25" customHeight="1" s="60"/>
    <row r="508" ht="14.25" customHeight="1" s="60"/>
    <row r="509" ht="14.25" customHeight="1" s="60"/>
    <row r="510" ht="14.25" customHeight="1" s="60"/>
    <row r="511" ht="14.25" customHeight="1" s="60"/>
    <row r="512" ht="14.25" customHeight="1" s="60"/>
    <row r="513" ht="14.25" customHeight="1" s="60"/>
    <row r="514" ht="14.25" customHeight="1" s="60"/>
    <row r="515" ht="14.25" customHeight="1" s="60"/>
    <row r="516" ht="14.25" customHeight="1" s="60"/>
    <row r="517" ht="14.25" customHeight="1" s="60"/>
    <row r="518" ht="14.25" customHeight="1" s="60"/>
    <row r="519" ht="14.25" customHeight="1" s="60"/>
    <row r="520" ht="14.25" customHeight="1" s="60"/>
    <row r="521" ht="14.25" customHeight="1" s="60"/>
    <row r="522" ht="14.25" customHeight="1" s="60"/>
    <row r="523" ht="14.25" customHeight="1" s="60"/>
    <row r="524" ht="14.25" customHeight="1" s="60"/>
    <row r="525" ht="14.25" customHeight="1" s="60"/>
    <row r="526" ht="14.25" customHeight="1" s="60"/>
    <row r="527" ht="14.25" customHeight="1" s="60"/>
    <row r="528" ht="14.25" customHeight="1" s="60"/>
    <row r="529" ht="14.25" customHeight="1" s="60"/>
    <row r="530" ht="14.25" customHeight="1" s="60"/>
    <row r="531" ht="14.25" customHeight="1" s="60"/>
    <row r="532" ht="14.25" customHeight="1" s="60"/>
    <row r="533" ht="14.25" customHeight="1" s="60"/>
    <row r="534" ht="14.25" customHeight="1" s="60"/>
    <row r="535" ht="14.25" customHeight="1" s="60"/>
    <row r="536" ht="14.25" customHeight="1" s="60"/>
    <row r="537" ht="14.25" customHeight="1" s="60"/>
    <row r="538" ht="14.25" customHeight="1" s="60"/>
    <row r="539" ht="14.25" customHeight="1" s="60"/>
    <row r="540" ht="14.25" customHeight="1" s="60"/>
    <row r="541" ht="14.25" customHeight="1" s="60"/>
    <row r="542" ht="14.25" customHeight="1" s="60"/>
    <row r="543" ht="14.25" customHeight="1" s="60"/>
    <row r="544" ht="14.25" customHeight="1" s="60"/>
    <row r="545" ht="14.25" customHeight="1" s="60"/>
    <row r="546" ht="14.25" customHeight="1" s="60"/>
    <row r="547" ht="14.25" customHeight="1" s="60"/>
    <row r="548" ht="14.25" customHeight="1" s="60"/>
    <row r="549" ht="14.25" customHeight="1" s="60"/>
    <row r="550" ht="14.25" customHeight="1" s="60"/>
    <row r="551" ht="14.25" customHeight="1" s="60"/>
    <row r="552" ht="14.25" customHeight="1" s="60"/>
    <row r="553" ht="14.25" customHeight="1" s="60"/>
    <row r="554" ht="14.25" customHeight="1" s="60"/>
    <row r="555" ht="14.25" customHeight="1" s="60"/>
    <row r="556" ht="14.25" customHeight="1" s="60"/>
    <row r="557" ht="14.25" customHeight="1" s="60"/>
    <row r="558" ht="14.25" customHeight="1" s="60"/>
    <row r="559" ht="14.25" customHeight="1" s="60"/>
    <row r="560" ht="14.25" customHeight="1" s="60"/>
    <row r="561" ht="14.25" customHeight="1" s="60"/>
    <row r="562" ht="14.25" customHeight="1" s="60"/>
    <row r="563" ht="14.25" customHeight="1" s="60"/>
    <row r="564" ht="14.25" customHeight="1" s="60"/>
    <row r="565" ht="14.25" customHeight="1" s="60"/>
    <row r="566" ht="14.25" customHeight="1" s="60"/>
    <row r="567" ht="14.25" customHeight="1" s="60"/>
    <row r="568" ht="14.25" customHeight="1" s="60"/>
    <row r="569" ht="14.25" customHeight="1" s="60"/>
    <row r="570" ht="14.25" customHeight="1" s="60"/>
    <row r="571" ht="14.25" customHeight="1" s="60"/>
    <row r="572" ht="14.25" customHeight="1" s="60"/>
    <row r="573" ht="14.25" customHeight="1" s="60"/>
    <row r="574" ht="14.25" customHeight="1" s="60"/>
    <row r="575" ht="14.25" customHeight="1" s="60"/>
    <row r="576" ht="14.25" customHeight="1" s="60"/>
    <row r="577" ht="14.25" customHeight="1" s="60"/>
    <row r="578" ht="14.25" customHeight="1" s="60"/>
    <row r="579" ht="14.25" customHeight="1" s="60"/>
    <row r="580" ht="14.25" customHeight="1" s="60"/>
    <row r="581" ht="14.25" customHeight="1" s="60"/>
    <row r="582" ht="14.25" customHeight="1" s="60"/>
    <row r="583" ht="14.25" customHeight="1" s="60"/>
    <row r="584" ht="14.25" customHeight="1" s="60"/>
    <row r="585" ht="14.25" customHeight="1" s="60"/>
    <row r="586" ht="14.25" customHeight="1" s="60"/>
    <row r="587" ht="14.25" customHeight="1" s="60"/>
    <row r="588" ht="14.25" customHeight="1" s="60"/>
    <row r="589" ht="14.25" customHeight="1" s="60"/>
    <row r="590" ht="14.25" customHeight="1" s="60"/>
    <row r="591" ht="14.25" customHeight="1" s="60"/>
    <row r="592" ht="14.25" customHeight="1" s="60"/>
    <row r="593" ht="14.25" customHeight="1" s="60"/>
    <row r="594" ht="14.25" customHeight="1" s="60"/>
    <row r="595" ht="14.25" customHeight="1" s="60"/>
    <row r="596" ht="14.25" customHeight="1" s="60"/>
    <row r="597" ht="14.25" customHeight="1" s="60"/>
    <row r="598" ht="14.25" customHeight="1" s="60"/>
    <row r="599" ht="14.25" customHeight="1" s="60"/>
    <row r="600" ht="14.25" customHeight="1" s="60"/>
    <row r="601" ht="14.25" customHeight="1" s="60"/>
    <row r="602" ht="14.25" customHeight="1" s="60"/>
    <row r="603" ht="14.25" customHeight="1" s="60"/>
    <row r="604" ht="14.25" customHeight="1" s="60"/>
    <row r="605" ht="14.25" customHeight="1" s="60"/>
    <row r="606" ht="14.25" customHeight="1" s="60"/>
    <row r="607" ht="14.25" customHeight="1" s="60"/>
    <row r="608" ht="14.25" customHeight="1" s="60"/>
    <row r="609" ht="14.25" customHeight="1" s="60"/>
    <row r="610" ht="14.25" customHeight="1" s="60"/>
    <row r="611" ht="14.25" customHeight="1" s="60"/>
    <row r="612" ht="14.25" customHeight="1" s="60"/>
    <row r="613" ht="14.25" customHeight="1" s="60"/>
    <row r="614" ht="14.25" customHeight="1" s="60"/>
    <row r="615" ht="14.25" customHeight="1" s="60"/>
    <row r="616" ht="14.25" customHeight="1" s="60"/>
    <row r="617" ht="14.25" customHeight="1" s="60"/>
    <row r="618" ht="14.25" customHeight="1" s="60"/>
    <row r="619" ht="14.25" customHeight="1" s="60"/>
    <row r="620" ht="14.25" customHeight="1" s="60"/>
    <row r="621" ht="14.25" customHeight="1" s="60"/>
    <row r="622" ht="14.25" customHeight="1" s="60"/>
    <row r="623" ht="14.25" customHeight="1" s="60"/>
    <row r="624" ht="14.25" customHeight="1" s="60"/>
    <row r="625" ht="14.25" customHeight="1" s="60"/>
    <row r="626" ht="14.25" customHeight="1" s="60"/>
    <row r="627" ht="14.25" customHeight="1" s="60"/>
    <row r="628" ht="14.25" customHeight="1" s="60"/>
    <row r="629" ht="14.25" customHeight="1" s="60"/>
    <row r="630" ht="14.25" customHeight="1" s="60"/>
    <row r="631" ht="14.25" customHeight="1" s="60"/>
    <row r="632" ht="14.25" customHeight="1" s="60"/>
    <row r="633" ht="14.25" customHeight="1" s="60"/>
    <row r="634" ht="14.25" customHeight="1" s="60"/>
    <row r="635" ht="14.25" customHeight="1" s="60"/>
    <row r="636" ht="14.25" customHeight="1" s="60"/>
    <row r="637" ht="14.25" customHeight="1" s="60"/>
    <row r="638" ht="14.25" customHeight="1" s="60"/>
    <row r="639" ht="14.25" customHeight="1" s="60"/>
    <row r="640" ht="14.25" customHeight="1" s="60"/>
    <row r="641" ht="14.25" customHeight="1" s="60"/>
    <row r="642" ht="14.25" customHeight="1" s="60"/>
    <row r="643" ht="14.25" customHeight="1" s="60"/>
    <row r="644" ht="14.25" customHeight="1" s="60"/>
    <row r="645" ht="14.25" customHeight="1" s="60"/>
    <row r="646" ht="14.25" customHeight="1" s="60"/>
    <row r="647" ht="14.25" customHeight="1" s="60"/>
    <row r="648" ht="14.25" customHeight="1" s="60"/>
    <row r="649" ht="14.25" customHeight="1" s="60"/>
    <row r="650" ht="14.25" customHeight="1" s="60"/>
    <row r="651" ht="14.25" customHeight="1" s="60"/>
    <row r="652" ht="14.25" customHeight="1" s="60"/>
    <row r="653" ht="14.25" customHeight="1" s="60"/>
    <row r="654" ht="14.25" customHeight="1" s="60"/>
    <row r="655" ht="14.25" customHeight="1" s="60"/>
    <row r="656" ht="14.25" customHeight="1" s="60"/>
    <row r="657" ht="14.25" customHeight="1" s="60"/>
    <row r="658" ht="14.25" customHeight="1" s="60"/>
    <row r="659" ht="14.25" customHeight="1" s="60"/>
    <row r="660" ht="14.25" customHeight="1" s="60"/>
    <row r="661" ht="14.25" customHeight="1" s="60"/>
    <row r="662" ht="14.25" customHeight="1" s="60"/>
    <row r="663" ht="14.25" customHeight="1" s="60"/>
    <row r="664" ht="14.25" customHeight="1" s="60"/>
    <row r="665" ht="14.25" customHeight="1" s="60"/>
    <row r="666" ht="14.25" customHeight="1" s="60"/>
    <row r="667" ht="14.25" customHeight="1" s="60"/>
    <row r="668" ht="14.25" customHeight="1" s="60"/>
    <row r="669" ht="14.25" customHeight="1" s="60"/>
    <row r="670" ht="14.25" customHeight="1" s="60"/>
    <row r="671" ht="14.25" customHeight="1" s="60"/>
    <row r="672" ht="14.25" customHeight="1" s="60"/>
    <row r="673" ht="14.25" customHeight="1" s="60"/>
    <row r="674" ht="14.25" customHeight="1" s="60"/>
    <row r="675" ht="14.25" customHeight="1" s="60"/>
    <row r="676" ht="14.25" customHeight="1" s="60"/>
    <row r="677" ht="14.25" customHeight="1" s="60"/>
    <row r="678" ht="14.25" customHeight="1" s="60"/>
    <row r="679" ht="14.25" customHeight="1" s="60"/>
    <row r="680" ht="14.25" customHeight="1" s="60"/>
    <row r="681" ht="14.25" customHeight="1" s="60"/>
    <row r="682" ht="14.25" customHeight="1" s="60"/>
    <row r="683" ht="14.25" customHeight="1" s="60"/>
    <row r="684" ht="14.25" customHeight="1" s="60"/>
    <row r="685" ht="14.25" customHeight="1" s="60"/>
    <row r="686" ht="14.25" customHeight="1" s="60"/>
    <row r="687" ht="14.25" customHeight="1" s="60"/>
    <row r="688" ht="14.25" customHeight="1" s="60"/>
    <row r="689" ht="14.25" customHeight="1" s="60"/>
    <row r="690" ht="14.25" customHeight="1" s="60"/>
    <row r="691" ht="14.25" customHeight="1" s="60"/>
    <row r="692" ht="14.25" customHeight="1" s="60"/>
    <row r="693" ht="14.25" customHeight="1" s="60"/>
    <row r="694" ht="14.25" customHeight="1" s="60"/>
    <row r="695" ht="14.25" customHeight="1" s="60"/>
    <row r="696" ht="14.25" customHeight="1" s="60"/>
    <row r="697" ht="14.25" customHeight="1" s="60"/>
    <row r="698" ht="14.25" customHeight="1" s="60"/>
    <row r="699" ht="14.25" customHeight="1" s="60"/>
    <row r="700" ht="14.25" customHeight="1" s="60"/>
    <row r="701" ht="14.25" customHeight="1" s="60"/>
    <row r="702" ht="14.25" customHeight="1" s="60"/>
    <row r="703" ht="14.25" customHeight="1" s="60"/>
    <row r="704" ht="14.25" customHeight="1" s="60"/>
    <row r="705" ht="14.25" customHeight="1" s="60"/>
    <row r="706" ht="14.25" customHeight="1" s="60"/>
    <row r="707" ht="14.25" customHeight="1" s="60"/>
    <row r="708" ht="14.25" customHeight="1" s="60"/>
    <row r="709" ht="14.25" customHeight="1" s="60"/>
    <row r="710" ht="14.25" customHeight="1" s="60"/>
    <row r="711" ht="14.25" customHeight="1" s="60"/>
    <row r="712" ht="14.25" customHeight="1" s="60"/>
    <row r="713" ht="14.25" customHeight="1" s="60"/>
    <row r="714" ht="14.25" customHeight="1" s="60"/>
    <row r="715" ht="14.25" customHeight="1" s="60"/>
    <row r="716" ht="14.25" customHeight="1" s="60"/>
    <row r="717" ht="14.25" customHeight="1" s="60"/>
    <row r="718" ht="14.25" customHeight="1" s="60"/>
    <row r="719" ht="14.25" customHeight="1" s="60"/>
    <row r="720" ht="14.25" customHeight="1" s="60"/>
    <row r="721" ht="14.25" customHeight="1" s="60"/>
    <row r="722" ht="14.25" customHeight="1" s="60"/>
    <row r="723" ht="14.25" customHeight="1" s="60"/>
    <row r="724" ht="14.25" customHeight="1" s="60"/>
    <row r="725" ht="14.25" customHeight="1" s="60"/>
    <row r="726" ht="14.25" customHeight="1" s="60"/>
    <row r="727" ht="14.25" customHeight="1" s="60"/>
    <row r="728" ht="14.25" customHeight="1" s="60"/>
    <row r="729" ht="14.25" customHeight="1" s="60"/>
    <row r="730" ht="14.25" customHeight="1" s="60"/>
    <row r="731" ht="14.25" customHeight="1" s="60"/>
    <row r="732" ht="14.25" customHeight="1" s="60"/>
    <row r="733" ht="14.25" customHeight="1" s="60"/>
    <row r="734" ht="14.25" customHeight="1" s="60"/>
    <row r="735" ht="14.25" customHeight="1" s="60"/>
    <row r="736" ht="14.25" customHeight="1" s="60"/>
    <row r="737" ht="14.25" customHeight="1" s="60"/>
    <row r="738" ht="14.25" customHeight="1" s="60"/>
    <row r="739" ht="14.25" customHeight="1" s="60"/>
    <row r="740" ht="14.25" customHeight="1" s="60"/>
    <row r="741" ht="14.25" customHeight="1" s="60"/>
    <row r="742" ht="14.25" customHeight="1" s="60"/>
    <row r="743" ht="14.25" customHeight="1" s="60"/>
    <row r="744" ht="14.25" customHeight="1" s="60"/>
    <row r="745" ht="14.25" customHeight="1" s="60"/>
    <row r="746" ht="14.25" customHeight="1" s="60"/>
    <row r="747" ht="14.25" customHeight="1" s="60"/>
    <row r="748" ht="14.25" customHeight="1" s="60"/>
    <row r="749" ht="14.25" customHeight="1" s="60"/>
    <row r="750" ht="14.25" customHeight="1" s="60"/>
    <row r="751" ht="14.25" customHeight="1" s="60"/>
    <row r="752" ht="14.25" customHeight="1" s="60"/>
    <row r="753" ht="14.25" customHeight="1" s="60"/>
    <row r="754" ht="14.25" customHeight="1" s="60"/>
    <row r="755" ht="14.25" customHeight="1" s="60"/>
    <row r="756" ht="14.25" customHeight="1" s="60"/>
    <row r="757" ht="14.25" customHeight="1" s="60"/>
    <row r="758" ht="14.25" customHeight="1" s="60"/>
    <row r="759" ht="14.25" customHeight="1" s="60"/>
    <row r="760" ht="14.25" customHeight="1" s="60"/>
    <row r="761" ht="14.25" customHeight="1" s="60"/>
    <row r="762" ht="14.25" customHeight="1" s="60"/>
    <row r="763" ht="14.25" customHeight="1" s="60"/>
    <row r="764" ht="14.25" customHeight="1" s="60"/>
    <row r="765" ht="14.25" customHeight="1" s="60"/>
    <row r="766" ht="14.25" customHeight="1" s="60"/>
    <row r="767" ht="14.25" customHeight="1" s="60"/>
    <row r="768" ht="14.25" customHeight="1" s="60"/>
    <row r="769" ht="14.25" customHeight="1" s="60"/>
    <row r="770" ht="14.25" customHeight="1" s="60"/>
    <row r="771" ht="14.25" customHeight="1" s="60"/>
    <row r="772" ht="14.25" customHeight="1" s="60"/>
    <row r="773" ht="14.25" customHeight="1" s="60"/>
    <row r="774" ht="14.25" customHeight="1" s="60"/>
    <row r="775" ht="14.25" customHeight="1" s="60"/>
    <row r="776" ht="14.25" customHeight="1" s="60"/>
    <row r="777" ht="14.25" customHeight="1" s="60"/>
    <row r="778" ht="14.25" customHeight="1" s="60"/>
    <row r="779" ht="14.25" customHeight="1" s="60"/>
    <row r="780" ht="14.25" customHeight="1" s="60"/>
    <row r="781" ht="14.25" customHeight="1" s="60"/>
    <row r="782" ht="14.25" customHeight="1" s="60"/>
    <row r="783" ht="14.25" customHeight="1" s="60"/>
    <row r="784" ht="14.25" customHeight="1" s="60"/>
    <row r="785" ht="14.25" customHeight="1" s="60"/>
    <row r="786" ht="14.25" customHeight="1" s="60"/>
    <row r="787" ht="14.25" customHeight="1" s="60"/>
    <row r="788" ht="14.25" customHeight="1" s="60"/>
    <row r="789" ht="14.25" customHeight="1" s="60"/>
    <row r="790" ht="14.25" customHeight="1" s="60"/>
    <row r="791" ht="14.25" customHeight="1" s="60"/>
    <row r="792" ht="14.25" customHeight="1" s="60"/>
    <row r="793" ht="14.25" customHeight="1" s="60"/>
    <row r="794" ht="14.25" customHeight="1" s="60"/>
    <row r="795" ht="14.25" customHeight="1" s="60"/>
    <row r="796" ht="14.25" customHeight="1" s="60"/>
    <row r="797" ht="14.25" customHeight="1" s="60"/>
    <row r="798" ht="14.25" customHeight="1" s="60"/>
    <row r="799" ht="14.25" customHeight="1" s="60"/>
    <row r="800" ht="14.25" customHeight="1" s="60"/>
    <row r="801" ht="14.25" customHeight="1" s="60"/>
    <row r="802" ht="14.25" customHeight="1" s="60"/>
    <row r="803" ht="14.25" customHeight="1" s="60"/>
    <row r="804" ht="14.25" customHeight="1" s="60"/>
    <row r="805" ht="14.25" customHeight="1" s="60"/>
    <row r="806" ht="14.25" customHeight="1" s="60"/>
    <row r="807" ht="14.25" customHeight="1" s="60"/>
    <row r="808" ht="14.25" customHeight="1" s="60"/>
    <row r="809" ht="14.25" customHeight="1" s="60"/>
    <row r="810" ht="14.25" customHeight="1" s="60"/>
    <row r="811" ht="14.25" customHeight="1" s="60"/>
    <row r="812" ht="14.25" customHeight="1" s="60"/>
    <row r="813" ht="14.25" customHeight="1" s="60"/>
    <row r="814" ht="14.25" customHeight="1" s="60"/>
    <row r="815" ht="14.25" customHeight="1" s="60"/>
    <row r="816" ht="14.25" customHeight="1" s="60"/>
    <row r="817" ht="14.25" customHeight="1" s="60"/>
    <row r="818" ht="14.25" customHeight="1" s="60"/>
    <row r="819" ht="14.25" customHeight="1" s="60"/>
    <row r="820" ht="14.25" customHeight="1" s="60"/>
    <row r="821" ht="14.25" customHeight="1" s="60"/>
    <row r="822" ht="14.25" customHeight="1" s="60"/>
    <row r="823" ht="14.25" customHeight="1" s="60"/>
    <row r="824" ht="14.25" customHeight="1" s="60"/>
    <row r="825" ht="14.25" customHeight="1" s="60"/>
    <row r="826" ht="14.25" customHeight="1" s="60"/>
    <row r="827" ht="14.25" customHeight="1" s="60"/>
    <row r="828" ht="14.25" customHeight="1" s="60"/>
    <row r="829" ht="14.25" customHeight="1" s="60"/>
    <row r="830" ht="14.25" customHeight="1" s="60"/>
    <row r="831" ht="14.25" customHeight="1" s="60"/>
    <row r="832" ht="14.25" customHeight="1" s="60"/>
    <row r="833" ht="14.25" customHeight="1" s="60"/>
    <row r="834" ht="14.25" customHeight="1" s="60"/>
    <row r="835" ht="14.25" customHeight="1" s="60"/>
    <row r="836" ht="14.25" customHeight="1" s="60"/>
    <row r="837" ht="14.25" customHeight="1" s="60"/>
    <row r="838" ht="14.25" customHeight="1" s="60"/>
    <row r="839" ht="14.25" customHeight="1" s="60"/>
    <row r="840" ht="14.25" customHeight="1" s="60"/>
    <row r="841" ht="14.25" customHeight="1" s="60"/>
    <row r="842" ht="14.25" customHeight="1" s="60"/>
    <row r="843" ht="14.25" customHeight="1" s="60"/>
    <row r="844" ht="14.25" customHeight="1" s="60"/>
    <row r="845" ht="14.25" customHeight="1" s="60"/>
    <row r="846" ht="14.25" customHeight="1" s="60"/>
    <row r="847" ht="14.25" customHeight="1" s="60"/>
    <row r="848" ht="14.25" customHeight="1" s="60"/>
    <row r="849" ht="14.25" customHeight="1" s="60"/>
    <row r="850" ht="14.25" customHeight="1" s="60"/>
    <row r="851" ht="14.25" customHeight="1" s="60"/>
    <row r="852" ht="14.25" customHeight="1" s="60"/>
    <row r="853" ht="14.25" customHeight="1" s="60"/>
    <row r="854" ht="14.25" customHeight="1" s="60"/>
    <row r="855" ht="14.25" customHeight="1" s="60"/>
    <row r="856" ht="14.25" customHeight="1" s="60"/>
    <row r="857" ht="14.25" customHeight="1" s="60"/>
    <row r="858" ht="14.25" customHeight="1" s="60"/>
    <row r="859" ht="14.25" customHeight="1" s="60"/>
    <row r="860" ht="14.25" customHeight="1" s="60"/>
    <row r="861" ht="14.25" customHeight="1" s="60"/>
    <row r="862" ht="14.25" customHeight="1" s="60"/>
    <row r="863" ht="14.25" customHeight="1" s="60"/>
    <row r="864" ht="14.25" customHeight="1" s="60"/>
    <row r="865" ht="14.25" customHeight="1" s="60"/>
    <row r="866" ht="14.25" customHeight="1" s="60"/>
    <row r="867" ht="14.25" customHeight="1" s="60"/>
    <row r="868" ht="14.25" customHeight="1" s="60"/>
    <row r="869" ht="14.25" customHeight="1" s="60"/>
    <row r="870" ht="14.25" customHeight="1" s="60"/>
    <row r="871" ht="14.25" customHeight="1" s="60"/>
    <row r="872" ht="14.25" customHeight="1" s="60"/>
    <row r="873" ht="14.25" customHeight="1" s="60"/>
    <row r="874" ht="14.25" customHeight="1" s="60"/>
    <row r="875" ht="14.25" customHeight="1" s="60"/>
    <row r="876" ht="14.25" customHeight="1" s="60"/>
    <row r="877" ht="14.25" customHeight="1" s="60"/>
    <row r="878" ht="14.25" customHeight="1" s="60"/>
    <row r="879" ht="14.25" customHeight="1" s="60"/>
    <row r="880" ht="14.25" customHeight="1" s="60"/>
    <row r="881" ht="14.25" customHeight="1" s="60"/>
    <row r="882" ht="14.25" customHeight="1" s="60"/>
    <row r="883" ht="14.25" customHeight="1" s="60"/>
    <row r="884" ht="14.25" customHeight="1" s="60"/>
    <row r="885" ht="14.25" customHeight="1" s="60"/>
    <row r="886" ht="14.25" customHeight="1" s="60"/>
    <row r="887" ht="14.25" customHeight="1" s="60"/>
    <row r="888" ht="14.25" customHeight="1" s="60"/>
    <row r="889" ht="14.25" customHeight="1" s="60"/>
    <row r="890" ht="14.25" customHeight="1" s="60"/>
    <row r="891" ht="14.25" customHeight="1" s="60"/>
    <row r="892" ht="14.25" customHeight="1" s="60"/>
    <row r="893" ht="14.25" customHeight="1" s="60"/>
    <row r="894" ht="14.25" customHeight="1" s="60"/>
    <row r="895" ht="14.25" customHeight="1" s="60"/>
    <row r="896" ht="14.25" customHeight="1" s="60"/>
    <row r="897" ht="14.25" customHeight="1" s="60"/>
    <row r="898" ht="14.25" customHeight="1" s="60"/>
    <row r="899" ht="14.25" customHeight="1" s="60"/>
    <row r="900" ht="14.25" customHeight="1" s="60"/>
    <row r="901" ht="14.25" customHeight="1" s="60"/>
    <row r="902" ht="14.25" customHeight="1" s="60"/>
    <row r="903" ht="14.25" customHeight="1" s="60"/>
    <row r="904" ht="14.25" customHeight="1" s="60"/>
    <row r="905" ht="14.25" customHeight="1" s="60"/>
    <row r="906" ht="14.25" customHeight="1" s="60"/>
    <row r="907" ht="14.25" customHeight="1" s="60"/>
    <row r="908" ht="14.25" customHeight="1" s="60"/>
    <row r="909" ht="14.25" customHeight="1" s="60"/>
    <row r="910" ht="14.25" customHeight="1" s="60"/>
    <row r="911" ht="14.25" customHeight="1" s="60"/>
    <row r="912" ht="14.25" customHeight="1" s="60"/>
    <row r="913" ht="14.25" customHeight="1" s="60"/>
    <row r="914" ht="14.25" customHeight="1" s="60"/>
    <row r="915" ht="14.25" customHeight="1" s="60"/>
    <row r="916" ht="14.25" customHeight="1" s="60"/>
    <row r="917" ht="14.25" customHeight="1" s="60"/>
    <row r="918" ht="14.25" customHeight="1" s="60"/>
    <row r="919" ht="14.25" customHeight="1" s="60"/>
    <row r="920" ht="14.25" customHeight="1" s="60"/>
    <row r="921" ht="14.25" customHeight="1" s="60"/>
    <row r="922" ht="14.25" customHeight="1" s="60"/>
    <row r="923" ht="14.25" customHeight="1" s="60"/>
    <row r="924" ht="14.25" customHeight="1" s="60"/>
    <row r="925" ht="14.25" customHeight="1" s="60"/>
    <row r="926" ht="14.25" customHeight="1" s="60"/>
    <row r="927" ht="14.25" customHeight="1" s="60"/>
    <row r="928" ht="14.25" customHeight="1" s="60"/>
    <row r="929" ht="14.25" customHeight="1" s="60"/>
    <row r="930" ht="14.25" customHeight="1" s="60"/>
    <row r="931" ht="14.25" customHeight="1" s="60"/>
    <row r="932" ht="14.25" customHeight="1" s="60"/>
    <row r="933" ht="14.25" customHeight="1" s="60"/>
    <row r="934" ht="14.25" customHeight="1" s="60"/>
    <row r="935" ht="14.25" customHeight="1" s="60"/>
    <row r="936" ht="14.25" customHeight="1" s="60"/>
    <row r="937" ht="14.25" customHeight="1" s="60"/>
    <row r="938" ht="14.25" customHeight="1" s="60"/>
    <row r="939" ht="14.25" customHeight="1" s="60"/>
    <row r="940" ht="14.25" customHeight="1" s="60"/>
    <row r="941" ht="14.25" customHeight="1" s="60"/>
    <row r="942" ht="14.25" customHeight="1" s="60"/>
    <row r="943" ht="14.25" customHeight="1" s="60"/>
    <row r="944" ht="14.25" customHeight="1" s="60"/>
    <row r="945" ht="14.25" customHeight="1" s="60"/>
    <row r="946" ht="14.25" customHeight="1" s="60"/>
    <row r="947" ht="14.25" customHeight="1" s="60"/>
    <row r="948" ht="14.25" customHeight="1" s="60"/>
    <row r="949" ht="14.25" customHeight="1" s="60"/>
    <row r="950" ht="14.25" customHeight="1" s="60"/>
    <row r="951" ht="14.25" customHeight="1" s="60"/>
    <row r="952" ht="14.25" customHeight="1" s="60"/>
    <row r="953" ht="14.25" customHeight="1" s="60"/>
    <row r="954" ht="14.25" customHeight="1" s="60"/>
    <row r="955" ht="14.25" customHeight="1" s="60"/>
    <row r="956" ht="14.25" customHeight="1" s="60"/>
    <row r="957" ht="14.25" customHeight="1" s="60"/>
    <row r="958" ht="14.25" customHeight="1" s="60"/>
    <row r="959" ht="14.25" customHeight="1" s="60"/>
    <row r="960" ht="14.25" customHeight="1" s="60"/>
    <row r="961" ht="14.25" customHeight="1" s="60"/>
    <row r="962" ht="14.25" customHeight="1" s="60"/>
    <row r="963" ht="14.25" customHeight="1" s="60"/>
    <row r="964" ht="14.25" customHeight="1" s="60"/>
    <row r="965" ht="14.25" customHeight="1" s="60"/>
    <row r="966" ht="14.25" customHeight="1" s="60"/>
    <row r="967" ht="14.25" customHeight="1" s="60"/>
    <row r="968" ht="14.25" customHeight="1" s="60"/>
    <row r="969" ht="14.25" customHeight="1" s="60"/>
    <row r="970" ht="14.25" customHeight="1" s="60"/>
    <row r="971" ht="14.25" customHeight="1" s="60"/>
    <row r="972" ht="14.25" customHeight="1" s="60"/>
    <row r="973" ht="14.25" customHeight="1" s="60"/>
    <row r="974" ht="14.25" customHeight="1" s="60"/>
    <row r="975" ht="14.25" customHeight="1" s="60"/>
    <row r="976" ht="14.25" customHeight="1" s="60"/>
    <row r="977" ht="14.25" customHeight="1" s="60"/>
    <row r="978" ht="14.25" customHeight="1" s="60"/>
    <row r="979" ht="14.25" customHeight="1" s="60"/>
    <row r="980" ht="14.25" customHeight="1" s="60"/>
    <row r="981" ht="14.25" customHeight="1" s="60"/>
    <row r="982" ht="14.25" customHeight="1" s="60"/>
    <row r="983" ht="14.25" customHeight="1" s="60"/>
    <row r="984" ht="14.25" customHeight="1" s="60"/>
    <row r="985" ht="14.25" customHeight="1" s="60"/>
    <row r="986" ht="14.25" customHeight="1" s="60"/>
    <row r="987" ht="14.25" customHeight="1" s="60"/>
    <row r="988" ht="14.25" customHeight="1" s="60"/>
    <row r="989" ht="14.25" customHeight="1" s="60"/>
    <row r="990" ht="14.25" customHeight="1" s="60"/>
    <row r="991" ht="14.25" customHeight="1" s="60"/>
    <row r="992" ht="14.25" customHeight="1" s="60"/>
    <row r="993" ht="14.25" customHeight="1" s="60"/>
    <row r="994" ht="14.25" customHeight="1" s="60"/>
    <row r="995" ht="14.25" customHeight="1" s="60"/>
    <row r="996" ht="14.25" customHeight="1" s="60"/>
    <row r="997" ht="14.25" customHeight="1" s="60"/>
    <row r="998" ht="14.25" customHeight="1" s="60"/>
    <row r="999" ht="14.25" customHeight="1" s="60"/>
    <row r="1000" ht="14.25" customHeight="1" s="60"/>
  </sheetData>
  <mergeCells count="1">
    <mergeCell ref="B2:G2"/>
  </mergeCells>
  <dataValidations count="1">
    <dataValidation sqref="G5:G204" showDropDown="0" showInputMessage="0" showErrorMessage="0" allowBlank="1" type="list">
      <formula1>"Sim,Passaria para ver a entrevista,Não"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2026-08-26T21:11:12Z</dcterms:created>
  <dcterms:modified xsi:type="dcterms:W3CDTF">2026-09-21T05:52:08Z</dcterms:modified>
</cp:coreProperties>
</file>