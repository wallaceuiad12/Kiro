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o usar" sheetId="1" r:id="rId4"/>
    <sheet state="visible" name="Base avaliação" sheetId="2" r:id="rId5"/>
    <sheet state="visible" name="Avaliação" sheetId="3" r:id="rId6"/>
    <sheet state="visible" name="Consolidado" sheetId="4" r:id="rId7"/>
    <sheet state="visible" name="Entrevista" sheetId="5" r:id="rId8"/>
    <sheet state="visible" name="Gabarito" sheetId="6" r:id="rId9"/>
    <sheet state="visible" name="Comentários" sheetId="7" r:id="rId10"/>
  </sheets>
  <definedNames>
    <definedName hidden="1" localSheetId="2" name="_xlnm._FilterDatabase">'Avaliação'!$A$5:$AI$206</definedName>
  </definedNames>
  <calcPr/>
  <extLst>
    <ext uri="GoogleSheetsCustomDataVersion2">
      <go:sheetsCustomData xmlns:go="http://customooxmlschemas.google.com/" r:id="rId11" roundtripDataChecksum="DSXAu+ufH+voC9fO90q+KsxACJzJymnw5ojf5uJN5o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5">
      <text>
        <t xml:space="preserve">======
ID#AAACG5PojOk
CCU    (2026-09-12 00:58:54)
C1  (10 pts)
A comunicação está clara e direto ao ponto.
3 = A recomendação está escrita em UMA frase, nos 2 primeiros slides, com o número que a sustenta.
2 = A recomendação é explícita e clara, mas só aparece depois da metade da entrega.
1 = Dá pra inferir a recomendação, mas ela não está escrita em lugar nenhum.
0 = Não há recomendação, ou há duas incompatíveis entre si.
TESTE: Aponte o slide e a frase. Não conseguiu apontar? Não é 3.</t>
      </text>
    </comment>
    <comment authorId="0" ref="L5">
      <text>
        <t xml:space="preserve">======
ID#AAACG5PojOY
CCU    (2026-09-12 00:58:54)
C2  (8 pts)
O desafio apresenta um formato que poderia ser apresentado a um cliente real.
3 = Documento fechado (capa, estrutura, apêndice), sem rascunho visível. Um cliente receberia como está.
2 = Estruturado, mas com pontas soltas: conta solta, slide inacabado, formatação inconsistente.
1 = Responde as perguntas, mas em formato de lista ou rascunho.
0 = Foto de papel, texto corrido no e-mail, ou arquivo sem estrutura nenhuma.
TESTE: Você mandaria esse arquivo, sem editar nada, pro cliente do seu projeto?</t>
      </text>
    </comment>
    <comment authorId="0" ref="M5">
      <text>
        <t xml:space="preserve">======
ID#AAACG5PojO0
CCU    (2026-09-12 00:58:54)
C3  (7 pts)
A apresentação apresenta um bom storytelling e envolve o leitor.
3 = Lendo só os títulos, na ordem, a história fecha sozinha: contexto -&gt; problema -&gt; análise -&gt; recomendação -&gt; riscos.
2 = A sequência é lógica, com 1 ou 2 saltos que obrigam o leitor a voltar.
1 = Os blocos existem, mas soltos — um não puxa o outro.
0 = Ordem aleatória, ou é só uma lista de respostas às perguntas.
TESTE: Leia SÓ os títulos em voz alta. Se a recomendação não aparecer, é no máximo 1.</t>
      </text>
    </comment>
    <comment authorId="0" ref="N5">
      <text>
        <t xml:space="preserve">======
ID#AAACG5PojOc
CCU    (2026-09-12 00:58:54)
C4  (5 pts)
O trabalho está visualmente bonito.
3 = Padrão único de fonte, cor e alinhamento em toda a entrega. Nenhum slide com parágrafo corrido.
2 = Consistente, com até 2 slides fora do padrão.
1 = Formatação improvisada, mas legível.
0 = Ilegível, desalinhado, ou é texto corrido.
TESTE: Conte os slides fora do padrão. É uma contagem, não uma impressão.</t>
      </text>
    </comment>
    <comment authorId="0" ref="P5">
      <text>
        <t xml:space="preserve">======
ID#AAACG5PojOs
CCU    (2026-09-12 00:58:54)
R1  (8 pts)
Sua recomendação leva em consideração ambas as partes qualitativas e quantitativas do case.
3 = A recomendação cita o número que a sustenta E a razão de negócio; as duas partes se apoiam.
2 = Cita as duas, mas uma é decorativa — o número não sustenta de fato a decisão.
1 = Só quantitativa (número sem porquê) ou só qualitativa (opinião sem número).
0 = Não há recomendação, ou ela contraria os próprios números apresentados.
TESTE: Tape o número: a recomendação ainda se sustenta? Tape o argumento: ainda se sustenta?</t>
      </text>
    </comment>
    <comment authorId="0" ref="Q5">
      <text>
        <t xml:space="preserve">======
ID#AAACG5PojOw
CCU    (2026-09-12 00:58:54)
R2  (7 pts)
O trabalho apresenta uma discussão rica com diversos pontos de vista sobre a expansão.
3 = Apresenta ao menos 2 caminhos, compara com critério explícito e justifica o que descartou.
2 = Cita alternativas, mas não compara — escolhe sem justificar.
1 = Menciona que existem alternativas, sem desenvolver nenhuma.
0 = Caminho único, sem discussão.
TESTE: Ele descartou alguma coisa por escrito? Se não descartou nada, não discutiu.</t>
      </text>
    </comment>
    <comment authorId="0" ref="R5">
      <text>
        <t xml:space="preserve">======
ID#AAACG5PojO4
CCU    (2026-09-12 00:58:54)
R3  (5 pts)
Foi além do pedido e trouxe análises interessantes.
3 = Trouxe algo não pedido que MUDA ou FORTALECE a recomendação.
2 = Trouxe algo não pedido, correto e LIGADO À DECISÃO, mas que não altera a conclusão.
1 = Não trouxe nada além, mas entregou o pedido de forma completa e correta.
0 = O material extra NÃO SE CONECTA à decisão (tangenciou), ou o pedido ficou incompleto.
TESTE: A análise extra responde a uma pergunta que o cliente deveria ter feito? Se não dá pra dizer qual decisão ela informa, é 0 — não 2. Volume não conta: três páginas de análise tangencial valem menos que nenhuma.</t>
      </text>
    </comment>
    <comment authorId="0" ref="S5">
      <text>
        <t xml:space="preserve">======
ID#AAACG5PojN8
CCU    (2026-09-12 00:58:54)
R4  (5 pts)
Foi além das interpretações óbvias dos indicadores e agregou valor à análise.
3 = Explica a CAUSA por trás do indicador e o que fazer com ela.
2 = Compara o indicador com algo (outra loja, outro ano, benchmark) e tira conclusão.
1 = Lê o indicador corretamente (ex.: a margem caiu).
0 = Repete o número sem interpretar.
TESTE: Ele respondeu 'por quê', 'comparado a quê', ou só 'quanto'?</t>
      </text>
    </comment>
    <comment authorId="0" ref="U5">
      <text>
        <t xml:space="preserve">======
ID#AAACG5PojOM
CCU    (2026-09-12 00:58:54)
A1  (6 pts)
[CONTA CENTRAL 1 — escrever aqui a pergunta do case deste semestre]
3 = Valor dentro da tolerância definida na aba Gabarito E memória de cálculo visível.
2 = Método correto, valor fora da tolerância (erro aritmético).
1 = Identificou a lógica correta, não fechou o número.
0 = Não respondeu, ou o método está errado.
TESTE: Confira contra a aba Gabarito. Dois avaliadores têm que chegar no mesmo número.</t>
      </text>
    </comment>
    <comment authorId="0" ref="V5">
      <text>
        <t xml:space="preserve">======
ID#AAACG5PojO8
CCU    (2026-09-12 00:58:54)
A2  (6 pts)
[CONTA CENTRAL 2 — escrever aqui a pergunta do case deste semestre]
3 = Valor dentro da tolerância definida na aba Gabarito E memória de cálculo visível.
2 = Método correto, valor fora da tolerância (erro aritmético).
1 = Identificou a lógica correta, não fechou o número.
0 = Não respondeu, ou o método está errado.
TESTE: Confira contra a aba Gabarito.</t>
      </text>
    </comment>
    <comment authorId="0" ref="W5">
      <text>
        <t xml:space="preserve">======
ID#AAACG5PojOE
CCU    (2026-09-12 00:58:54)
A3  (4 pts)
[PROJEÇÃO / PLANO — a projeção pedida no case fecha com a meta declarada?]
3 = Os números da projeção chegam às metas do case E batem com o modelo que ele mesmo montou.
2 = Chega a parte das metas, ou chega a todas sem mostrar a ponte entre os anos.
1 = Plano narrativo, sem número.
0 = Não fez.
TESTE: Some os anos da projeção dele. Bate com a meta que ele mesmo escreveu?</t>
      </text>
    </comment>
    <comment authorId="0" ref="X5">
      <text>
        <t xml:space="preserve">======
ID#AAACG5PojOI
CCU    (2026-09-12 00:58:54)
A4  (3 pts)
[ALTERNATIVA — propôs caminho alternativo coerente com o case?]
3 = Propõe alternativa com número estimado de impacto.
2 = Propõe alternativa coerente com o case, sem quantificar.
1 = Alternativa genérica — serviria pra qualquer empresa.
0 = Não propôs, ou propõe algo que contraria o case.
TESTE: A alternativa cita algo que só existe NESTE case? Se não, é 1.</t>
      </text>
    </comment>
    <comment authorId="0" ref="Y5">
      <text>
        <t xml:space="preserve">======
ID#AAACG5PojOg
CCU    (2026-09-12 00:58:54)
A5  (3 pts)
Analisou riscos e próximos passos de forma lógica e estruturada?
3 = Riscos específicos da recomendação DELE, com mitigação e prazo.
2 = Riscos específicos, sem mitigação.
1 = Riscos genéricos (crise, concorrência, câmbio).
0 = Não fez.
TESTE: O risco listado some se a recomendação mudar? Se não some, é genérico.</t>
      </text>
    </comment>
    <comment authorId="0" ref="Z5">
      <text>
        <t xml:space="preserve">======
ID#AAACG5PojOo
CCU    (2026-09-12 00:58:54)
A6  (3 pts)
Identificou a inconsistência plantada no material do case?
3 = Achou, apontou explicitamente e explicou como tratou.
2 = Achou e apontou.
1 = Contornou sem nomear — usou o número certo, mas não disse por quê.
0 = Construiu a análise inteira em cima do dado errado.
TESTE: Este é o item que a IA erra. Vale 3 pts e separa mais que qualquer outro.</t>
      </text>
    </comment>
    <comment authorId="0" ref="AB5">
      <text>
        <t xml:space="preserve">======
ID#AAACG5PojOA
CCU    (2026-09-12 00:58:54)
E1  (3 pts)
Enviou planilha com a memória de cálculo.
1 = sim   ·   0 = não
TESTE: Sim = 1, Não = 0. Sem julgamento.</t>
      </text>
    </comment>
    <comment authorId="0" ref="AC5">
      <text>
        <t xml:space="preserve">======
ID#AAACG5PojPI
CCU    (2026-09-12 00:58:54)
E2  (2 pts)
Enviou apresentação fechada (PPT ou relatório).
1 = sim   ·   0 = não
TESTE: Sim = 1, Não = 0.</t>
      </text>
    </comment>
    <comment authorId="0" ref="AD5">
      <text>
        <t xml:space="preserve">======
ID#AAACG5PojOU
CCU    (2026-09-12 00:58:54)
E3  (2 pts)
Gravou o vídeo da entrega.
1 = sim   ·   0 = não
TESTE: Sim = 1, Não = 0.</t>
      </text>
    </comment>
    <comment authorId="0" ref="AE5">
      <text>
        <t xml:space="preserve">======
ID#AAACG5PojPE
CCU    (2026-09-12 00:58:54)
E4  (3 pts)
O trabalho apresenta recursos textuais e visuais (gráficos, tabelas de DRE).
3 = Todo gráfico/tabela é citado no texto E sustenta uma afirmação da análise.
2 = Os recursos são corretos e citados, mas alguns são decorativos (não provam nada).
1 = Há recursos, mas soltos — não citados no texto, ou com erro de leitura (eixo, escala, unidade).
0 = Nenhum gráfico ou tabela.
TESTE: Quantidade não é critério: 3 gráficos que provam algo valem mais que 8 enfeitando. Para cada recurso pergunte: que afirmação ele sustenta?</t>
      </text>
    </comment>
    <comment authorId="0" ref="AF5">
      <text>
        <t xml:space="preserve">======
ID#AAACG5PojOQ
CCU    (2026-09-12 00:58:54)
V1  (5 pts)
Clareza e naturalidade na fala.
3 = Fala com estrutura própria, sem ler. Dá pra acompanhar do começo ao fim.
2 = Boa fala, com apoio visível de roteiro.
1 = Lê integralmente, mas é compreensível.
0 = Não dá pra acompanhar, ou não gravou.
TESTE: Não julgue o conteúdo aqui, só a entrega da fala.</t>
      </text>
    </comment>
    <comment authorId="0" ref="AG5">
      <text>
        <t xml:space="preserve">======
ID#AAACG5PojPA
CCU    (2026-09-12 00:58:54)
V2  (5 pts)
Apresenta motivo concreto para entrar no CCU.
3 = Cita algo específico do CCU (projeto, área, evento) e conecta com o que quer desenvolver.
2 = Motivo real, mas genérico (quero aprender consultoria).
1 = Motivo circunstancial (tenho tempo livre, tenho carro pra ir aos eventos).
0 = Não respondeu à pergunta.
TESTE: O motivo dele serviria pra qualquer entidade da Unicamp? Então é 1.</t>
      </text>
    </comment>
  </commentList>
  <extLst>
    <ext uri="GoogleSheetsCustomDataVersion2">
      <go:sheetsCustomData xmlns:go="http://customooxmlschemas.google.com/" r:id="rId1" roundtripDataSignature="AMtx7mj7y/7/kFI0Xl9wFvLP2XrglfR5Nw=="/>
    </ext>
  </extLst>
</comments>
</file>

<file path=xl/sharedStrings.xml><?xml version="1.0" encoding="utf-8"?>
<sst xmlns="http://schemas.openxmlformats.org/spreadsheetml/2006/main" count="680" uniqueCount="422">
  <si>
    <t>PLANILHA DE AVALIAÇÃO — MODELO QUANTITATIVO</t>
  </si>
  <si>
    <t>O QUE MUDOU</t>
  </si>
  <si>
    <t>As perguntas</t>
  </si>
  <si>
    <t>São as mesmas da planilha antiga. Nenhuma pergunta nova, exceto A6 (inconsistência plantada), que entra no lugar de 'Resposta dos concorrentes' — item que ficou 89% zerado no PS 2026-1S e nem estava na Base.</t>
  </si>
  <si>
    <t>A escala</t>
  </si>
  <si>
    <t>Toda nota agora é 0, 1, 2 ou 3. Acabaram os 0,7 / 1,2 / 2,8. Cada nível tem uma frase que o descreve na aba 'Base avaliação'. Se você não consegue apontar a frase, você não pode dar aquela nota.</t>
  </si>
  <si>
    <t>Os pesos</t>
  </si>
  <si>
    <t>Comunicação 30 · Raciocínio 25 · Acurácia 25 · Entrega 10 · Vídeo 10. O peso agora está no bloco, não escondido no teto de cada pergunta.</t>
  </si>
  <si>
    <t>A trava</t>
  </si>
  <si>
    <t>A célula só aceita 0/1/2/3. No PS passado, 8 das 27 linhas tinham nota acima do teto do critério.</t>
  </si>
  <si>
    <t>O peso do vídeo</t>
  </si>
  <si>
    <t>R3 e E4</t>
  </si>
  <si>
    <t>Reescritos para premiar RELEVÂNCIA, não volume. Antes, análise extra tangencial pontuava 2 e fazer o pedido direito pontuava 0 — invertido. Agora tangente é 0 e entregar o pedido completo é 1. Em E4, contagem de gráficos saiu: o que vale é o recurso sustentar uma afirmação.</t>
  </si>
  <si>
    <t>AS 5 REGRAS</t>
  </si>
  <si>
    <t>1. Evidência obrigatória</t>
  </si>
  <si>
    <t>Ao lado da nota de cada bloco há uma coluna de evidência. Escreva o número do slide ou a minutagem do vídeo. É isso que torna a nota revisável e permite dar feedback ao candidato depois. NA PRÁTICA: preencha ao menos para todo 3 e todo 0  são as notas que afirmam algo forte e que o 2º avaliador contesta. O 2 é o meio-termo e raramente vira discussão. Veja a linha 6 (Modelo) para o formato.</t>
  </si>
  <si>
    <t>2. Corrija por critério</t>
  </si>
  <si>
    <t>Avalie TODOS os candidatos no C1, depois todos no C2, e assim por diante. Nunca candidato por candidato. Comparar 27 respostas da mesma pergunta lado a lado é muito mais consistente  e é o que evita que uma boa impressão geral contamine as 20 notas.</t>
  </si>
  <si>
    <t>3. Dois avaliadores</t>
  </si>
  <si>
    <t>Todo candidato precisa de 2 avaliações independentes. No PS 2026-1S só 37% tiveram. Se a diferença entre as duas notas finais passar de 1,0, a aba Consolidado acende alerta: vai para conversa de calibração ou terceiro avaliador.</t>
  </si>
  <si>
    <t>4. Calibre antes de abrir</t>
  </si>
  <si>
    <t>Antes do PS começar: peguem 3 entregas do PS anterior (uma boa, uma média, uma ruim), todo mundo avalia, comparem e discutam as divergências. Uma hora de reunião. É a maior alavanca de consistência que existe e não custa nada.</t>
  </si>
  <si>
    <t>5. Corte definido antes</t>
  </si>
  <si>
    <t>Número de vagas e nota mínima decididos ANTES de ver as notas. Desempate escrito: 1º acurácia · 2º comunicação · 3º entrevista.</t>
  </si>
  <si>
    <t>A NOTA QUANDO DUAS PESSOAS CORRIGEM</t>
  </si>
  <si>
    <t>Sim, é a média</t>
  </si>
  <si>
    <t>Se um avaliador dá 6,0 e o outro 7,0, a nota do candidato é 6,50. A aba Consolidado faz isso sozinha (AVERAGEIF por nome). Não arredonde na mão.</t>
  </si>
  <si>
    <t>Onde a vírgula pode aparecer</t>
  </si>
  <si>
    <t>Só na MÉDIA ENTRE PESSOAS, nunca dentro da cabeça de uma pessoa. Cada avaliador só digita 0, 1, 2 ou 3 — e a célula não aceita outra coisa. O 6,50 é o resultado de duas leituras independentes; o antigo 6,5 era uma pessoa sentindo que valia meio ponto. Mesmo número, confiabilidade completamente diferente.</t>
  </si>
  <si>
    <t>Quando a média NÃO vale</t>
  </si>
  <si>
    <t>Se a diferença passar de 1,0 (ex.: 5,8 e 7,2), a aba acende alerta e a média fica suspensa. Média de duas leituras que discordam muito não é consenso, é um número inventado no meio. Nesse caso: conversem, releiam juntos o critério que divergiu e refaçam — ou chamem um terceiro.</t>
  </si>
  <si>
    <t>Por que 1,0 é o limite</t>
  </si>
  <si>
    <t>Com escala de 0 a 3 e 20 critérios, dois avaliadores calibrados raramente passam de 1 ponto de diferença na nota final. Se passou, quase sempre é um critério só sendo lido de dois jeitos — e é isso que a conversa resolve. As colunas 'Nota aval. 1' e 'Nota aval. 2' mostram as duas notas lado a lado.</t>
  </si>
  <si>
    <t>ELEGIBILIDADE (estágio / intercâmbio / formatura)</t>
  </si>
  <si>
    <t>Não é eliminatório</t>
  </si>
  <si>
    <t>Conforme o diretor: é um warning, não um corte. Por isso NÃO entra na nota e NÃO tem peso. Fica só na aba Consolidado.</t>
  </si>
  <si>
    <t>CONSOLIDADO — cole os nomes na coluna B; o resto se calcula sozinho.</t>
  </si>
  <si>
    <t>Dois níveis</t>
  </si>
  <si>
    <t>BASE DE AVALIAÇÃO — cada nível tem uma descrição. Sem descrição apontada, a nota não vale.</t>
  </si>
  <si>
    <t>🔴 EVASÃO — sai do ar em até 2 semestres (intercâmbio confirmado, formatura próxima).   🟡 CARGA — continua, mas com menos tempo (estagiando agora, estágio começando no ano). Estagiar não é ir embora: é ter menos tempo. São riscos diferentes.</t>
  </si>
  <si>
    <t>Onde ela morde</t>
  </si>
  <si>
    <t>A flag não soma nem subtrai ponto e nunca elimina. Ela (i) obriga uma pergunta específica na entrevista e (ii) só desempata entre candidatos a menos de 0,3 ponto um do outro.</t>
  </si>
  <si>
    <t>Horas por semana</t>
  </si>
  <si>
    <t>AVALIAÇÃO — uma linha por candidato POR AVALIADOR. Cada candidato deve aparecer 2 vezes.</t>
  </si>
  <si>
    <t>VOLTEM COM ESSA PERGUNTA NO FORMULÁRIO. 2025.2 perguntava quantas horas o candidato dedicaria (todos responderam: mediana 8h, variando de 4 a 40) e ela sumiu em 2026.1. Tem variância real e mede o risco de CARGA muito melhor que 'estagiando sim/não' — porque os 13 aprovados de 2025.2 declararam plano de estágio, TODOS os 13. Uma flag que dispara em 100% da lista não separa nada.</t>
  </si>
  <si>
    <t>O que os dados já dizem</t>
  </si>
  <si>
    <t>Dos 13 aprovados em 2025.2, 4 apareceram como avaliadores em 2026.1 (Gustavo, Fred, Victor, AnaJu) — com planos de estágio variados, sem padrão. O único com formatura em 2026 não reaparece. É indício fraco (n=1), mas aponta para FORMATURA como a variável de risco real, não estágio. Por isso 🔴 EVASÃO e 🟡 CARGA são separados.</t>
  </si>
  <si>
    <t>Medir</t>
  </si>
  <si>
    <t>Registrem a flag de cada aprovado. Daqui a 2 ou 3 PS, cruzem com quem de fato continuou no clube. Aí vocês saberão se a hipótese é verdadeira — hoje ninguém sabe.</t>
  </si>
  <si>
    <t>COMUNICAÇÃO &amp; ESTRUTURA  —  30 pontos de 100</t>
  </si>
  <si>
    <t>O CASE E A IA</t>
  </si>
  <si>
    <t>Cada nome aparece 2 vezes pra terem 2 avaliadores por pessoa!</t>
  </si>
  <si>
    <t>O problema</t>
  </si>
  <si>
    <t>3 dias em casa: acurácia deixa de discriminar. No PS 2026-1S, antes da IA virar padrão, 62% dos candidatos já tiravam ≥80% do teto em 'Loja 5' e 65% em 'SG&amp;A'. Peso sem variância não muda ranking.</t>
  </si>
  <si>
    <t>C1</t>
  </si>
  <si>
    <t>Erro plantado (A6)</t>
  </si>
  <si>
    <t>Coloquem uma inconsistência de propósito no material: a DRE não fecha por X, ou o enunciado contradiz a tabela anexa. IA aceita o input como verdade e segue. Custa 10 minutos montando o case e é o melhor discriminador por esforço investido.</t>
  </si>
  <si>
    <t>COMUNICAÇÃO &amp; ESTRUTURA  (30)</t>
  </si>
  <si>
    <t>Premissa ausente</t>
  </si>
  <si>
    <t>Não deem o critério de rateio do SG&amp;A entre lojas. Aí não existe 'a resposta certa': pontua-se se declarou a premissa, se a carregou até a recomendação sem se contradizer e se testou outra.</t>
  </si>
  <si>
    <t>10 pts</t>
  </si>
  <si>
    <t>Propriedade na ENTREVISTA</t>
  </si>
  <si>
    <t>Não tente detectar IA no take-home. Nos primeiros 10 minutos da entrevista, o candidato refaz UMA conta da própria entrega, ao vivo, com um parâmetro alterado. Quem montou o modelo resolve em 3 minutos. Registre em Consolidado!K como OK / Não OK.</t>
  </si>
  <si>
    <t>A comunicação está clara e direto ao ponto.</t>
  </si>
  <si>
    <t>RACIOCÍNIO DE NEGÓCIO  (25)</t>
  </si>
  <si>
    <t>ACURÁCIA TÉCNICA  (25)</t>
  </si>
  <si>
    <t>A recomendação está escrita em UMA frase, nos 2 primeiros slides, com o número que a sustenta.</t>
  </si>
  <si>
    <t>ENTREGA (CHECKLIST)  (10)</t>
  </si>
  <si>
    <t>VÍDEO DO FORMULÁRIO  (10)</t>
  </si>
  <si>
    <t>#</t>
  </si>
  <si>
    <t>E-mail</t>
  </si>
  <si>
    <t>Candidato(a)</t>
  </si>
  <si>
    <t>A recomendação é explícita e clara, mas só aparece depois da metade da entrega.</t>
  </si>
  <si>
    <t>Avaliador</t>
  </si>
  <si>
    <t>NOTA FINAL</t>
  </si>
  <si>
    <t>Comunic. /30</t>
  </si>
  <si>
    <t>Dá pra inferir a recomendação, mas ela não está escrita em lugar nenhum.</t>
  </si>
  <si>
    <t>Racioc. /25</t>
  </si>
  <si>
    <t>Acurácia /25</t>
  </si>
  <si>
    <t>Nome</t>
  </si>
  <si>
    <t>Entrega /10</t>
  </si>
  <si>
    <t>Vídeo /10</t>
  </si>
  <si>
    <t>Nº aval.</t>
  </si>
  <si>
    <t>Não há recomendação, ou há duas incompatíveis entre si.</t>
  </si>
  <si>
    <t>Nota aval. 1</t>
  </si>
  <si>
    <t>C2</t>
  </si>
  <si>
    <t>TESTE OPERACIONAL:  Aponte o slide e a frase. Não conseguiu apontar? Não é 3.</t>
  </si>
  <si>
    <t>C3</t>
  </si>
  <si>
    <t>C4</t>
  </si>
  <si>
    <t>Nota aval. 2</t>
  </si>
  <si>
    <t>Evidência — Comunicação</t>
  </si>
  <si>
    <t>Diverg.</t>
  </si>
  <si>
    <t>8 pts</t>
  </si>
  <si>
    <t>Alerta</t>
  </si>
  <si>
    <t>R1</t>
  </si>
  <si>
    <t>O desafio apresenta um formato que poderia ser apresentado a um cliente real.</t>
  </si>
  <si>
    <t>Flag</t>
  </si>
  <si>
    <t>R2</t>
  </si>
  <si>
    <t>Horas/sem</t>
  </si>
  <si>
    <t>R3</t>
  </si>
  <si>
    <t>Motivo da flag / o que perguntar na entrevista</t>
  </si>
  <si>
    <t>R4</t>
  </si>
  <si>
    <t>Documento fechado (capa, estrutura, apêndice), sem rascunho visível. Um cliente receberia como está.</t>
  </si>
  <si>
    <t>Evidência — Raciocínio</t>
  </si>
  <si>
    <t>Ranking</t>
  </si>
  <si>
    <t>A1</t>
  </si>
  <si>
    <t>Entrevista: refez a conta?</t>
  </si>
  <si>
    <t>A2</t>
  </si>
  <si>
    <t>Decisão final</t>
  </si>
  <si>
    <t>Estruturado, mas com pontas soltas: conta solta, slide inacabado, formatação inconsistente.</t>
  </si>
  <si>
    <t>A3</t>
  </si>
  <si>
    <t>A4</t>
  </si>
  <si>
    <t>Responde as perguntas, mas em formato de lista ou rascunho.</t>
  </si>
  <si>
    <t>A5</t>
  </si>
  <si>
    <t>A6</t>
  </si>
  <si>
    <t>Evidência — Acurácia</t>
  </si>
  <si>
    <t>Foto de papel, texto corrido no e-mail, ou arquivo sem estrutura nenhuma.</t>
  </si>
  <si>
    <t>E1</t>
  </si>
  <si>
    <t>E2</t>
  </si>
  <si>
    <t>E3</t>
  </si>
  <si>
    <t>TESTE OPERACIONAL:  Você mandaria esse arquivo, sem editar nada, pro cliente do seu projeto?</t>
  </si>
  <si>
    <t>E4</t>
  </si>
  <si>
    <t>g278083@dac.unicamp.br</t>
  </si>
  <si>
    <t>V1</t>
  </si>
  <si>
    <t>Gabrielle Cristofani do Rosario</t>
  </si>
  <si>
    <t>7 pts</t>
  </si>
  <si>
    <t>V2</t>
  </si>
  <si>
    <t>A apresentação apresenta um bom storytelling e envolve o leitor.</t>
  </si>
  <si>
    <t>Evidência — Vídeo</t>
  </si>
  <si>
    <t>Comentário geral</t>
  </si>
  <si>
    <t>Modelo (entrega nota máxima)</t>
  </si>
  <si>
    <t>Lendo só os títulos, na ordem, a história fecha sozinha: contexto -&gt; problema -&gt; análise -&gt; recomendação -&gt; riscos.</t>
  </si>
  <si>
    <t>A sequência é lógica, com 1 ou 2 saltos que obrigam o leitor a voltar.</t>
  </si>
  <si>
    <t>Os blocos existem, mas soltos — um não puxa o outro.</t>
  </si>
  <si>
    <t>Ordem aleatória, ou é só uma lista de respostas às perguntas.</t>
  </si>
  <si>
    <t>TESTE OPERACIONAL:  Leia SÓ os títulos em voz alta. Se a recomendação não aparecer, é no máximo 1.</t>
  </si>
  <si>
    <t>5 pts</t>
  </si>
  <si>
    <t>O trabalho está visualmente bonito.</t>
  </si>
  <si>
    <t>Padrão único de fonte, cor e alinhamento em toda a entrega. Nenhum slide com parágrafo corrido.</t>
  </si>
  <si>
    <t>Consistente, com até 2 slides fora do padrão.</t>
  </si>
  <si>
    <t>Formatação improvisada, mas legível.</t>
  </si>
  <si>
    <t>Ilegível, desalinhado, ou é texto corrido.</t>
  </si>
  <si>
    <t>TESTE OPERACIONAL:  Conte os slides fora do padrão. É uma contagem, não uma impressão.</t>
  </si>
  <si>
    <t>RACIOCÍNIO DE NEGÓCIO  —  25 pontos de 100</t>
  </si>
  <si>
    <t>Sua recomendação leva em consideração ambas as partes qualitativas e quantitativas do case.</t>
  </si>
  <si>
    <t>A recomendação cita o número que a sustenta E a razão de negócio; as duas partes se apoiam.</t>
  </si>
  <si>
    <t>Cita as duas, mas uma é decorativa — o número não sustenta de fato a decisão.</t>
  </si>
  <si>
    <t>ENTREVISTA — nesta versão NÃO pontua. Ela veta, desempata e registra.</t>
  </si>
  <si>
    <t>Só quantitativa (número sem porquê) ou só qualitativa (opinião sem número).</t>
  </si>
  <si>
    <t>Não há recomendação, ou ela contraria os próprios números apresentados.</t>
  </si>
  <si>
    <t>⚠  A entrevista não é formalidade. Em 2025.2 ela cortou 10 dos 23 convocados (43%): o 3º colocado (8,15) foi cortado e o 20º (5,42) foi aprovado. Em 2026.1 não sobrou registro nenhum do que ela decidiu. Preencher esta aba é o mínimo para a próxima gestão saber o que aconteceu aqui.</t>
  </si>
  <si>
    <t>TESTE OPERACIONAL:  Tape o número: a recomendação ainda se sustenta? Tape o argumento: ainda se sustenta?</t>
  </si>
  <si>
    <t>O trabalho apresenta uma discussão rica com diversos pontos de vista sobre a expansão.</t>
  </si>
  <si>
    <t>Apresenta ao menos 2 caminhos, compara com critério explícito e justifica o que descartou.</t>
  </si>
  <si>
    <t>C1=3: slide 2, "Fechar a Loja 5 e migrar p/ B2B eleva o EBITDA em R$ 4,1mi" · C3=3: lendo só os títulos (slides 1-9) a história fecha · C4=3: padrão único em toda a entrega</t>
  </si>
  <si>
    <t>Cita alternativas, mas não compara — escolhe sem justificar.</t>
  </si>
  <si>
    <t>b309603@dac.unicamp.br</t>
  </si>
  <si>
    <t>Bruno Heberth Oliveira Bastos</t>
  </si>
  <si>
    <t>Nota do case</t>
  </si>
  <si>
    <t>R1=3: slide 2 liga o número ao argumento de negócio · R2=3: compara fechar vs. reformar no slide 7 e justifica o descarte · R3=3: análise de sazonalidade (slide 10) mudou a recomendação</t>
  </si>
  <si>
    <t>Menciona que existem alternativas, sem desenvolver nenhuma.</t>
  </si>
  <si>
    <t>Entrevistador(es)</t>
  </si>
  <si>
    <t>Data</t>
  </si>
  <si>
    <t>A1=3: Excel, aba "Loja 5", D12-D18 · A2=3: aba "SG&amp;A", C4-C11 · A6=3: apontou no slide 3 que a DRE não fecha por R$ 120k e explicou como tratou</t>
  </si>
  <si>
    <t>Caminho único, sem discussão.</t>
  </si>
  <si>
    <t>Refez a conta ao vivo?</t>
  </si>
  <si>
    <t>Qual conta foi pedida</t>
  </si>
  <si>
    <t>V1=3: fala solta o vídeo inteiro, sem ler · V2=3: cita o projeto X aos 2:15</t>
  </si>
  <si>
    <t>Pergunta da flag + resposta</t>
  </si>
  <si>
    <t>TESTE OPERACIONAL:  Ele descartou alguma coisa por escrito? Se não descartou nada, não discutiu.</t>
  </si>
  <si>
    <t>Observações da entrevista</t>
  </si>
  <si>
    <t>Decisão</t>
  </si>
  <si>
    <t xml:space="preserve">victor </t>
  </si>
  <si>
    <t>Motivo da decisão</t>
  </si>
  <si>
    <t>Foi além do pedido e trouxe análises interessantes.</t>
  </si>
  <si>
    <t>Trouxe algo não pedido que MUDA ou FORTALECE a recomendação.</t>
  </si>
  <si>
    <t>Trouxe algo não pedido, correto e LIGADO À DECISÃO, mas que não altera a conclusão.</t>
  </si>
  <si>
    <t>Não trouxe nada além, mas entregou o pedido de forma completa e correta.</t>
  </si>
  <si>
    <t>O material extra NÃO SE CONECTA à decisão (tangenciou), ou o pedido ficou incompleto.</t>
  </si>
  <si>
    <t>TESTE OPERACIONAL:  A análise extra responde a uma pergunta que o cliente deveria ter feito? Se não dá pra dizer qual decisão ela informa, é 0 — não 2. Volume não conta: três páginas de análise tangencial valem menos que nenhuma.</t>
  </si>
  <si>
    <t xml:space="preserve">v2 talvez seja 3 </t>
  </si>
  <si>
    <t>Foi além das interpretações óbvias dos indicadores e agregou valor à análise.</t>
  </si>
  <si>
    <t>Explica a CAUSA por trás do indicador e o que fazer com ela.</t>
  </si>
  <si>
    <t>Compara o indicador com algo (outra loja, outro ano, benchmark) e tira conclusão.</t>
  </si>
  <si>
    <t>Lê o indicador corretamente (ex.: a margem caiu).</t>
  </si>
  <si>
    <t>j309764@dac.unicamp.br</t>
  </si>
  <si>
    <t>João Pedro Mendes Stama</t>
  </si>
  <si>
    <t>Repete o número sem interpretar.</t>
  </si>
  <si>
    <t>TESTE OPERACIONAL:  Ele respondeu 'por quê', 'comparado a quê', ou só 'quanto'?</t>
  </si>
  <si>
    <t>ACURÁCIA TÉCNICA  —  25 pontos de 100</t>
  </si>
  <si>
    <t xml:space="preserve">É da Adm n dá </t>
  </si>
  <si>
    <t>⚠  ESTE É O ÚNICO BLOCO QUE DEPENDE DO CASE.  As ÂNCORAS (3/2/1/0) e os PESOS não mudam nunca — valem para qualquer case, todo semestre. O que muda a cada PS é só o TEXTO DA PERGUNTA de A1 a A4 e os valores da aba Gabarito. A1/A2 = contas com resposta única · A3 = a projeção pedida · A4 = a alternativa · A5 e A6 já são genéricos, não precisa reescrever.   Se o case novo tiver 3 contas centrais em vez de 2, divida os 12 pontos de A1+A2 entre elas; se tiver 1, ela leva os 12. O total do bloco (25) e as âncoras é que não podem mudar.</t>
  </si>
  <si>
    <t>6 pts</t>
  </si>
  <si>
    <t>[CONTA CENTRAL 1 — escrever aqui a pergunta do case deste semestre]</t>
  </si>
  <si>
    <t>col. Z · no PS 2026-1S era: 'Identificou corretamente a Margem Direta e o impacto no EBITDA ao fechar a Loja 5?'</t>
  </si>
  <si>
    <t>Valor dentro da tolerância definida na aba Gabarito E memória de cálculo visível.</t>
  </si>
  <si>
    <t>Método correto, valor fora da tolerância (erro aritmético).</t>
  </si>
  <si>
    <t>N passaria fez o gmat na cama mas parece legal</t>
  </si>
  <si>
    <t>r238449@dac.unicamp.br</t>
  </si>
  <si>
    <t>Identificou a lógica correta, não fechou o número.</t>
  </si>
  <si>
    <t>Rafael Ponciano Rodrigues dos Santos</t>
  </si>
  <si>
    <t>luis</t>
  </si>
  <si>
    <t>Não respondeu, ou o método está errado.</t>
  </si>
  <si>
    <t>TESTE OPERACIONAL:  Confira contra a aba Gabarito. Dois avaliadores têm que chegar no mesmo número.</t>
  </si>
  <si>
    <t>[CONTA CENTRAL 2 — escrever aqui a pergunta do case deste semestre]</t>
  </si>
  <si>
    <t>col. AA · no PS 2026-1S era: 'Calculou corretamente o SG&amp;A como % da receita e a redução de custos necessária para atingir 50%?'</t>
  </si>
  <si>
    <t>n falou nada do clube e tem um canal de 40 k de inscritos👍</t>
  </si>
  <si>
    <t>enzo.gag17@gmail.com</t>
  </si>
  <si>
    <t>Enzo Chofakian Gagliardi</t>
  </si>
  <si>
    <t>TESTE OPERACIONAL:  Confira contra a aba Gabarito.</t>
  </si>
  <si>
    <t>4 pts</t>
  </si>
  <si>
    <t>[PROJEÇÃO / PLANO — a projeção pedida no case fecha com a meta declarada?]</t>
  </si>
  <si>
    <t>estava na Base antiga SEM coluna · no PS 2026-1S era: 'O planejamento estratégico 2026-2030 é coerente com as metas de faturamento (+70%) e EBITDA (20%)?'</t>
  </si>
  <si>
    <t>Os números da projeção chegam às metas do case E batem com o modelo que ele mesmo montou.</t>
  </si>
  <si>
    <t>Chega a parte das metas, ou chega a todas sem mostrar a ponte entre os anos.</t>
  </si>
  <si>
    <t>Plano narrativo, sem número.</t>
  </si>
  <si>
    <t>ok</t>
  </si>
  <si>
    <t>e278588@dac.unicamp.br</t>
  </si>
  <si>
    <t>Não fez.</t>
  </si>
  <si>
    <t>Enrico Tristão e Mello de Oliveira</t>
  </si>
  <si>
    <t>TESTE OPERACIONAL:  Some os anos da projeção dele. Bate com a meta que ele mesmo escreveu?</t>
  </si>
  <si>
    <t>3 pts</t>
  </si>
  <si>
    <t>[ALTERNATIVA — propôs caminho alternativo coerente com o case?]</t>
  </si>
  <si>
    <t>col. AB · no PS 2026-1S era: 'Trouxe alternativas coerentes para melhorar a rentabilidade (ex: expansão B2B, otimização de marketing)?'</t>
  </si>
  <si>
    <t>Propõe alternativa com número estimado de impacto.</t>
  </si>
  <si>
    <t>Propõe alternativa coerente com o case, sem quantificar.</t>
  </si>
  <si>
    <t>Alternativa genérica — serviria pra qualquer empresa.</t>
  </si>
  <si>
    <t>Não propôs, ou propõe algo que contraria o case.</t>
  </si>
  <si>
    <t xml:space="preserve">N falou nada do clube só do mercado </t>
  </si>
  <si>
    <t>e221509@dac.unicamp.br</t>
  </si>
  <si>
    <t>Eduardo Alves Henrique</t>
  </si>
  <si>
    <t>TESTE OPERACIONAL:  A alternativa cita algo que só existe NESTE case? Se não, é 1.</t>
  </si>
  <si>
    <t>Analisou riscos e próximos passos de forma lógica e estruturada?</t>
  </si>
  <si>
    <t>col. AC (era 1 pt) — serve para qualquer case, não precisa reescrever</t>
  </si>
  <si>
    <t>Riscos específicos da recomendação DELE, com mitigação e prazo.</t>
  </si>
  <si>
    <t>Riscos específicos, sem mitigação.</t>
  </si>
  <si>
    <t>Riscos genéricos (crise, concorrência, câmbio).</t>
  </si>
  <si>
    <t>TESTE OPERACIONAL:  O risco listado some se a recomendação mudar? Se não some, é genérico.</t>
  </si>
  <si>
    <t>Só falou que queria o CCU pra pegar cargo e ter no currículo</t>
  </si>
  <si>
    <t>l304532@dac.unicamp.br</t>
  </si>
  <si>
    <t>Leandra Cunha de Souza</t>
  </si>
  <si>
    <t>Identificou a inconsistência plantada no material do case?</t>
  </si>
  <si>
    <t>NOVO — substitui a col. AD · serve para qualquer case, basta plantar o erro</t>
  </si>
  <si>
    <t>Achou, apontou explicitamente e explicou como tratou.</t>
  </si>
  <si>
    <t>Achou e apontou.</t>
  </si>
  <si>
    <t>Contornou sem nomear — usou o número certo, mas não disse por quê.</t>
  </si>
  <si>
    <t>Construiu a análise inteira em cima do dado errado.</t>
  </si>
  <si>
    <t>TESTE OPERACIONAL:  Este é o item que a IA erra. Vale 3 pts e separa mais que qualquer outro.</t>
  </si>
  <si>
    <t>ENTREGA (CHECKLIST)  —  10 pontos de 100</t>
  </si>
  <si>
    <t>Mid, muitas experiencias mas todas na escola, achei confusa a resposta só saiu citando coisas q fez</t>
  </si>
  <si>
    <t>v188630@dac.unicamp.br</t>
  </si>
  <si>
    <t>Vagner Ássimos Gomes Carlos Filho</t>
  </si>
  <si>
    <t>victor</t>
  </si>
  <si>
    <t>Enviou planilha com a memória de cálculo.</t>
  </si>
  <si>
    <t>col. U (era 'Excel = 0,5')</t>
  </si>
  <si>
    <t>1 / 0</t>
  </si>
  <si>
    <t>Item binário: enviou = 1, não enviou = 0.</t>
  </si>
  <si>
    <t>TESTE OPERACIONAL:  Sim = 1, Não = 0. Sem julgamento.</t>
  </si>
  <si>
    <t>2 pts</t>
  </si>
  <si>
    <t>Enviou apresentação fechada (PPT ou relatório).</t>
  </si>
  <si>
    <t>col. U (era 'PPT = 0,5')</t>
  </si>
  <si>
    <t>Falou das palestras, n sei se tava lendo ou só olhado pra camera mas falou bem ent talvez seja 3</t>
  </si>
  <si>
    <t>m277865@dac.unicamp.br</t>
  </si>
  <si>
    <t>TESTE OPERACIONAL:  Sim = 1, Não = 0.</t>
  </si>
  <si>
    <t>Mariana Nunes Galvão Sant'Anna</t>
  </si>
  <si>
    <t xml:space="preserve">luis </t>
  </si>
  <si>
    <t>Gravou o vídeo da entrega.</t>
  </si>
  <si>
    <t>col. AE (era 'Mandou vídeo = 1 ponto')</t>
  </si>
  <si>
    <t>O trabalho apresenta recursos textuais e visuais (gráficos, tabelas de DRE).</t>
  </si>
  <si>
    <t>col. AF (era 2 pts)</t>
  </si>
  <si>
    <t>Todo gráfico/tabela é citado no texto E sustenta uma afirmação da análise.</t>
  </si>
  <si>
    <t>Os recursos são corretos e citados, mas alguns são decorativos (não provam nada).</t>
  </si>
  <si>
    <t>Há recursos, mas soltos — não citados no texto, ou com erro de leitura (eixo, escala, unidade).</t>
  </si>
  <si>
    <t>motivo genérico</t>
  </si>
  <si>
    <t>a266739@dac.unicamp.br</t>
  </si>
  <si>
    <t>Nenhum gráfico ou tabela.</t>
  </si>
  <si>
    <t>Aslan Rodrigues Maia</t>
  </si>
  <si>
    <t>Ferro</t>
  </si>
  <si>
    <t>TESTE OPERACIONAL:  Quantidade não é critério: 3 gráficos que provam algo valem mais que 8 enfeitando. Para cada recurso pergunte: que afirmação ele sustenta?</t>
  </si>
  <si>
    <t>VÍDEO DO FORMULÁRIO  —  10 pontos de 100</t>
  </si>
  <si>
    <t>Clareza e naturalidade na fala.</t>
  </si>
  <si>
    <t>col. R — substitui a nota única 0-10</t>
  </si>
  <si>
    <t>TIrou 2/3 do Gmat, e falou um pouco travado no vídeo, mas foi bem (não é bixo)</t>
  </si>
  <si>
    <t>Fala com estrutura própria, sem ler. Dá pra acompanhar do começo ao fim.</t>
  </si>
  <si>
    <t>j278641@dac.unicamp.br</t>
  </si>
  <si>
    <t>João Gabriel de Oliveira Morcelli</t>
  </si>
  <si>
    <t>Boa fala, com apoio visível de roteiro.</t>
  </si>
  <si>
    <t>Lê integralmente, mas é compreensível.</t>
  </si>
  <si>
    <t>Não dá pra acompanhar, ou não gravou.</t>
  </si>
  <si>
    <t>2/3 Gmat, fez no final sem energia, cara foi resiliente, falou muito bem no vídeo</t>
  </si>
  <si>
    <t>r278709@dac.unicamp.br</t>
  </si>
  <si>
    <t>Raphael Negrini Saggioro</t>
  </si>
  <si>
    <t>TESTE OPERACIONAL:  Não julgue o conteúdo aqui, só a entrega da fala.</t>
  </si>
  <si>
    <t>Apresenta motivo concreto para entrar no CCU.</t>
  </si>
  <si>
    <t>Cita algo específico do CCU (projeto, área, evento) e conecta com o que quer desenvolver.</t>
  </si>
  <si>
    <t>Motivo real, mas genérico (quero aprender consultoria).</t>
  </si>
  <si>
    <t>Motivo circunstancial (tenho tempo livre, tenho carro pra ir aos eventos).</t>
  </si>
  <si>
    <t>2/3 Gmat na média, vídeo foi muito bem, citou todos projetos</t>
  </si>
  <si>
    <t>g278107@dac.unicamp.br</t>
  </si>
  <si>
    <t>Gustavo Daher Pereira</t>
  </si>
  <si>
    <t>Não respondeu à pergunta.</t>
  </si>
  <si>
    <t>TESTE OPERACIONAL:  O motivo dele serviria pra qualquer entidade da Unicamp? Então é 1.</t>
  </si>
  <si>
    <t>2/3 Gmat. Mano esse cara é a definição de estar na média</t>
  </si>
  <si>
    <t>rickfilho2007@gmail.com</t>
  </si>
  <si>
    <t>Ricardo Augusto Schmitt Filho</t>
  </si>
  <si>
    <t>2/3 Gmat, falou bem, mas parecia ler as vezes</t>
  </si>
  <si>
    <t>m306365@dac.unicamp.br</t>
  </si>
  <si>
    <t>Matheus Dias Freitas</t>
  </si>
  <si>
    <t>(BIXO) Vídeo de toca e perguntou se o gmat era em inglês mesmo, reportado</t>
  </si>
  <si>
    <t>k267983@dac.unicamp.br</t>
  </si>
  <si>
    <t>Klaus Augusto Santos da Silva</t>
  </si>
  <si>
    <t>Achei o vídeo meio merda, ele fala bem, mas achei q falou umas coisas nada a ver</t>
  </si>
  <si>
    <t>r302729@dac.unicamp.br</t>
  </si>
  <si>
    <t>Rafael Rodrigues Moreira</t>
  </si>
  <si>
    <t>(BIXO) Mas falou bem, tava lendo, mas sempre cola nas palestras</t>
  </si>
  <si>
    <t>c258388@dac.unicamp.br</t>
  </si>
  <si>
    <t>Caio Augusto Saab</t>
  </si>
  <si>
    <t>fala com pouca naturalidade e sem motivo concreto</t>
  </si>
  <si>
    <t>j260826@dac.unicamp.br</t>
  </si>
  <si>
    <t>José Vitor Dias Tutu</t>
  </si>
  <si>
    <t>n falou nada do CCU</t>
  </si>
  <si>
    <t xml:space="preserve">i253464@dac.unicamp.br
</t>
  </si>
  <si>
    <t>Isadora Kluge Dorigan</t>
  </si>
  <si>
    <t>Proc</t>
  </si>
  <si>
    <t>43% do GMAT. Senti que lia. Falou bem. Trajetória sólida.</t>
  </si>
  <si>
    <t>SEGUNDO AVALIADOR</t>
  </si>
  <si>
    <t>Fred</t>
  </si>
  <si>
    <t>feagri 3° ano de curso, falou bem, mas foi generica em falar de consultoria</t>
  </si>
  <si>
    <t>JOÃO PEDRO STAMA</t>
  </si>
  <si>
    <t>GABARITO E MONTAGEM DO CASE — preencher DEPOIS que o case do semestre existir.</t>
  </si>
  <si>
    <t>Só o bloco de ACURÁCIA (A1–A6) depende do case. Comunicação, Raciocínio, Entrega e Vídeo já estão prontos e valem para qualquer case — a rubrica pode ser aprovada antes do case ficar pronto. Aqui você faz duas coisas: (1) confere se o case tem o que a rubrica precisa medir e (2) preenche os valores do gabarito.</t>
  </si>
  <si>
    <t>PARTE 1 — O QUE O CASE PRECISA TER (conferir ao montar)</t>
  </si>
  <si>
    <t>colou no gmat</t>
  </si>
  <si>
    <t>O que o case precisa conter</t>
  </si>
  <si>
    <t>Alimenta</t>
  </si>
  <si>
    <t>Status</t>
  </si>
  <si>
    <t>Por quê / como fazer</t>
  </si>
  <si>
    <t>☐</t>
  </si>
  <si>
    <t>Duas contas centrais com UMA resposta certa cada</t>
  </si>
  <si>
    <t>A1, A2</t>
  </si>
  <si>
    <t>Pendente</t>
  </si>
  <si>
    <t>Tem que ser conferível em 30 segundos, sem discussão. Se dois avaliadores podem chegar a números diferentes, não serve para este bloco — mande para Raciocínio.</t>
  </si>
  <si>
    <t>Falou bem no vídeo (levemente robótico) e mandou bem no gmat</t>
  </si>
  <si>
    <t>DIFICULDADE CALIBRADA: acerto médio perto de 50% do teto</t>
  </si>
  <si>
    <t>Em 2025.2 os itens de gabarito ficaram entre 41% e 62% do teto e o bloco discriminou (Spearman 0,89 com o ranking final). Em 2026.1 ficaram entre 72% e 82% e viraram ruído (0,64). Se na correção um item passar de ~75% de acerto médio, ele não está separando ninguém — por mais peso que tenha.</t>
  </si>
  <si>
    <t>Uma projeção ou plano com meta numérica declarada no enunciado</t>
  </si>
  <si>
    <t>A meta precisa estar escrita no case (ex.: crescer X%, atingir Y de margem), senão não há contra o que conferir.</t>
  </si>
  <si>
    <t>Um caminho alternativo que o candidato consiga dimensionar</t>
  </si>
  <si>
    <t>Acho q da pra passar, foi bem até</t>
  </si>
  <si>
    <t>Precisa existir dado suficiente no material para ele estimar o impacto. Sem isso, todo mundo fica no nível 2.</t>
  </si>
  <si>
    <t>Pergunta explícita de riscos e próximos passos</t>
  </si>
  <si>
    <t>Já está na rubrica e serve para qualquer case. Só garanta que o enunciado peça.</t>
  </si>
  <si>
    <t>UMA INCONSISTÊNCIA PLANTADA de propósito</t>
  </si>
  <si>
    <t>Ex.: a DRE não fecha por um valor, ou o número do enunciado contradiz a tabela anexa. É o item que a IA erra e o melhor discriminador do bloco. Não conte para os candidatos, obviamente.</t>
  </si>
  <si>
    <t>Achei q falou bem até, mas n acho q falou pq quer entrar no CCU</t>
  </si>
  <si>
    <t>UMA PREMISSA DEIXADA EM ABERTO de propósito</t>
  </si>
  <si>
    <t>R1, A4</t>
  </si>
  <si>
    <t>Ex.: não informar o critério de rateio de um custo entre unidades. Não pontua sozinha: aparece na qualidade da recomendação. Como não existe resposta certa, a IA não ajuda.</t>
  </si>
  <si>
    <t>Entregáveis obrigatórios declarados no enunciado</t>
  </si>
  <si>
    <t>E1, E2, E3</t>
  </si>
  <si>
    <t>Escrever no case: planilha com a memória de cálculo, apresentação fechada e vídeo. Se não estiver pedido, não dá para pontuar como checklist.</t>
  </si>
  <si>
    <t>Um parâmetro escolhido para a checagem ao vivo</t>
  </si>
  <si>
    <t>Entrevista</t>
  </si>
  <si>
    <t>80% no GMAT. Ao mesmo tempo fala que pode não se interessar pelo CCU, como pode se tornar liderança (???).</t>
  </si>
  <si>
    <t>Defina agora qual número o candidato terá de refazer na entrevista com valor alterado. É a verificação de propriedade que o take-home não consegue dar.</t>
  </si>
  <si>
    <t>PARTE 2 — GABARITO (preencher com o case pronto)</t>
  </si>
  <si>
    <t>Item</t>
  </si>
  <si>
    <t>Pergunta do case / o que se espera</t>
  </si>
  <si>
    <t>Valor esperado</t>
  </si>
  <si>
    <t>Tolerância</t>
  </si>
  <si>
    <t>Observação</t>
  </si>
  <si>
    <t>GMAT inconclusivo se ela colou. Nada de especial.</t>
  </si>
  <si>
    <t>[conta central 1 — copiar a pergunta do case]</t>
  </si>
  <si>
    <t>[preencher]</t>
  </si>
  <si>
    <t>±2%</t>
  </si>
  <si>
    <t>Se a memória de cálculo não estiver visível, o teto é 2 mesmo com o valor certo.</t>
  </si>
  <si>
    <t>[conta central 2 — copiar a pergunta do case]</t>
  </si>
  <si>
    <t>[meta declarada no case que a projeção precisa atingir]</t>
  </si>
  <si>
    <t>Mais de 80% no GMAT. Falou quer CCU e ia nas palestras mas NÃO falou sobre ele, haviam mais 30s para falar.</t>
  </si>
  <si>
    <t>Confira também contra o modelo que o próprio candidato montou.</t>
  </si>
  <si>
    <t>[alternativa esperada e ordem de grandeza do impacto]</t>
  </si>
  <si>
    <t>—</t>
  </si>
  <si>
    <t>Não existe resposta única: serve para calibrar o que é 'quantificado'.</t>
  </si>
  <si>
    <t>[descrever a INCONSISTÊNCIA plantada e onde ela está]</t>
  </si>
  <si>
    <t>[descrever]</t>
  </si>
  <si>
    <t>Foi bem no GMAT. Falou muito rápido, mas trouxe ótima história. Se mostrou engajada.</t>
  </si>
  <si>
    <t>Combinar antes de publicar o case. Anotar aqui o valor correto e o valor plantado.</t>
  </si>
  <si>
    <t>[descrever a PREMISSA deixada em aberto]</t>
  </si>
  <si>
    <t>Não pontua sozinha: entra em R1 (recomendação) e A4 (alternativa).</t>
  </si>
  <si>
    <t>[parâmetro da checagem ao vivo na entrevista]</t>
  </si>
  <si>
    <t>Ex.: refazer a conta de A1 com o parâmetro X alterado em 30%.</t>
  </si>
  <si>
    <t>PARTE 3 — AUTOCORREÇÃO (opcional, mas é onde mora o maior ganho)</t>
  </si>
  <si>
    <t>Se vocês pedirem os números-chave em campos obrigatórios do formulário de entrega, A1 e A2 se corrigem sozinhos.</t>
  </si>
  <si>
    <t xml:space="preserve">quase 70% do GMAT. Vídeo parece que lia um teleprompter, mas fala bem. </t>
  </si>
  <si>
    <t>Fórmula de exemplo, com a resposta do candidato em X2 e o valor esperado de A1 em D19:</t>
  </si>
  <si>
    <t>Resultado: 12 dos 25 pontos de acurácia deixam de depender de quem corrigiu, e a conferência cai para segundos.</t>
  </si>
  <si>
    <t>Atenção: o nível 3 exige memória de cálculo visível. A fórmula dá o teto; quem confere rebaixa para 2 se o Excel não veio.</t>
  </si>
  <si>
    <t xml:space="preserve">motivos bons mas não falou do clube, tinha roteiro claramente no vídeo </t>
  </si>
  <si>
    <t xml:space="preserve">N respondeu diretamente a segunda pergunta mas meio q falou pq era bom e falou de todos os projetos, leu sobre </t>
  </si>
  <si>
    <t>Falou de palestras, achei prolixo e video demorado</t>
  </si>
  <si>
    <t>Fez u  desafio foda mas n falou nada do ccu</t>
  </si>
  <si>
    <t>fez o video de touca, falou tudo muito genérico</t>
  </si>
  <si>
    <t xml:space="preserve">Foi um dos unicos que falou q queria entrar pra ajudar o clube e falou q queria fazer amigo kkkkkkk, mas n achei q sabe muito de consultoria ou o q quer com o clube </t>
  </si>
  <si>
    <t>60% no GMAT; falou bem do nosso instagram, falou pouco sobre ele. 1min30 de vídeo.</t>
  </si>
  <si>
    <t xml:space="preserve">muito generico </t>
  </si>
  <si>
    <t>Tentou traduzir a página e foi mal no GMAT. Vídeo ruim. Motivos ruins.</t>
  </si>
  <si>
    <t>Mandou bem no vídeo e vai ser a próxima ana bia + verena</t>
  </si>
  <si>
    <t>COMENTÁRIOS — resuma o que achou da entrega (mesma estrutura da planilha antiga)</t>
  </si>
  <si>
    <t>Comentários</t>
  </si>
  <si>
    <t>Aprovaria?</t>
  </si>
  <si>
    <t>COMO FAZER A CHECAGEM DE PROPRIEDADE: nos primeiros 10 minutos, peça que o candidato refaça UMA conta da própria entrega, ao vivo, com um parâmetro alterado (o combinado na aba Gabarito). Quem montou o modelo resolve em 3 minutos. Anote em H qual conta foi pedida.</t>
  </si>
  <si>
    <t>Isso substitui tentar 'detectar IA' na entrega — que é injusto de errar e impossível de provar. Aqui não se acusa ninguém: ou defende o próprio trabalho, ou não defende.</t>
  </si>
  <si>
    <t>A coluna Decisão volta sozinha para o Consolidado. Não digite a decisão nos dois lugares.</t>
  </si>
  <si>
    <t>Passaria para ver o case</t>
  </si>
  <si>
    <t>Tirou 2/3 do Gmat tbm, e fez no final sem energia, cara foi resiliente, falou muito bem no vídeo</t>
  </si>
  <si>
    <t>Sim</t>
  </si>
  <si>
    <t>Foi bem no Gmat tbm, falou muito bem, e falou dos projetos do CCU, fez a pesquisa básica ali, mandou bem</t>
  </si>
  <si>
    <t>NOTA FINAL = média das notas dos dois avaliadores (6,0 e 7,0 -&gt; 6,50). Se a diferença passar de 1,0, a média fica suspensa: conversem e refaçam o critério que divergiu.</t>
  </si>
  <si>
    <t>FLAG: não soma nem subtrai ponto e nunca elimina. Ela (i) obriga uma pergunta específica na entrevista e (ii) só desempata entre candidatos a menos de 0,3 ponto um do outro.</t>
  </si>
  <si>
    <t>HORAS/SEM: o que o candidato declarou no formulário. Em 2025.2 a mediana foi 8h (de 4 a 40). Abaixo de 6h acende vermelho — é conversa de entrevista, não corte.</t>
  </si>
  <si>
    <t>ENTREVISTA: as duas últimas colunas vêm da aba Entrevista, não se digita aqui. 'Não OK' na checagem de propriedade é VETO — derruba independentemente da nota.</t>
  </si>
  <si>
    <t>NOTA AMARELA = provisória: veio de UM avaliador só. Ela entra no ranking normalmente, mas não é comparável com as médias de dois — carrega inteira a severidade de quem corrigiu (0,89 pt de amplitude entre avaliadores no PS 2026-1S). Não feche corte com amarelo na lista.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</si>
</sst>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8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1.0"/>
      <color rgb="FFFFFFFF"/>
      <name val="Calibri"/>
    </font>
    <font>
      <b/>
      <sz val="10.0"/>
      <color rgb="FFC1272D"/>
      <name val="Calibri"/>
    </font>
    <font>
      <sz val="10.0"/>
      <color theme="1"/>
      <name val="Calibri"/>
    </font>
    <font>
      <b/>
      <sz val="12.0"/>
      <color rgb="FFFFFFFF"/>
      <name val="Calibri"/>
    </font>
    <font>
      <b/>
      <sz val="13.0"/>
      <color rgb="FFFFFFFF"/>
      <name val="Calibri"/>
    </font>
    <font>
      <b/>
      <color rgb="FFFFFFFF"/>
      <name val="Calibri"/>
      <scheme val="minor"/>
    </font>
    <font>
      <color theme="1"/>
      <name val="Calibri"/>
      <scheme val="minor"/>
    </font>
    <font>
      <b/>
      <sz val="11.0"/>
      <color rgb="FFC1272D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i/>
      <sz val="9.0"/>
      <color rgb="FF7A8496"/>
      <name val="Calibri"/>
    </font>
    <font>
      <b/>
      <sz val="11.0"/>
      <color rgb="FF38761D"/>
      <name val="Calibri"/>
    </font>
    <font>
      <sz val="11.0"/>
      <color theme="1"/>
      <name val="Calibri"/>
    </font>
    <font>
      <b/>
      <sz val="9.0"/>
      <color rgb="FFFFFFFF"/>
      <name val="Calibri"/>
    </font>
    <font>
      <b/>
      <sz val="11.0"/>
      <color rgb="FF7F6000"/>
      <name val="Calibri"/>
    </font>
    <font>
      <b/>
      <sz val="11.0"/>
      <color rgb="FFB45F06"/>
      <name val="Calibri"/>
    </font>
    <font>
      <b/>
      <i/>
      <sz val="9.0"/>
      <color rgb="FFC1272D"/>
      <name val="Calibri"/>
    </font>
    <font>
      <b/>
      <sz val="9.0"/>
      <color rgb="FF000000"/>
      <name val="Calibri"/>
    </font>
    <font>
      <b/>
      <i/>
      <sz val="11.0"/>
      <color rgb="FF6B7280"/>
      <name val="Calibri"/>
    </font>
    <font>
      <sz val="9.0"/>
      <color rgb="FF6B7280"/>
      <name val="Calibri"/>
    </font>
    <font>
      <sz val="9.0"/>
      <color rgb="FF595959"/>
      <name val="Calibri"/>
    </font>
    <font>
      <b/>
      <sz val="11.0"/>
      <color theme="1"/>
      <name val="Calibri"/>
    </font>
    <font>
      <i/>
      <sz val="9.0"/>
      <color rgb="FF595959"/>
      <name val="Calibri"/>
    </font>
    <font>
      <sz val="10.0"/>
      <color theme="1"/>
      <name val="Consolas"/>
    </font>
    <font>
      <b/>
      <sz val="9.0"/>
      <color rgb="FFC1272D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1272D"/>
        <bgColor rgb="FFC1272D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6">
    <border/>
    <border>
      <left/>
      <top/>
      <bottom/>
    </border>
    <border>
      <right/>
      <top/>
      <bottom/>
    </border>
    <border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9" xfId="0" applyAlignment="1" applyFont="1" applyNumberFormat="1">
      <alignment horizontal="left" shrinkToFit="0" vertical="top" wrapText="1"/>
    </xf>
    <xf borderId="1" fillId="2" fontId="6" numFmtId="0" xfId="0" applyAlignment="1" applyBorder="1" applyFill="1" applyFont="1">
      <alignment horizontal="left" shrinkToFit="0" vertical="center" wrapText="1"/>
    </xf>
    <xf borderId="1" fillId="2" fontId="7" numFmtId="0" xfId="0" applyAlignment="1" applyBorder="1" applyFill="1" applyFont="1">
      <alignment horizontal="left" shrinkToFit="0" vertical="center" wrapText="1"/>
    </xf>
    <xf borderId="3" fillId="0" fontId="2" numFmtId="0" xfId="0" applyBorder="1" applyFont="1"/>
    <xf borderId="1" fillId="3" fontId="6" numFmtId="0" xfId="0" applyAlignment="1" applyBorder="1" applyFill="1" applyFont="1">
      <alignment horizontal="left" shrinkToFit="0" vertical="center" wrapText="1"/>
    </xf>
    <xf borderId="0" fillId="4" fontId="8" numFmtId="0" xfId="0" applyAlignment="1" applyFill="1" applyFont="1">
      <alignment readingOrder="0"/>
    </xf>
    <xf borderId="0" fillId="4" fontId="9" numFmtId="0" xfId="0" applyFill="1" applyFont="1"/>
    <xf borderId="4" fillId="5" fontId="10" numFmtId="0" xfId="0" applyAlignment="1" applyBorder="1" applyFill="1" applyFont="1">
      <alignment shrinkToFit="0" vertical="center" wrapText="1"/>
    </xf>
    <xf borderId="1" fillId="6" fontId="11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shrinkToFit="0" vertical="center" wrapText="1"/>
    </xf>
    <xf borderId="4" fillId="5" fontId="12" numFmtId="0" xfId="0" applyAlignment="1" applyBorder="1" applyFill="1" applyFont="1">
      <alignment shrinkToFit="0" vertical="center" wrapText="1"/>
    </xf>
    <xf borderId="4" fillId="5" fontId="13" numFmtId="0" xfId="0" applyAlignment="1" applyBorder="1" applyFill="1" applyFont="1">
      <alignment shrinkToFit="0" vertical="center" wrapText="1"/>
    </xf>
    <xf borderId="4" fillId="0" fontId="14" numFmtId="0" xfId="0" applyAlignment="1" applyBorder="1" applyFont="1">
      <alignment horizontal="center" vertical="center"/>
    </xf>
    <xf borderId="4" fillId="0" fontId="5" numFmtId="0" xfId="0" applyAlignment="1" applyBorder="1" applyFont="1">
      <alignment shrinkToFit="0" vertical="center" wrapText="1"/>
    </xf>
    <xf borderId="4" fillId="0" fontId="15" numFmtId="0" xfId="0" applyBorder="1" applyFont="1"/>
    <xf borderId="5" fillId="3" fontId="16" numFmtId="0" xfId="0" applyAlignment="1" applyBorder="1" applyFill="1" applyFont="1">
      <alignment horizontal="left" shrinkToFit="0" vertical="center" wrapText="1"/>
    </xf>
    <xf borderId="4" fillId="0" fontId="17" numFmtId="0" xfId="0" applyAlignment="1" applyBorder="1" applyFont="1">
      <alignment horizontal="center" vertical="center"/>
    </xf>
    <xf borderId="4" fillId="0" fontId="18" numFmtId="0" xfId="0" applyAlignment="1" applyBorder="1" applyFont="1">
      <alignment horizontal="center" vertical="center"/>
    </xf>
    <xf borderId="5" fillId="3" fontId="16" numFmtId="0" xfId="0" applyAlignment="1" applyBorder="1" applyFill="1" applyFont="1">
      <alignment horizontal="left" readingOrder="0" shrinkToFit="0" vertical="center" wrapText="1"/>
    </xf>
    <xf borderId="4" fillId="0" fontId="10" numFmtId="0" xfId="0" applyAlignment="1" applyBorder="1" applyFont="1">
      <alignment horizontal="center" vertical="center"/>
    </xf>
    <xf borderId="5" fillId="3" fontId="16" numFmtId="0" xfId="0" applyAlignment="1" applyBorder="1" applyFill="1" applyFont="1">
      <alignment horizontal="center" vertical="center"/>
    </xf>
    <xf borderId="5" fillId="6" fontId="19" numFmtId="0" xfId="0" applyAlignment="1" applyBorder="1" applyFill="1" applyFont="1">
      <alignment shrinkToFit="0" vertical="center" wrapText="1"/>
    </xf>
    <xf borderId="5" fillId="5" fontId="20" numFmtId="0" xfId="0" applyAlignment="1" applyBorder="1" applyFill="1" applyFont="1">
      <alignment horizontal="left" shrinkToFit="0" vertical="center" wrapText="1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21" numFmtId="0" xfId="0" applyFont="1"/>
    <xf borderId="0" fillId="0" fontId="15" numFmtId="0" xfId="0" applyAlignment="1" applyFont="1">
      <alignment horizontal="center"/>
    </xf>
    <xf borderId="0" fillId="0" fontId="10" numFmtId="2" xfId="0" applyFont="1" applyNumberFormat="1"/>
    <xf borderId="0" fillId="0" fontId="22" numFmtId="164" xfId="0" applyFont="1" applyNumberFormat="1"/>
    <xf borderId="0" fillId="0" fontId="15" numFmtId="0" xfId="0" applyAlignment="1" applyFont="1">
      <alignment shrinkToFit="0" vertical="center" wrapText="1"/>
    </xf>
    <xf borderId="1" fillId="7" fontId="11" numFmtId="0" xfId="0" applyAlignment="1" applyBorder="1" applyFill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8" fontId="9" numFmtId="0" xfId="0" applyAlignment="1" applyFill="1" applyFont="1">
      <alignment readingOrder="0"/>
    </xf>
    <xf borderId="0" fillId="0" fontId="10" numFmtId="2" xfId="0" applyAlignment="1" applyFont="1" applyNumberFormat="1">
      <alignment horizontal="center"/>
    </xf>
    <xf borderId="0" fillId="0" fontId="15" numFmtId="14" xfId="0" applyAlignment="1" applyFont="1" applyNumberFormat="1">
      <alignment horizontal="center"/>
    </xf>
    <xf borderId="0" fillId="0" fontId="15" numFmtId="0" xfId="0" applyAlignment="1" applyFont="1">
      <alignment horizontal="center" readingOrder="0"/>
    </xf>
    <xf borderId="0" fillId="4" fontId="9" numFmtId="0" xfId="0" applyAlignment="1" applyFill="1" applyFont="1">
      <alignment readingOrder="0"/>
    </xf>
    <xf borderId="4" fillId="0" fontId="12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readingOrder="0"/>
    </xf>
    <xf borderId="0" fillId="0" fontId="15" numFmtId="0" xfId="0" applyAlignment="1" applyFont="1">
      <alignment readingOrder="0" shrinkToFit="0" vertical="top" wrapText="1"/>
    </xf>
    <xf borderId="0" fillId="9" fontId="9" numFmtId="0" xfId="0" applyAlignment="1" applyFill="1" applyFont="1">
      <alignment readingOrder="0"/>
    </xf>
    <xf borderId="0" fillId="10" fontId="9" numFmtId="0" xfId="0" applyAlignment="1" applyFill="1" applyFont="1">
      <alignment readingOrder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4" fillId="0" fontId="15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23" numFmtId="0" xfId="0" applyAlignment="1" applyBorder="1" applyFont="1">
      <alignment shrinkToFit="0" vertical="center" wrapText="1"/>
    </xf>
    <xf borderId="4" fillId="0" fontId="24" numFmtId="0" xfId="0" applyAlignment="1" applyBorder="1" applyFont="1">
      <alignment shrinkToFit="0" vertical="center" wrapText="1"/>
    </xf>
    <xf borderId="4" fillId="0" fontId="2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26" numFmtId="0" xfId="0" applyAlignment="1" applyFont="1">
      <alignment shrinkToFit="0" vertical="center" wrapText="1"/>
    </xf>
    <xf borderId="0" fillId="0" fontId="15" numFmtId="0" xfId="0" applyAlignment="1" applyFont="1">
      <alignment shrinkToFit="0" vertical="top" wrapText="1"/>
    </xf>
    <xf borderId="0" fillId="0" fontId="27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  <color rgb="FFC1272D"/>
      </font>
      <fill>
        <patternFill patternType="solid">
          <fgColor rgb="FFF4CCCC"/>
          <bgColor rgb="FFF4CCCC"/>
        </patternFill>
      </fill>
      <border/>
    </dxf>
    <dxf>
      <font>
        <b/>
        <color rgb="FFB45F06"/>
      </font>
      <fill>
        <patternFill patternType="solid">
          <fgColor rgb="FFFFF2CC"/>
          <bgColor rgb="FFFFF2C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148.0"/>
    <col customWidth="1" min="4" max="26" width="8.71"/>
  </cols>
  <sheetData>
    <row r="1" ht="14.25" customHeight="1"/>
    <row r="2" ht="30.0" customHeight="1">
      <c r="B2" s="1" t="s">
        <v>0</v>
      </c>
      <c r="C2" s="2"/>
    </row>
    <row r="3" ht="14.25" customHeight="1"/>
    <row r="4" ht="21.75" customHeight="1">
      <c r="B4" s="3" t="s">
        <v>1</v>
      </c>
      <c r="C4" s="2"/>
    </row>
    <row r="5" ht="39.0" customHeight="1">
      <c r="B5" s="4" t="s">
        <v>2</v>
      </c>
      <c r="C5" s="5" t="s">
        <v>3</v>
      </c>
    </row>
    <row r="6" ht="25.5" customHeight="1">
      <c r="B6" s="4" t="s">
        <v>4</v>
      </c>
      <c r="C6" s="5" t="s">
        <v>5</v>
      </c>
    </row>
    <row r="7" ht="25.5" customHeight="1">
      <c r="B7" s="4" t="s">
        <v>6</v>
      </c>
      <c r="C7" s="5" t="s">
        <v>7</v>
      </c>
    </row>
    <row r="8" ht="15.0" customHeight="1">
      <c r="B8" s="4" t="s">
        <v>8</v>
      </c>
      <c r="C8" s="5" t="s">
        <v>9</v>
      </c>
    </row>
    <row r="9" ht="64.5" customHeight="1">
      <c r="B9" s="4" t="s">
        <v>10</v>
      </c>
      <c r="C9" s="6">
        <v>0.1</v>
      </c>
    </row>
    <row r="10" ht="39.0" customHeight="1">
      <c r="B10" s="4" t="s">
        <v>11</v>
      </c>
      <c r="C10" s="5" t="s">
        <v>12</v>
      </c>
    </row>
    <row r="11" ht="14.25" customHeight="1"/>
    <row r="12" ht="21.75" customHeight="1">
      <c r="B12" s="3" t="s">
        <v>13</v>
      </c>
      <c r="C12" s="2"/>
    </row>
    <row r="13" ht="64.5" customHeight="1">
      <c r="B13" s="4" t="s">
        <v>14</v>
      </c>
      <c r="C13" s="5" t="s">
        <v>15</v>
      </c>
    </row>
    <row r="14" ht="39.0" customHeight="1">
      <c r="B14" s="4" t="s">
        <v>16</v>
      </c>
      <c r="C14" s="5" t="s">
        <v>17</v>
      </c>
    </row>
    <row r="15" ht="39.0" customHeight="1">
      <c r="B15" s="4" t="s">
        <v>18</v>
      </c>
      <c r="C15" s="5" t="s">
        <v>19</v>
      </c>
    </row>
    <row r="16" ht="39.0" customHeight="1">
      <c r="B16" s="4" t="s">
        <v>20</v>
      </c>
      <c r="C16" s="5" t="s">
        <v>21</v>
      </c>
    </row>
    <row r="17" ht="25.5" customHeight="1">
      <c r="B17" s="4" t="s">
        <v>22</v>
      </c>
      <c r="C17" s="5" t="s">
        <v>23</v>
      </c>
    </row>
    <row r="18" ht="14.25" customHeight="1"/>
    <row r="19" ht="21.75" customHeight="1">
      <c r="B19" s="3" t="s">
        <v>24</v>
      </c>
      <c r="C19" s="2"/>
    </row>
    <row r="20" ht="25.5" customHeight="1">
      <c r="B20" s="4" t="s">
        <v>25</v>
      </c>
      <c r="C20" s="5" t="s">
        <v>26</v>
      </c>
    </row>
    <row r="21" ht="51.75" customHeight="1">
      <c r="B21" s="4" t="s">
        <v>27</v>
      </c>
      <c r="C21" s="5" t="s">
        <v>28</v>
      </c>
    </row>
    <row r="22" ht="39.0" customHeight="1">
      <c r="B22" s="4" t="s">
        <v>29</v>
      </c>
      <c r="C22" s="5" t="s">
        <v>30</v>
      </c>
    </row>
    <row r="23" ht="39.0" customHeight="1">
      <c r="B23" s="4" t="s">
        <v>31</v>
      </c>
      <c r="C23" s="5" t="s">
        <v>32</v>
      </c>
    </row>
    <row r="24" ht="14.25" customHeight="1"/>
    <row r="25" ht="21.75" customHeight="1">
      <c r="B25" s="3" t="s">
        <v>33</v>
      </c>
      <c r="C25" s="2"/>
    </row>
    <row r="26" ht="25.5" customHeight="1">
      <c r="B26" s="4" t="s">
        <v>34</v>
      </c>
      <c r="C26" s="5" t="s">
        <v>35</v>
      </c>
    </row>
    <row r="27" ht="39.0" customHeight="1">
      <c r="B27" s="4" t="s">
        <v>37</v>
      </c>
      <c r="C27" s="5" t="s">
        <v>39</v>
      </c>
    </row>
    <row r="28" ht="25.5" customHeight="1">
      <c r="B28" s="4" t="s">
        <v>40</v>
      </c>
      <c r="C28" s="5" t="s">
        <v>41</v>
      </c>
    </row>
    <row r="29" ht="51.75" customHeight="1">
      <c r="B29" s="4" t="s">
        <v>42</v>
      </c>
      <c r="C29" s="5" t="s">
        <v>44</v>
      </c>
    </row>
    <row r="30" ht="51.75" customHeight="1">
      <c r="B30" s="4" t="s">
        <v>45</v>
      </c>
      <c r="C30" s="5" t="s">
        <v>46</v>
      </c>
    </row>
    <row r="31" ht="25.5" customHeight="1">
      <c r="B31" s="4" t="s">
        <v>47</v>
      </c>
      <c r="C31" s="5" t="s">
        <v>48</v>
      </c>
    </row>
    <row r="32" ht="14.25" customHeight="1"/>
    <row r="33" ht="21.75" customHeight="1">
      <c r="B33" s="3" t="s">
        <v>50</v>
      </c>
      <c r="C33" s="2"/>
    </row>
    <row r="34" ht="25.5" customHeight="1">
      <c r="B34" s="4" t="s">
        <v>52</v>
      </c>
      <c r="C34" s="5" t="s">
        <v>53</v>
      </c>
    </row>
    <row r="35" ht="39.0" customHeight="1">
      <c r="B35" s="4" t="s">
        <v>55</v>
      </c>
      <c r="C35" s="5" t="s">
        <v>56</v>
      </c>
    </row>
    <row r="36" ht="25.5" customHeight="1">
      <c r="B36" s="4" t="s">
        <v>58</v>
      </c>
      <c r="C36" s="5" t="s">
        <v>59</v>
      </c>
    </row>
    <row r="37" ht="39.0" customHeight="1">
      <c r="B37" s="4" t="s">
        <v>61</v>
      </c>
      <c r="C37" s="5" t="s">
        <v>62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B2:C2"/>
    <mergeCell ref="B4:C4"/>
    <mergeCell ref="B12:C12"/>
    <mergeCell ref="B19:C19"/>
    <mergeCell ref="B25:C25"/>
    <mergeCell ref="B33:C3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0"/>
    <col customWidth="1" min="2" max="2" width="7.0"/>
    <col customWidth="1" min="3" max="3" width="9.0"/>
    <col customWidth="1" min="4" max="4" width="86.0"/>
    <col customWidth="1" min="5" max="5" width="44.0"/>
    <col customWidth="1" min="6" max="26" width="8.71"/>
  </cols>
  <sheetData>
    <row r="1" ht="14.25" customHeight="1"/>
    <row r="2" ht="27.75" customHeight="1">
      <c r="B2" s="8" t="s">
        <v>38</v>
      </c>
      <c r="C2" s="9"/>
      <c r="D2" s="9"/>
      <c r="E2" s="2"/>
    </row>
    <row r="3" ht="14.25" customHeight="1"/>
    <row r="4" ht="24.0" customHeight="1">
      <c r="B4" s="10" t="s">
        <v>49</v>
      </c>
      <c r="C4" s="9"/>
      <c r="D4" s="9"/>
      <c r="E4" s="2"/>
    </row>
    <row r="5" ht="27.75" customHeight="1">
      <c r="B5" s="13" t="s">
        <v>54</v>
      </c>
      <c r="C5" s="15" t="s">
        <v>60</v>
      </c>
      <c r="D5" s="16" t="s">
        <v>63</v>
      </c>
      <c r="E5" s="17"/>
    </row>
    <row r="6" ht="25.5" customHeight="1">
      <c r="C6" s="18">
        <v>3.0</v>
      </c>
      <c r="D6" s="19" t="s">
        <v>66</v>
      </c>
      <c r="E6" s="20"/>
    </row>
    <row r="7" ht="25.5" customHeight="1">
      <c r="C7" s="22">
        <v>2.0</v>
      </c>
      <c r="D7" s="19" t="s">
        <v>72</v>
      </c>
      <c r="E7" s="20"/>
    </row>
    <row r="8" ht="25.5" customHeight="1">
      <c r="C8" s="23">
        <v>1.0</v>
      </c>
      <c r="D8" s="19" t="s">
        <v>76</v>
      </c>
      <c r="E8" s="20"/>
    </row>
    <row r="9" ht="25.5" customHeight="1">
      <c r="C9" s="25">
        <v>0.0</v>
      </c>
      <c r="D9" s="19" t="s">
        <v>83</v>
      </c>
      <c r="E9" s="20"/>
    </row>
    <row r="10" ht="21.75" customHeight="1">
      <c r="D10" s="27" t="s">
        <v>86</v>
      </c>
    </row>
    <row r="11" ht="14.25" customHeight="1"/>
    <row r="12" ht="27.75" customHeight="1">
      <c r="B12" s="13" t="s">
        <v>85</v>
      </c>
      <c r="C12" s="15" t="s">
        <v>92</v>
      </c>
      <c r="D12" s="16" t="s">
        <v>95</v>
      </c>
      <c r="E12" s="17"/>
    </row>
    <row r="13" ht="25.5" customHeight="1">
      <c r="C13" s="18">
        <v>3.0</v>
      </c>
      <c r="D13" s="19" t="s">
        <v>102</v>
      </c>
      <c r="E13" s="20"/>
    </row>
    <row r="14" ht="25.5" customHeight="1">
      <c r="C14" s="22">
        <v>2.0</v>
      </c>
      <c r="D14" s="19" t="s">
        <v>109</v>
      </c>
      <c r="E14" s="20"/>
    </row>
    <row r="15" ht="25.5" customHeight="1">
      <c r="C15" s="23">
        <v>1.0</v>
      </c>
      <c r="D15" s="19" t="s">
        <v>112</v>
      </c>
      <c r="E15" s="20"/>
    </row>
    <row r="16" ht="25.5" customHeight="1">
      <c r="C16" s="25">
        <v>0.0</v>
      </c>
      <c r="D16" s="19" t="s">
        <v>116</v>
      </c>
      <c r="E16" s="20"/>
    </row>
    <row r="17" ht="21.75" customHeight="1">
      <c r="D17" s="27" t="s">
        <v>120</v>
      </c>
    </row>
    <row r="18" ht="14.25" customHeight="1"/>
    <row r="19" ht="27.75" customHeight="1">
      <c r="B19" s="13" t="s">
        <v>87</v>
      </c>
      <c r="C19" s="15" t="s">
        <v>125</v>
      </c>
      <c r="D19" s="16" t="s">
        <v>127</v>
      </c>
      <c r="E19" s="17"/>
    </row>
    <row r="20" ht="25.5" customHeight="1">
      <c r="C20" s="18">
        <v>3.0</v>
      </c>
      <c r="D20" s="19" t="s">
        <v>131</v>
      </c>
      <c r="E20" s="20"/>
    </row>
    <row r="21" ht="25.5" customHeight="1">
      <c r="C21" s="22">
        <v>2.0</v>
      </c>
      <c r="D21" s="19" t="s">
        <v>132</v>
      </c>
      <c r="E21" s="20"/>
    </row>
    <row r="22" ht="25.5" customHeight="1">
      <c r="C22" s="23">
        <v>1.0</v>
      </c>
      <c r="D22" s="19" t="s">
        <v>133</v>
      </c>
      <c r="E22" s="20"/>
    </row>
    <row r="23" ht="25.5" customHeight="1">
      <c r="C23" s="25">
        <v>0.0</v>
      </c>
      <c r="D23" s="19" t="s">
        <v>134</v>
      </c>
      <c r="E23" s="20"/>
    </row>
    <row r="24" ht="21.75" customHeight="1">
      <c r="D24" s="27" t="s">
        <v>135</v>
      </c>
    </row>
    <row r="25" ht="14.25" customHeight="1"/>
    <row r="26" ht="27.75" customHeight="1">
      <c r="B26" s="13" t="s">
        <v>88</v>
      </c>
      <c r="C26" s="15" t="s">
        <v>136</v>
      </c>
      <c r="D26" s="16" t="s">
        <v>137</v>
      </c>
      <c r="E26" s="17"/>
    </row>
    <row r="27" ht="25.5" customHeight="1">
      <c r="C27" s="18">
        <v>3.0</v>
      </c>
      <c r="D27" s="19" t="s">
        <v>138</v>
      </c>
      <c r="E27" s="20"/>
    </row>
    <row r="28" ht="25.5" customHeight="1">
      <c r="C28" s="22">
        <v>2.0</v>
      </c>
      <c r="D28" s="19" t="s">
        <v>139</v>
      </c>
      <c r="E28" s="20"/>
    </row>
    <row r="29" ht="25.5" customHeight="1">
      <c r="C29" s="23">
        <v>1.0</v>
      </c>
      <c r="D29" s="19" t="s">
        <v>140</v>
      </c>
      <c r="E29" s="20"/>
    </row>
    <row r="30" ht="25.5" customHeight="1">
      <c r="C30" s="25">
        <v>0.0</v>
      </c>
      <c r="D30" s="19" t="s">
        <v>141</v>
      </c>
      <c r="E30" s="20"/>
    </row>
    <row r="31" ht="21.75" customHeight="1">
      <c r="D31" s="27" t="s">
        <v>142</v>
      </c>
    </row>
    <row r="32" ht="14.25" customHeight="1"/>
    <row r="33" ht="14.25" customHeight="1"/>
    <row r="34" ht="24.0" customHeight="1">
      <c r="B34" s="10" t="s">
        <v>143</v>
      </c>
      <c r="C34" s="9"/>
      <c r="D34" s="9"/>
      <c r="E34" s="2"/>
    </row>
    <row r="35" ht="27.75" customHeight="1">
      <c r="B35" s="13" t="s">
        <v>94</v>
      </c>
      <c r="C35" s="15" t="s">
        <v>92</v>
      </c>
      <c r="D35" s="16" t="s">
        <v>144</v>
      </c>
      <c r="E35" s="17"/>
    </row>
    <row r="36" ht="25.5" customHeight="1">
      <c r="C36" s="18">
        <v>3.0</v>
      </c>
      <c r="D36" s="19" t="s">
        <v>145</v>
      </c>
      <c r="E36" s="20"/>
    </row>
    <row r="37" ht="25.5" customHeight="1">
      <c r="C37" s="22">
        <v>2.0</v>
      </c>
      <c r="D37" s="19" t="s">
        <v>146</v>
      </c>
      <c r="E37" s="20"/>
    </row>
    <row r="38" ht="25.5" customHeight="1">
      <c r="C38" s="23">
        <v>1.0</v>
      </c>
      <c r="D38" s="19" t="s">
        <v>148</v>
      </c>
      <c r="E38" s="20"/>
    </row>
    <row r="39" ht="25.5" customHeight="1">
      <c r="C39" s="25">
        <v>0.0</v>
      </c>
      <c r="D39" s="19" t="s">
        <v>149</v>
      </c>
      <c r="E39" s="20"/>
    </row>
    <row r="40" ht="21.75" customHeight="1">
      <c r="D40" s="27" t="s">
        <v>151</v>
      </c>
    </row>
    <row r="41" ht="14.25" customHeight="1"/>
    <row r="42" ht="27.75" customHeight="1">
      <c r="B42" s="13" t="s">
        <v>97</v>
      </c>
      <c r="C42" s="15" t="s">
        <v>125</v>
      </c>
      <c r="D42" s="16" t="s">
        <v>152</v>
      </c>
      <c r="E42" s="17"/>
    </row>
    <row r="43" ht="25.5" customHeight="1">
      <c r="C43" s="18">
        <v>3.0</v>
      </c>
      <c r="D43" s="19" t="s">
        <v>153</v>
      </c>
      <c r="E43" s="20"/>
    </row>
    <row r="44" ht="25.5" customHeight="1">
      <c r="C44" s="22">
        <v>2.0</v>
      </c>
      <c r="D44" s="19" t="s">
        <v>155</v>
      </c>
      <c r="E44" s="20"/>
    </row>
    <row r="45" ht="25.5" customHeight="1">
      <c r="C45" s="23">
        <v>1.0</v>
      </c>
      <c r="D45" s="19" t="s">
        <v>160</v>
      </c>
      <c r="E45" s="20"/>
    </row>
    <row r="46" ht="25.5" customHeight="1">
      <c r="C46" s="25">
        <v>0.0</v>
      </c>
      <c r="D46" s="19" t="s">
        <v>164</v>
      </c>
      <c r="E46" s="20"/>
    </row>
    <row r="47" ht="21.75" customHeight="1">
      <c r="D47" s="27" t="s">
        <v>169</v>
      </c>
    </row>
    <row r="48" ht="14.25" customHeight="1"/>
    <row r="49" ht="27.75" customHeight="1">
      <c r="B49" s="13" t="s">
        <v>99</v>
      </c>
      <c r="C49" s="15" t="s">
        <v>136</v>
      </c>
      <c r="D49" s="16" t="s">
        <v>174</v>
      </c>
      <c r="E49" s="17"/>
    </row>
    <row r="50" ht="25.5" customHeight="1">
      <c r="C50" s="18">
        <v>3.0</v>
      </c>
      <c r="D50" s="19" t="s">
        <v>175</v>
      </c>
      <c r="E50" s="20"/>
    </row>
    <row r="51" ht="25.5" customHeight="1">
      <c r="C51" s="22">
        <v>2.0</v>
      </c>
      <c r="D51" s="19" t="s">
        <v>176</v>
      </c>
      <c r="E51" s="20"/>
    </row>
    <row r="52" ht="25.5" customHeight="1">
      <c r="C52" s="23">
        <v>1.0</v>
      </c>
      <c r="D52" s="19" t="s">
        <v>177</v>
      </c>
      <c r="E52" s="20"/>
    </row>
    <row r="53" ht="25.5" customHeight="1">
      <c r="C53" s="25">
        <v>0.0</v>
      </c>
      <c r="D53" s="19" t="s">
        <v>178</v>
      </c>
      <c r="E53" s="20"/>
    </row>
    <row r="54" ht="21.75" customHeight="1">
      <c r="D54" s="27" t="s">
        <v>179</v>
      </c>
    </row>
    <row r="55" ht="14.25" customHeight="1"/>
    <row r="56" ht="27.75" customHeight="1">
      <c r="B56" s="13" t="s">
        <v>101</v>
      </c>
      <c r="C56" s="15" t="s">
        <v>136</v>
      </c>
      <c r="D56" s="16" t="s">
        <v>181</v>
      </c>
      <c r="E56" s="17"/>
    </row>
    <row r="57" ht="25.5" customHeight="1">
      <c r="C57" s="18">
        <v>3.0</v>
      </c>
      <c r="D57" s="19" t="s">
        <v>182</v>
      </c>
      <c r="E57" s="20"/>
    </row>
    <row r="58" ht="25.5" customHeight="1">
      <c r="C58" s="22">
        <v>2.0</v>
      </c>
      <c r="D58" s="19" t="s">
        <v>183</v>
      </c>
      <c r="E58" s="20"/>
    </row>
    <row r="59" ht="25.5" customHeight="1">
      <c r="C59" s="23">
        <v>1.0</v>
      </c>
      <c r="D59" s="19" t="s">
        <v>184</v>
      </c>
      <c r="E59" s="20"/>
    </row>
    <row r="60" ht="25.5" customHeight="1">
      <c r="C60" s="25">
        <v>0.0</v>
      </c>
      <c r="D60" s="19" t="s">
        <v>187</v>
      </c>
      <c r="E60" s="20"/>
    </row>
    <row r="61" ht="21.75" customHeight="1">
      <c r="D61" s="27" t="s">
        <v>188</v>
      </c>
    </row>
    <row r="62" ht="14.25" customHeight="1"/>
    <row r="63" ht="14.25" customHeight="1"/>
    <row r="64" ht="24.0" customHeight="1">
      <c r="B64" s="10" t="s">
        <v>189</v>
      </c>
      <c r="C64" s="9"/>
      <c r="D64" s="9"/>
      <c r="E64" s="2"/>
    </row>
    <row r="65" ht="61.5" customHeight="1">
      <c r="B65" s="36" t="s">
        <v>191</v>
      </c>
      <c r="C65" s="9"/>
      <c r="D65" s="9"/>
      <c r="E65" s="2"/>
    </row>
    <row r="66" ht="27.75" customHeight="1">
      <c r="B66" s="13" t="s">
        <v>105</v>
      </c>
      <c r="C66" s="15" t="s">
        <v>192</v>
      </c>
      <c r="D66" s="16" t="s">
        <v>193</v>
      </c>
      <c r="E66" s="17" t="s">
        <v>194</v>
      </c>
    </row>
    <row r="67" ht="25.5" customHeight="1">
      <c r="C67" s="18">
        <v>3.0</v>
      </c>
      <c r="D67" s="19" t="s">
        <v>195</v>
      </c>
      <c r="E67" s="20"/>
    </row>
    <row r="68" ht="25.5" customHeight="1">
      <c r="C68" s="22">
        <v>2.0</v>
      </c>
      <c r="D68" s="19" t="s">
        <v>196</v>
      </c>
      <c r="E68" s="20"/>
    </row>
    <row r="69" ht="25.5" customHeight="1">
      <c r="C69" s="23">
        <v>1.0</v>
      </c>
      <c r="D69" s="19" t="s">
        <v>199</v>
      </c>
      <c r="E69" s="20"/>
    </row>
    <row r="70" ht="25.5" customHeight="1">
      <c r="C70" s="25">
        <v>0.0</v>
      </c>
      <c r="D70" s="19" t="s">
        <v>202</v>
      </c>
      <c r="E70" s="20"/>
    </row>
    <row r="71" ht="21.75" customHeight="1">
      <c r="D71" s="27" t="s">
        <v>203</v>
      </c>
    </row>
    <row r="72" ht="14.25" customHeight="1"/>
    <row r="73" ht="27.75" customHeight="1">
      <c r="B73" s="13" t="s">
        <v>107</v>
      </c>
      <c r="C73" s="15" t="s">
        <v>192</v>
      </c>
      <c r="D73" s="16" t="s">
        <v>204</v>
      </c>
      <c r="E73" s="17" t="s">
        <v>205</v>
      </c>
    </row>
    <row r="74" ht="25.5" customHeight="1">
      <c r="C74" s="18">
        <v>3.0</v>
      </c>
      <c r="D74" s="19" t="s">
        <v>195</v>
      </c>
      <c r="E74" s="20"/>
    </row>
    <row r="75" ht="25.5" customHeight="1">
      <c r="C75" s="22">
        <v>2.0</v>
      </c>
      <c r="D75" s="19" t="s">
        <v>196</v>
      </c>
      <c r="E75" s="20"/>
    </row>
    <row r="76" ht="25.5" customHeight="1">
      <c r="C76" s="23">
        <v>1.0</v>
      </c>
      <c r="D76" s="19" t="s">
        <v>199</v>
      </c>
      <c r="E76" s="20"/>
    </row>
    <row r="77" ht="25.5" customHeight="1">
      <c r="C77" s="25">
        <v>0.0</v>
      </c>
      <c r="D77" s="19" t="s">
        <v>202</v>
      </c>
      <c r="E77" s="20"/>
    </row>
    <row r="78" ht="21.75" customHeight="1">
      <c r="D78" s="27" t="s">
        <v>209</v>
      </c>
    </row>
    <row r="79" ht="14.25" customHeight="1"/>
    <row r="80" ht="27.75" customHeight="1">
      <c r="B80" s="13" t="s">
        <v>110</v>
      </c>
      <c r="C80" s="15" t="s">
        <v>210</v>
      </c>
      <c r="D80" s="16" t="s">
        <v>211</v>
      </c>
      <c r="E80" s="17" t="s">
        <v>212</v>
      </c>
    </row>
    <row r="81" ht="25.5" customHeight="1">
      <c r="C81" s="18">
        <v>3.0</v>
      </c>
      <c r="D81" s="19" t="s">
        <v>213</v>
      </c>
      <c r="E81" s="20"/>
    </row>
    <row r="82" ht="25.5" customHeight="1">
      <c r="C82" s="22">
        <v>2.0</v>
      </c>
      <c r="D82" s="19" t="s">
        <v>214</v>
      </c>
      <c r="E82" s="20"/>
    </row>
    <row r="83" ht="25.5" customHeight="1">
      <c r="C83" s="23">
        <v>1.0</v>
      </c>
      <c r="D83" s="19" t="s">
        <v>215</v>
      </c>
      <c r="E83" s="20"/>
    </row>
    <row r="84" ht="25.5" customHeight="1">
      <c r="C84" s="25">
        <v>0.0</v>
      </c>
      <c r="D84" s="19" t="s">
        <v>218</v>
      </c>
      <c r="E84" s="20"/>
    </row>
    <row r="85" ht="21.75" customHeight="1">
      <c r="D85" s="27" t="s">
        <v>220</v>
      </c>
    </row>
    <row r="86" ht="14.25" customHeight="1"/>
    <row r="87" ht="27.75" customHeight="1">
      <c r="B87" s="13" t="s">
        <v>111</v>
      </c>
      <c r="C87" s="15" t="s">
        <v>221</v>
      </c>
      <c r="D87" s="16" t="s">
        <v>222</v>
      </c>
      <c r="E87" s="17" t="s">
        <v>223</v>
      </c>
    </row>
    <row r="88" ht="25.5" customHeight="1">
      <c r="C88" s="18">
        <v>3.0</v>
      </c>
      <c r="D88" s="19" t="s">
        <v>224</v>
      </c>
      <c r="E88" s="20"/>
    </row>
    <row r="89" ht="25.5" customHeight="1">
      <c r="C89" s="22">
        <v>2.0</v>
      </c>
      <c r="D89" s="19" t="s">
        <v>225</v>
      </c>
      <c r="E89" s="20"/>
    </row>
    <row r="90" ht="25.5" customHeight="1">
      <c r="C90" s="23">
        <v>1.0</v>
      </c>
      <c r="D90" s="19" t="s">
        <v>226</v>
      </c>
      <c r="E90" s="20"/>
    </row>
    <row r="91" ht="25.5" customHeight="1">
      <c r="C91" s="25">
        <v>0.0</v>
      </c>
      <c r="D91" s="19" t="s">
        <v>227</v>
      </c>
      <c r="E91" s="20"/>
    </row>
    <row r="92" ht="21.75" customHeight="1">
      <c r="D92" s="27" t="s">
        <v>231</v>
      </c>
    </row>
    <row r="93" ht="14.25" customHeight="1"/>
    <row r="94" ht="27.75" customHeight="1">
      <c r="B94" s="13" t="s">
        <v>113</v>
      </c>
      <c r="C94" s="15" t="s">
        <v>221</v>
      </c>
      <c r="D94" s="16" t="s">
        <v>232</v>
      </c>
      <c r="E94" s="17" t="s">
        <v>233</v>
      </c>
    </row>
    <row r="95" ht="25.5" customHeight="1">
      <c r="C95" s="18">
        <v>3.0</v>
      </c>
      <c r="D95" s="19" t="s">
        <v>234</v>
      </c>
      <c r="E95" s="20"/>
    </row>
    <row r="96" ht="25.5" customHeight="1">
      <c r="C96" s="22">
        <v>2.0</v>
      </c>
      <c r="D96" s="19" t="s">
        <v>235</v>
      </c>
      <c r="E96" s="20"/>
    </row>
    <row r="97" ht="25.5" customHeight="1">
      <c r="C97" s="23">
        <v>1.0</v>
      </c>
      <c r="D97" s="19" t="s">
        <v>236</v>
      </c>
      <c r="E97" s="20"/>
    </row>
    <row r="98" ht="25.5" customHeight="1">
      <c r="C98" s="25">
        <v>0.0</v>
      </c>
      <c r="D98" s="19" t="s">
        <v>218</v>
      </c>
      <c r="E98" s="20"/>
    </row>
    <row r="99" ht="21.75" customHeight="1">
      <c r="D99" s="27" t="s">
        <v>237</v>
      </c>
    </row>
    <row r="100" ht="14.25" customHeight="1"/>
    <row r="101" ht="27.75" customHeight="1">
      <c r="B101" s="13" t="s">
        <v>114</v>
      </c>
      <c r="C101" s="15" t="s">
        <v>221</v>
      </c>
      <c r="D101" s="16" t="s">
        <v>241</v>
      </c>
      <c r="E101" s="17" t="s">
        <v>242</v>
      </c>
    </row>
    <row r="102" ht="25.5" customHeight="1">
      <c r="C102" s="18">
        <v>3.0</v>
      </c>
      <c r="D102" s="19" t="s">
        <v>243</v>
      </c>
      <c r="E102" s="20"/>
    </row>
    <row r="103" ht="25.5" customHeight="1">
      <c r="C103" s="22">
        <v>2.0</v>
      </c>
      <c r="D103" s="19" t="s">
        <v>244</v>
      </c>
      <c r="E103" s="20"/>
    </row>
    <row r="104" ht="25.5" customHeight="1">
      <c r="C104" s="23">
        <v>1.0</v>
      </c>
      <c r="D104" s="19" t="s">
        <v>245</v>
      </c>
      <c r="E104" s="20"/>
    </row>
    <row r="105" ht="25.5" customHeight="1">
      <c r="C105" s="25">
        <v>0.0</v>
      </c>
      <c r="D105" s="19" t="s">
        <v>246</v>
      </c>
      <c r="E105" s="20"/>
    </row>
    <row r="106" ht="21.75" customHeight="1">
      <c r="D106" s="27" t="s">
        <v>247</v>
      </c>
    </row>
    <row r="107" ht="14.25" customHeight="1"/>
    <row r="108" ht="14.25" customHeight="1"/>
    <row r="109" ht="24.0" customHeight="1">
      <c r="B109" s="10" t="s">
        <v>248</v>
      </c>
      <c r="C109" s="9"/>
      <c r="D109" s="9"/>
      <c r="E109" s="2"/>
    </row>
    <row r="110" ht="27.75" customHeight="1">
      <c r="B110" s="13" t="s">
        <v>117</v>
      </c>
      <c r="C110" s="15" t="s">
        <v>221</v>
      </c>
      <c r="D110" s="16" t="s">
        <v>253</v>
      </c>
      <c r="E110" s="17" t="s">
        <v>254</v>
      </c>
    </row>
    <row r="111" ht="14.25" customHeight="1">
      <c r="C111" s="43" t="s">
        <v>255</v>
      </c>
      <c r="D111" s="19" t="s">
        <v>256</v>
      </c>
      <c r="E111" s="44"/>
    </row>
    <row r="112" ht="21.75" customHeight="1">
      <c r="D112" s="27" t="s">
        <v>257</v>
      </c>
    </row>
    <row r="113" ht="14.25" customHeight="1"/>
    <row r="114" ht="27.75" customHeight="1">
      <c r="B114" s="13" t="s">
        <v>118</v>
      </c>
      <c r="C114" s="15" t="s">
        <v>258</v>
      </c>
      <c r="D114" s="16" t="s">
        <v>259</v>
      </c>
      <c r="E114" s="17" t="s">
        <v>260</v>
      </c>
    </row>
    <row r="115" ht="14.25" customHeight="1">
      <c r="C115" s="43" t="s">
        <v>255</v>
      </c>
      <c r="D115" s="19" t="s">
        <v>256</v>
      </c>
      <c r="E115" s="44"/>
    </row>
    <row r="116" ht="21.75" customHeight="1">
      <c r="D116" s="27" t="s">
        <v>263</v>
      </c>
    </row>
    <row r="117" ht="14.25" customHeight="1"/>
    <row r="118" ht="27.75" customHeight="1">
      <c r="B118" s="13" t="s">
        <v>119</v>
      </c>
      <c r="C118" s="15" t="s">
        <v>258</v>
      </c>
      <c r="D118" s="16" t="s">
        <v>266</v>
      </c>
      <c r="E118" s="17" t="s">
        <v>267</v>
      </c>
    </row>
    <row r="119" ht="14.25" customHeight="1">
      <c r="C119" s="43" t="s">
        <v>255</v>
      </c>
      <c r="D119" s="19" t="s">
        <v>256</v>
      </c>
      <c r="E119" s="44"/>
    </row>
    <row r="120" ht="21.75" customHeight="1">
      <c r="D120" s="27" t="s">
        <v>263</v>
      </c>
    </row>
    <row r="121" ht="14.25" customHeight="1"/>
    <row r="122" ht="27.75" customHeight="1">
      <c r="B122" s="13" t="s">
        <v>121</v>
      </c>
      <c r="C122" s="15" t="s">
        <v>221</v>
      </c>
      <c r="D122" s="16" t="s">
        <v>268</v>
      </c>
      <c r="E122" s="17" t="s">
        <v>269</v>
      </c>
    </row>
    <row r="123" ht="25.5" customHeight="1">
      <c r="C123" s="18">
        <v>3.0</v>
      </c>
      <c r="D123" s="19" t="s">
        <v>270</v>
      </c>
      <c r="E123" s="20"/>
    </row>
    <row r="124" ht="25.5" customHeight="1">
      <c r="C124" s="22">
        <v>2.0</v>
      </c>
      <c r="D124" s="19" t="s">
        <v>271</v>
      </c>
      <c r="E124" s="20"/>
    </row>
    <row r="125" ht="25.5" customHeight="1">
      <c r="C125" s="23">
        <v>1.0</v>
      </c>
      <c r="D125" s="19" t="s">
        <v>272</v>
      </c>
      <c r="E125" s="20"/>
    </row>
    <row r="126" ht="25.5" customHeight="1">
      <c r="C126" s="25">
        <v>0.0</v>
      </c>
      <c r="D126" s="19" t="s">
        <v>275</v>
      </c>
      <c r="E126" s="20"/>
    </row>
    <row r="127" ht="21.75" customHeight="1">
      <c r="D127" s="27" t="s">
        <v>278</v>
      </c>
    </row>
    <row r="128" ht="14.25" customHeight="1"/>
    <row r="129" ht="14.25" customHeight="1"/>
    <row r="130" ht="24.0" customHeight="1">
      <c r="B130" s="10" t="s">
        <v>279</v>
      </c>
      <c r="C130" s="9"/>
      <c r="D130" s="9"/>
      <c r="E130" s="2"/>
    </row>
    <row r="131" ht="27.75" customHeight="1">
      <c r="B131" s="13" t="s">
        <v>123</v>
      </c>
      <c r="C131" s="15" t="s">
        <v>136</v>
      </c>
      <c r="D131" s="16" t="s">
        <v>280</v>
      </c>
      <c r="E131" s="17" t="s">
        <v>281</v>
      </c>
    </row>
    <row r="132" ht="25.5" customHeight="1">
      <c r="C132" s="18">
        <v>3.0</v>
      </c>
      <c r="D132" s="19" t="s">
        <v>283</v>
      </c>
      <c r="E132" s="45"/>
    </row>
    <row r="133" ht="25.5" customHeight="1">
      <c r="C133" s="22">
        <v>2.0</v>
      </c>
      <c r="D133" s="19" t="s">
        <v>286</v>
      </c>
      <c r="E133" s="20"/>
    </row>
    <row r="134" ht="25.5" customHeight="1">
      <c r="C134" s="23">
        <v>1.0</v>
      </c>
      <c r="D134" s="19" t="s">
        <v>287</v>
      </c>
      <c r="E134" s="20"/>
    </row>
    <row r="135" ht="25.5" customHeight="1">
      <c r="C135" s="25">
        <v>0.0</v>
      </c>
      <c r="D135" s="19" t="s">
        <v>288</v>
      </c>
      <c r="E135" s="20"/>
    </row>
    <row r="136" ht="21.75" customHeight="1">
      <c r="D136" s="27" t="s">
        <v>292</v>
      </c>
    </row>
    <row r="137" ht="14.25" customHeight="1"/>
    <row r="138" ht="27.75" customHeight="1">
      <c r="B138" s="13" t="s">
        <v>126</v>
      </c>
      <c r="C138" s="15" t="s">
        <v>136</v>
      </c>
      <c r="D138" s="16" t="s">
        <v>293</v>
      </c>
      <c r="E138" s="17" t="s">
        <v>281</v>
      </c>
    </row>
    <row r="139" ht="25.5" customHeight="1">
      <c r="C139" s="18">
        <v>3.0</v>
      </c>
      <c r="D139" s="19" t="s">
        <v>294</v>
      </c>
      <c r="E139" s="20"/>
    </row>
    <row r="140" ht="25.5" customHeight="1">
      <c r="C140" s="22">
        <v>2.0</v>
      </c>
      <c r="D140" s="19" t="s">
        <v>295</v>
      </c>
      <c r="E140" s="20"/>
    </row>
    <row r="141" ht="25.5" customHeight="1">
      <c r="C141" s="23">
        <v>1.0</v>
      </c>
      <c r="D141" s="19" t="s">
        <v>296</v>
      </c>
      <c r="E141" s="20"/>
    </row>
    <row r="142" ht="25.5" customHeight="1">
      <c r="C142" s="25">
        <v>0.0</v>
      </c>
      <c r="D142" s="19" t="s">
        <v>300</v>
      </c>
      <c r="E142" s="20"/>
    </row>
    <row r="143" ht="21.75" customHeight="1">
      <c r="D143" s="27" t="s">
        <v>301</v>
      </c>
    </row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B2:E2"/>
    <mergeCell ref="B4:E4"/>
    <mergeCell ref="B34:E34"/>
    <mergeCell ref="B64:E64"/>
    <mergeCell ref="B65:E65"/>
    <mergeCell ref="B109:E109"/>
    <mergeCell ref="B130:E13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5.0"/>
    <col customWidth="1" min="2" max="2" width="26.0"/>
    <col customWidth="1" min="3" max="3" width="34.0"/>
    <col customWidth="1" min="4" max="4" width="16.0"/>
    <col customWidth="1" min="5" max="10" width="11.0"/>
    <col customWidth="1" min="11" max="14" width="6.0"/>
    <col customWidth="1" min="15" max="15" width="30.0"/>
    <col customWidth="1" min="16" max="19" width="6.0"/>
    <col customWidth="1" min="20" max="20" width="30.0"/>
    <col customWidth="1" min="21" max="26" width="6.0"/>
    <col customWidth="1" min="27" max="27" width="30.0"/>
    <col customWidth="1" min="28" max="33" width="6.0"/>
    <col customWidth="1" min="34" max="34" width="30.0"/>
    <col customWidth="1" min="35" max="35" width="40.0"/>
  </cols>
  <sheetData>
    <row r="1" ht="14.25" customHeight="1"/>
    <row r="2" ht="25.5" customHeight="1">
      <c r="B2" s="7" t="s">
        <v>43</v>
      </c>
      <c r="C2" s="9"/>
      <c r="D2" s="9"/>
      <c r="E2" s="9"/>
      <c r="F2" s="9"/>
      <c r="G2" s="9"/>
      <c r="H2" s="9"/>
      <c r="I2" s="9"/>
      <c r="J2" s="2"/>
    </row>
    <row r="3" ht="14.25" customHeight="1"/>
    <row r="4" ht="19.5" customHeight="1">
      <c r="B4" s="11" t="s">
        <v>51</v>
      </c>
      <c r="C4" s="12"/>
      <c r="D4" s="12"/>
      <c r="K4" s="14" t="s">
        <v>57</v>
      </c>
      <c r="L4" s="9"/>
      <c r="M4" s="9"/>
      <c r="N4" s="9"/>
      <c r="O4" s="2"/>
      <c r="P4" s="14" t="s">
        <v>64</v>
      </c>
      <c r="Q4" s="9"/>
      <c r="R4" s="9"/>
      <c r="S4" s="9"/>
      <c r="T4" s="2"/>
      <c r="U4" s="14" t="s">
        <v>65</v>
      </c>
      <c r="V4" s="9"/>
      <c r="W4" s="9"/>
      <c r="X4" s="9"/>
      <c r="Y4" s="9"/>
      <c r="Z4" s="9"/>
      <c r="AA4" s="2"/>
      <c r="AB4" s="14" t="s">
        <v>67</v>
      </c>
      <c r="AC4" s="9"/>
      <c r="AD4" s="9"/>
      <c r="AE4" s="2"/>
      <c r="AF4" s="14" t="s">
        <v>68</v>
      </c>
      <c r="AG4" s="9"/>
      <c r="AH4" s="2"/>
    </row>
    <row r="5" ht="33.75" customHeight="1">
      <c r="A5" s="21" t="s">
        <v>69</v>
      </c>
      <c r="B5" s="21" t="s">
        <v>70</v>
      </c>
      <c r="C5" s="21" t="s">
        <v>71</v>
      </c>
      <c r="D5" s="21" t="s">
        <v>73</v>
      </c>
      <c r="E5" s="21" t="s">
        <v>74</v>
      </c>
      <c r="F5" s="21" t="s">
        <v>75</v>
      </c>
      <c r="G5" s="21" t="s">
        <v>77</v>
      </c>
      <c r="H5" s="21" t="s">
        <v>78</v>
      </c>
      <c r="I5" s="21" t="s">
        <v>80</v>
      </c>
      <c r="J5" s="21" t="s">
        <v>81</v>
      </c>
      <c r="K5" s="26" t="s">
        <v>54</v>
      </c>
      <c r="L5" s="26" t="s">
        <v>85</v>
      </c>
      <c r="M5" s="26" t="s">
        <v>87</v>
      </c>
      <c r="N5" s="26" t="s">
        <v>88</v>
      </c>
      <c r="O5" s="28" t="s">
        <v>90</v>
      </c>
      <c r="P5" s="26" t="s">
        <v>94</v>
      </c>
      <c r="Q5" s="26" t="s">
        <v>97</v>
      </c>
      <c r="R5" s="26" t="s">
        <v>99</v>
      </c>
      <c r="S5" s="26" t="s">
        <v>101</v>
      </c>
      <c r="T5" s="28" t="s">
        <v>103</v>
      </c>
      <c r="U5" s="26" t="s">
        <v>105</v>
      </c>
      <c r="V5" s="26" t="s">
        <v>107</v>
      </c>
      <c r="W5" s="26" t="s">
        <v>110</v>
      </c>
      <c r="X5" s="26" t="s">
        <v>111</v>
      </c>
      <c r="Y5" s="26" t="s">
        <v>113</v>
      </c>
      <c r="Z5" s="26" t="s">
        <v>114</v>
      </c>
      <c r="AA5" s="28" t="s">
        <v>115</v>
      </c>
      <c r="AB5" s="26" t="s">
        <v>117</v>
      </c>
      <c r="AC5" s="26" t="s">
        <v>118</v>
      </c>
      <c r="AD5" s="26" t="s">
        <v>119</v>
      </c>
      <c r="AE5" s="26" t="s">
        <v>121</v>
      </c>
      <c r="AF5" s="26" t="s">
        <v>123</v>
      </c>
      <c r="AG5" s="26" t="s">
        <v>126</v>
      </c>
      <c r="AH5" s="28" t="s">
        <v>128</v>
      </c>
      <c r="AI5" s="21" t="s">
        <v>129</v>
      </c>
    </row>
    <row r="6" ht="14.25" customHeight="1">
      <c r="C6" s="31" t="s">
        <v>130</v>
      </c>
      <c r="E6" s="33">
        <f t="shared" ref="E6:E206" si="1">IF(COUNT(K6:AG6)=0,"",ROUND((F6+G6+H6+I6+J6)/10,2))</f>
        <v>10</v>
      </c>
      <c r="F6" s="34">
        <f t="shared" ref="F6:F206" si="2">IF(COUNT(K6:AG6)=0,"",(K6*10+L6*8+M6*7+N6*5)/3)</f>
        <v>30</v>
      </c>
      <c r="G6" s="34">
        <f t="shared" ref="G6:G206" si="3">IF(COUNT(K6:AG6)=0,"",(P6*8+Q6*7+R6*5+S6*5)/3)</f>
        <v>25</v>
      </c>
      <c r="H6" s="34">
        <f t="shared" ref="H6:H206" si="4">IF(COUNT(K6:AG6)=0,"",(U6*6+V6*6+W6*4+X6*3+Y6*3+Z6*3)/3)</f>
        <v>25</v>
      </c>
      <c r="I6" s="34">
        <f t="shared" ref="I6:I206" si="5">IF(COUNT(K6:AG6)=0,"",AB6*3+AC6*2+AD6*2+AE6*1)</f>
        <v>10</v>
      </c>
      <c r="J6" s="34">
        <f t="shared" ref="J6:J206" si="6">IF(COUNT(K6:AG6)=0,"",(AF6*5+AG6*5)/3)</f>
        <v>10</v>
      </c>
      <c r="K6" s="32">
        <v>3.0</v>
      </c>
      <c r="L6" s="32">
        <v>3.0</v>
      </c>
      <c r="M6" s="32">
        <v>3.0</v>
      </c>
      <c r="N6" s="32">
        <v>3.0</v>
      </c>
      <c r="O6" s="37" t="s">
        <v>154</v>
      </c>
      <c r="P6" s="32">
        <v>3.0</v>
      </c>
      <c r="Q6" s="32">
        <v>3.0</v>
      </c>
      <c r="R6" s="32">
        <v>3.0</v>
      </c>
      <c r="S6" s="32">
        <v>3.0</v>
      </c>
      <c r="T6" s="37" t="s">
        <v>159</v>
      </c>
      <c r="U6" s="32">
        <v>3.0</v>
      </c>
      <c r="V6" s="32">
        <v>3.0</v>
      </c>
      <c r="W6" s="32">
        <v>3.0</v>
      </c>
      <c r="X6" s="32">
        <v>3.0</v>
      </c>
      <c r="Y6" s="32">
        <v>3.0</v>
      </c>
      <c r="Z6" s="32">
        <v>3.0</v>
      </c>
      <c r="AA6" s="37" t="s">
        <v>163</v>
      </c>
      <c r="AB6" s="32">
        <v>1.0</v>
      </c>
      <c r="AC6" s="32">
        <v>1.0</v>
      </c>
      <c r="AD6" s="32">
        <v>1.0</v>
      </c>
      <c r="AE6" s="32">
        <v>3.0</v>
      </c>
      <c r="AF6" s="32">
        <v>3.0</v>
      </c>
      <c r="AG6" s="32">
        <v>3.0</v>
      </c>
      <c r="AH6" s="37" t="s">
        <v>167</v>
      </c>
    </row>
    <row r="7" ht="14.25" customHeight="1">
      <c r="B7" s="38" t="s">
        <v>122</v>
      </c>
      <c r="C7" s="30" t="s">
        <v>124</v>
      </c>
      <c r="D7" s="30" t="s">
        <v>172</v>
      </c>
      <c r="E7" s="33">
        <f t="shared" si="1"/>
        <v>0.67</v>
      </c>
      <c r="F7" s="34">
        <f t="shared" si="2"/>
        <v>0</v>
      </c>
      <c r="G7" s="34">
        <f t="shared" si="3"/>
        <v>0</v>
      </c>
      <c r="H7" s="34">
        <f t="shared" si="4"/>
        <v>0</v>
      </c>
      <c r="I7" s="34">
        <f t="shared" si="5"/>
        <v>0</v>
      </c>
      <c r="J7" s="34">
        <f t="shared" si="6"/>
        <v>6.666666667</v>
      </c>
      <c r="K7" s="32"/>
      <c r="L7" s="32"/>
      <c r="M7" s="32"/>
      <c r="N7" s="32"/>
      <c r="P7" s="32"/>
      <c r="Q7" s="32"/>
      <c r="R7" s="32"/>
      <c r="S7" s="32"/>
      <c r="U7" s="32"/>
      <c r="V7" s="32"/>
      <c r="W7" s="32"/>
      <c r="X7" s="32"/>
      <c r="Y7" s="32"/>
      <c r="Z7" s="32"/>
      <c r="AB7" s="32"/>
      <c r="AC7" s="32"/>
      <c r="AD7" s="32"/>
      <c r="AE7" s="32"/>
      <c r="AF7" s="41">
        <v>2.0</v>
      </c>
      <c r="AG7" s="41">
        <v>2.0</v>
      </c>
      <c r="AI7" s="30" t="s">
        <v>180</v>
      </c>
    </row>
    <row r="8" ht="14.25" customHeight="1">
      <c r="B8" s="38" t="s">
        <v>156</v>
      </c>
      <c r="C8" s="30" t="s">
        <v>157</v>
      </c>
      <c r="D8" s="30" t="s">
        <v>172</v>
      </c>
      <c r="E8" s="33">
        <f t="shared" si="1"/>
        <v>0.67</v>
      </c>
      <c r="F8" s="34">
        <f t="shared" si="2"/>
        <v>0</v>
      </c>
      <c r="G8" s="34">
        <f t="shared" si="3"/>
        <v>0</v>
      </c>
      <c r="H8" s="34">
        <f t="shared" si="4"/>
        <v>0</v>
      </c>
      <c r="I8" s="34">
        <f t="shared" si="5"/>
        <v>0</v>
      </c>
      <c r="J8" s="34">
        <f t="shared" si="6"/>
        <v>6.666666667</v>
      </c>
      <c r="K8" s="32"/>
      <c r="L8" s="32"/>
      <c r="M8" s="32"/>
      <c r="N8" s="32"/>
      <c r="P8" s="32"/>
      <c r="Q8" s="32"/>
      <c r="R8" s="32"/>
      <c r="S8" s="32"/>
      <c r="U8" s="32"/>
      <c r="V8" s="32"/>
      <c r="W8" s="32"/>
      <c r="X8" s="32"/>
      <c r="Y8" s="32"/>
      <c r="Z8" s="32"/>
      <c r="AB8" s="32"/>
      <c r="AC8" s="32"/>
      <c r="AD8" s="32"/>
      <c r="AE8" s="32"/>
      <c r="AF8" s="41">
        <v>3.0</v>
      </c>
      <c r="AG8" s="41">
        <v>1.0</v>
      </c>
      <c r="AI8" s="30" t="s">
        <v>190</v>
      </c>
    </row>
    <row r="9" ht="14.25" customHeight="1">
      <c r="B9" s="42" t="s">
        <v>185</v>
      </c>
      <c r="C9" s="30" t="s">
        <v>186</v>
      </c>
      <c r="D9" s="30" t="s">
        <v>172</v>
      </c>
      <c r="E9" s="33">
        <f t="shared" si="1"/>
        <v>0.83</v>
      </c>
      <c r="F9" s="34">
        <f t="shared" si="2"/>
        <v>0</v>
      </c>
      <c r="G9" s="34">
        <f t="shared" si="3"/>
        <v>0</v>
      </c>
      <c r="H9" s="34">
        <f t="shared" si="4"/>
        <v>0</v>
      </c>
      <c r="I9" s="34">
        <f t="shared" si="5"/>
        <v>0</v>
      </c>
      <c r="J9" s="34">
        <f t="shared" si="6"/>
        <v>8.333333333</v>
      </c>
      <c r="K9" s="32"/>
      <c r="L9" s="32"/>
      <c r="M9" s="32"/>
      <c r="N9" s="32"/>
      <c r="P9" s="32"/>
      <c r="Q9" s="32"/>
      <c r="R9" s="32"/>
      <c r="S9" s="32"/>
      <c r="U9" s="32"/>
      <c r="V9" s="32"/>
      <c r="W9" s="32"/>
      <c r="X9" s="32"/>
      <c r="Y9" s="32"/>
      <c r="Z9" s="32"/>
      <c r="AB9" s="32"/>
      <c r="AC9" s="32"/>
      <c r="AD9" s="32"/>
      <c r="AE9" s="32"/>
      <c r="AF9" s="41">
        <v>3.0</v>
      </c>
      <c r="AG9" s="41">
        <v>2.0</v>
      </c>
      <c r="AI9" s="30" t="s">
        <v>197</v>
      </c>
    </row>
    <row r="10" ht="14.25" customHeight="1">
      <c r="B10" s="38" t="s">
        <v>198</v>
      </c>
      <c r="C10" s="30" t="s">
        <v>200</v>
      </c>
      <c r="D10" s="30" t="s">
        <v>201</v>
      </c>
      <c r="E10" s="33">
        <f t="shared" si="1"/>
        <v>0.83</v>
      </c>
      <c r="F10" s="34">
        <f t="shared" si="2"/>
        <v>0</v>
      </c>
      <c r="G10" s="34">
        <f t="shared" si="3"/>
        <v>0</v>
      </c>
      <c r="H10" s="34">
        <f t="shared" si="4"/>
        <v>0</v>
      </c>
      <c r="I10" s="34">
        <f t="shared" si="5"/>
        <v>0</v>
      </c>
      <c r="J10" s="34">
        <f t="shared" si="6"/>
        <v>8.333333333</v>
      </c>
      <c r="K10" s="32"/>
      <c r="L10" s="32"/>
      <c r="M10" s="32"/>
      <c r="N10" s="32"/>
      <c r="P10" s="32"/>
      <c r="Q10" s="32"/>
      <c r="R10" s="32"/>
      <c r="S10" s="32"/>
      <c r="U10" s="32"/>
      <c r="V10" s="32"/>
      <c r="W10" s="32"/>
      <c r="X10" s="32"/>
      <c r="Y10" s="32"/>
      <c r="Z10" s="32"/>
      <c r="AB10" s="32"/>
      <c r="AC10" s="32"/>
      <c r="AD10" s="32"/>
      <c r="AE10" s="32"/>
      <c r="AF10" s="41">
        <v>3.0</v>
      </c>
      <c r="AG10" s="41">
        <v>2.0</v>
      </c>
      <c r="AI10" s="30" t="s">
        <v>206</v>
      </c>
    </row>
    <row r="11" ht="14.25" customHeight="1">
      <c r="B11" s="38" t="s">
        <v>207</v>
      </c>
      <c r="C11" s="30" t="s">
        <v>208</v>
      </c>
      <c r="D11" s="30" t="s">
        <v>172</v>
      </c>
      <c r="E11" s="33">
        <f t="shared" si="1"/>
        <v>0.67</v>
      </c>
      <c r="F11" s="34">
        <f t="shared" si="2"/>
        <v>0</v>
      </c>
      <c r="G11" s="34">
        <f t="shared" si="3"/>
        <v>0</v>
      </c>
      <c r="H11" s="34">
        <f t="shared" si="4"/>
        <v>0</v>
      </c>
      <c r="I11" s="34">
        <f t="shared" si="5"/>
        <v>0</v>
      </c>
      <c r="J11" s="34">
        <f t="shared" si="6"/>
        <v>6.666666667</v>
      </c>
      <c r="K11" s="32"/>
      <c r="L11" s="32"/>
      <c r="M11" s="32"/>
      <c r="N11" s="32"/>
      <c r="P11" s="32"/>
      <c r="Q11" s="32"/>
      <c r="R11" s="32"/>
      <c r="S11" s="32"/>
      <c r="U11" s="32"/>
      <c r="V11" s="32"/>
      <c r="W11" s="32"/>
      <c r="X11" s="32"/>
      <c r="Y11" s="32"/>
      <c r="Z11" s="32"/>
      <c r="AB11" s="32"/>
      <c r="AC11" s="32"/>
      <c r="AD11" s="32"/>
      <c r="AE11" s="32"/>
      <c r="AF11" s="41">
        <v>2.0</v>
      </c>
      <c r="AG11" s="41">
        <v>2.0</v>
      </c>
      <c r="AI11" s="30" t="s">
        <v>216</v>
      </c>
    </row>
    <row r="12" ht="14.25" customHeight="1">
      <c r="B12" s="38" t="s">
        <v>217</v>
      </c>
      <c r="C12" s="30" t="s">
        <v>219</v>
      </c>
      <c r="D12" s="30" t="s">
        <v>172</v>
      </c>
      <c r="E12" s="33">
        <f t="shared" si="1"/>
        <v>0.5</v>
      </c>
      <c r="F12" s="34">
        <f t="shared" si="2"/>
        <v>0</v>
      </c>
      <c r="G12" s="34">
        <f t="shared" si="3"/>
        <v>0</v>
      </c>
      <c r="H12" s="34">
        <f t="shared" si="4"/>
        <v>0</v>
      </c>
      <c r="I12" s="34">
        <f t="shared" si="5"/>
        <v>0</v>
      </c>
      <c r="J12" s="34">
        <f t="shared" si="6"/>
        <v>5</v>
      </c>
      <c r="K12" s="32"/>
      <c r="L12" s="32"/>
      <c r="M12" s="32"/>
      <c r="N12" s="32"/>
      <c r="P12" s="32"/>
      <c r="Q12" s="32"/>
      <c r="R12" s="32"/>
      <c r="S12" s="32"/>
      <c r="U12" s="32"/>
      <c r="V12" s="32"/>
      <c r="W12" s="32"/>
      <c r="X12" s="32"/>
      <c r="Y12" s="32"/>
      <c r="Z12" s="32"/>
      <c r="AB12" s="32"/>
      <c r="AC12" s="32"/>
      <c r="AD12" s="32"/>
      <c r="AE12" s="32"/>
      <c r="AF12" s="41">
        <v>2.0</v>
      </c>
      <c r="AG12" s="41">
        <v>1.0</v>
      </c>
      <c r="AI12" s="30" t="s">
        <v>228</v>
      </c>
    </row>
    <row r="13" ht="14.25" customHeight="1">
      <c r="B13" s="38" t="s">
        <v>229</v>
      </c>
      <c r="C13" s="30" t="s">
        <v>230</v>
      </c>
      <c r="D13" s="30" t="s">
        <v>172</v>
      </c>
      <c r="E13" s="33">
        <f t="shared" si="1"/>
        <v>0.33</v>
      </c>
      <c r="F13" s="34">
        <f t="shared" si="2"/>
        <v>0</v>
      </c>
      <c r="G13" s="34">
        <f t="shared" si="3"/>
        <v>0</v>
      </c>
      <c r="H13" s="34">
        <f t="shared" si="4"/>
        <v>0</v>
      </c>
      <c r="I13" s="34">
        <f t="shared" si="5"/>
        <v>0</v>
      </c>
      <c r="J13" s="34">
        <f t="shared" si="6"/>
        <v>3.333333333</v>
      </c>
      <c r="K13" s="32"/>
      <c r="L13" s="32"/>
      <c r="M13" s="32"/>
      <c r="N13" s="32"/>
      <c r="P13" s="32"/>
      <c r="Q13" s="32"/>
      <c r="R13" s="32"/>
      <c r="S13" s="32"/>
      <c r="U13" s="32"/>
      <c r="V13" s="32"/>
      <c r="W13" s="32"/>
      <c r="X13" s="32"/>
      <c r="Y13" s="32"/>
      <c r="Z13" s="32"/>
      <c r="AB13" s="32"/>
      <c r="AC13" s="32"/>
      <c r="AD13" s="32"/>
      <c r="AE13" s="32"/>
      <c r="AF13" s="41">
        <v>2.0</v>
      </c>
      <c r="AG13" s="41">
        <v>0.0</v>
      </c>
      <c r="AI13" s="30" t="s">
        <v>238</v>
      </c>
    </row>
    <row r="14" ht="14.25" customHeight="1">
      <c r="B14" s="38" t="s">
        <v>239</v>
      </c>
      <c r="C14" s="30" t="s">
        <v>240</v>
      </c>
      <c r="D14" s="30" t="s">
        <v>172</v>
      </c>
      <c r="E14" s="33">
        <f t="shared" si="1"/>
        <v>0.67</v>
      </c>
      <c r="F14" s="34">
        <f t="shared" si="2"/>
        <v>0</v>
      </c>
      <c r="G14" s="34">
        <f t="shared" si="3"/>
        <v>0</v>
      </c>
      <c r="H14" s="34">
        <f t="shared" si="4"/>
        <v>0</v>
      </c>
      <c r="I14" s="34">
        <f t="shared" si="5"/>
        <v>0</v>
      </c>
      <c r="J14" s="34">
        <f t="shared" si="6"/>
        <v>6.666666667</v>
      </c>
      <c r="K14" s="32"/>
      <c r="L14" s="32"/>
      <c r="M14" s="32"/>
      <c r="N14" s="32"/>
      <c r="P14" s="32"/>
      <c r="Q14" s="32"/>
      <c r="R14" s="32"/>
      <c r="S14" s="32"/>
      <c r="U14" s="32"/>
      <c r="V14" s="32"/>
      <c r="W14" s="32"/>
      <c r="X14" s="32"/>
      <c r="Y14" s="32"/>
      <c r="Z14" s="32"/>
      <c r="AB14" s="32"/>
      <c r="AC14" s="32"/>
      <c r="AD14" s="32"/>
      <c r="AE14" s="32"/>
      <c r="AF14" s="41">
        <v>2.0</v>
      </c>
      <c r="AG14" s="41">
        <v>2.0</v>
      </c>
      <c r="AI14" s="30" t="s">
        <v>249</v>
      </c>
    </row>
    <row r="15" ht="14.25" customHeight="1">
      <c r="B15" s="38" t="s">
        <v>250</v>
      </c>
      <c r="C15" s="30" t="s">
        <v>251</v>
      </c>
      <c r="D15" s="30" t="s">
        <v>252</v>
      </c>
      <c r="E15" s="33">
        <f t="shared" si="1"/>
        <v>0.83</v>
      </c>
      <c r="F15" s="34">
        <f t="shared" si="2"/>
        <v>0</v>
      </c>
      <c r="G15" s="34">
        <f t="shared" si="3"/>
        <v>0</v>
      </c>
      <c r="H15" s="34">
        <f t="shared" si="4"/>
        <v>0</v>
      </c>
      <c r="I15" s="34">
        <f t="shared" si="5"/>
        <v>0</v>
      </c>
      <c r="J15" s="34">
        <f t="shared" si="6"/>
        <v>8.333333333</v>
      </c>
      <c r="K15" s="32"/>
      <c r="L15" s="32"/>
      <c r="M15" s="32"/>
      <c r="N15" s="32"/>
      <c r="P15" s="32"/>
      <c r="Q15" s="32"/>
      <c r="R15" s="32"/>
      <c r="S15" s="32"/>
      <c r="U15" s="32"/>
      <c r="V15" s="32"/>
      <c r="W15" s="32"/>
      <c r="X15" s="32"/>
      <c r="Y15" s="32"/>
      <c r="Z15" s="32"/>
      <c r="AB15" s="32"/>
      <c r="AC15" s="32"/>
      <c r="AD15" s="32"/>
      <c r="AE15" s="32"/>
      <c r="AF15" s="41">
        <v>2.0</v>
      </c>
      <c r="AG15" s="41">
        <v>3.0</v>
      </c>
      <c r="AI15" s="30" t="s">
        <v>261</v>
      </c>
    </row>
    <row r="16" ht="14.25" customHeight="1">
      <c r="B16" s="38" t="s">
        <v>262</v>
      </c>
      <c r="C16" s="30" t="s">
        <v>264</v>
      </c>
      <c r="D16" s="30" t="s">
        <v>265</v>
      </c>
      <c r="E16" s="33">
        <f t="shared" si="1"/>
        <v>0.83</v>
      </c>
      <c r="F16" s="34">
        <f t="shared" si="2"/>
        <v>0</v>
      </c>
      <c r="G16" s="34">
        <f t="shared" si="3"/>
        <v>0</v>
      </c>
      <c r="H16" s="34">
        <f t="shared" si="4"/>
        <v>0</v>
      </c>
      <c r="I16" s="34">
        <f t="shared" si="5"/>
        <v>0</v>
      </c>
      <c r="J16" s="34">
        <f t="shared" si="6"/>
        <v>8.333333333</v>
      </c>
      <c r="K16" s="32"/>
      <c r="L16" s="32"/>
      <c r="M16" s="32"/>
      <c r="N16" s="32"/>
      <c r="P16" s="32"/>
      <c r="Q16" s="32"/>
      <c r="R16" s="32"/>
      <c r="S16" s="32"/>
      <c r="U16" s="32"/>
      <c r="V16" s="32"/>
      <c r="W16" s="32"/>
      <c r="X16" s="32"/>
      <c r="Y16" s="32"/>
      <c r="Z16" s="32"/>
      <c r="AB16" s="32"/>
      <c r="AC16" s="32"/>
      <c r="AD16" s="32"/>
      <c r="AE16" s="32"/>
      <c r="AF16" s="41">
        <v>3.0</v>
      </c>
      <c r="AG16" s="41">
        <v>2.0</v>
      </c>
      <c r="AI16" s="30" t="s">
        <v>273</v>
      </c>
    </row>
    <row r="17" ht="14.25" customHeight="1">
      <c r="B17" s="38" t="s">
        <v>274</v>
      </c>
      <c r="C17" s="30" t="s">
        <v>276</v>
      </c>
      <c r="D17" s="30" t="s">
        <v>277</v>
      </c>
      <c r="E17" s="33">
        <f t="shared" si="1"/>
        <v>0.5</v>
      </c>
      <c r="F17" s="34">
        <f t="shared" si="2"/>
        <v>0</v>
      </c>
      <c r="G17" s="34">
        <f t="shared" si="3"/>
        <v>0</v>
      </c>
      <c r="H17" s="34">
        <f t="shared" si="4"/>
        <v>0</v>
      </c>
      <c r="I17" s="34">
        <f t="shared" si="5"/>
        <v>0</v>
      </c>
      <c r="J17" s="34">
        <f t="shared" si="6"/>
        <v>5</v>
      </c>
      <c r="K17" s="32"/>
      <c r="L17" s="32"/>
      <c r="M17" s="32"/>
      <c r="N17" s="32"/>
      <c r="P17" s="32"/>
      <c r="Q17" s="32"/>
      <c r="R17" s="32"/>
      <c r="S17" s="32"/>
      <c r="U17" s="32"/>
      <c r="V17" s="32"/>
      <c r="W17" s="32"/>
      <c r="X17" s="32"/>
      <c r="Y17" s="32"/>
      <c r="Z17" s="32"/>
      <c r="AB17" s="32"/>
      <c r="AC17" s="32"/>
      <c r="AD17" s="32"/>
      <c r="AE17" s="32"/>
      <c r="AF17" s="41">
        <v>1.0</v>
      </c>
      <c r="AG17" s="41">
        <v>2.0</v>
      </c>
      <c r="AI17" s="30" t="s">
        <v>282</v>
      </c>
    </row>
    <row r="18" ht="14.25" customHeight="1">
      <c r="B18" s="38" t="s">
        <v>284</v>
      </c>
      <c r="C18" s="30" t="s">
        <v>285</v>
      </c>
      <c r="D18" s="30" t="s">
        <v>277</v>
      </c>
      <c r="E18" s="33">
        <f t="shared" si="1"/>
        <v>0.83</v>
      </c>
      <c r="F18" s="34">
        <f t="shared" si="2"/>
        <v>0</v>
      </c>
      <c r="G18" s="34">
        <f t="shared" si="3"/>
        <v>0</v>
      </c>
      <c r="H18" s="34">
        <f t="shared" si="4"/>
        <v>0</v>
      </c>
      <c r="I18" s="34">
        <f t="shared" si="5"/>
        <v>0</v>
      </c>
      <c r="J18" s="34">
        <f t="shared" si="6"/>
        <v>8.333333333</v>
      </c>
      <c r="K18" s="32"/>
      <c r="L18" s="32"/>
      <c r="M18" s="32"/>
      <c r="N18" s="32"/>
      <c r="P18" s="32"/>
      <c r="Q18" s="32"/>
      <c r="R18" s="32"/>
      <c r="S18" s="32"/>
      <c r="U18" s="32"/>
      <c r="V18" s="32"/>
      <c r="W18" s="32"/>
      <c r="X18" s="32"/>
      <c r="Y18" s="32"/>
      <c r="Z18" s="32"/>
      <c r="AB18" s="32"/>
      <c r="AC18" s="32"/>
      <c r="AD18" s="32"/>
      <c r="AE18" s="32"/>
      <c r="AF18" s="41">
        <v>3.0</v>
      </c>
      <c r="AG18" s="41">
        <v>2.0</v>
      </c>
      <c r="AI18" s="46" t="s">
        <v>289</v>
      </c>
    </row>
    <row r="19" ht="14.25" customHeight="1">
      <c r="B19" s="38" t="s">
        <v>290</v>
      </c>
      <c r="C19" s="30" t="s">
        <v>291</v>
      </c>
      <c r="D19" s="30" t="s">
        <v>277</v>
      </c>
      <c r="E19" s="33">
        <f t="shared" si="1"/>
        <v>0.83</v>
      </c>
      <c r="F19" s="34">
        <f t="shared" si="2"/>
        <v>0</v>
      </c>
      <c r="G19" s="34">
        <f t="shared" si="3"/>
        <v>0</v>
      </c>
      <c r="H19" s="34">
        <f t="shared" si="4"/>
        <v>0</v>
      </c>
      <c r="I19" s="34">
        <f t="shared" si="5"/>
        <v>0</v>
      </c>
      <c r="J19" s="34">
        <f t="shared" si="6"/>
        <v>8.333333333</v>
      </c>
      <c r="K19" s="32"/>
      <c r="L19" s="32"/>
      <c r="M19" s="32"/>
      <c r="N19" s="32"/>
      <c r="P19" s="32"/>
      <c r="Q19" s="32"/>
      <c r="R19" s="32"/>
      <c r="S19" s="32"/>
      <c r="U19" s="32"/>
      <c r="V19" s="32"/>
      <c r="W19" s="32"/>
      <c r="X19" s="32"/>
      <c r="Y19" s="32"/>
      <c r="Z19" s="32"/>
      <c r="AB19" s="32"/>
      <c r="AC19" s="32"/>
      <c r="AD19" s="32"/>
      <c r="AE19" s="32"/>
      <c r="AF19" s="41">
        <v>2.0</v>
      </c>
      <c r="AG19" s="41">
        <v>3.0</v>
      </c>
      <c r="AI19" s="30" t="s">
        <v>297</v>
      </c>
    </row>
    <row r="20" ht="14.25" customHeight="1">
      <c r="B20" s="38" t="s">
        <v>298</v>
      </c>
      <c r="C20" s="30" t="s">
        <v>299</v>
      </c>
      <c r="D20" s="30" t="s">
        <v>277</v>
      </c>
      <c r="E20" s="33">
        <f t="shared" si="1"/>
        <v>0.67</v>
      </c>
      <c r="F20" s="34">
        <f t="shared" si="2"/>
        <v>0</v>
      </c>
      <c r="G20" s="34">
        <f t="shared" si="3"/>
        <v>0</v>
      </c>
      <c r="H20" s="34">
        <f t="shared" si="4"/>
        <v>0</v>
      </c>
      <c r="I20" s="34">
        <f t="shared" si="5"/>
        <v>0</v>
      </c>
      <c r="J20" s="34">
        <f t="shared" si="6"/>
        <v>6.666666667</v>
      </c>
      <c r="K20" s="32"/>
      <c r="L20" s="32"/>
      <c r="M20" s="32"/>
      <c r="N20" s="32"/>
      <c r="P20" s="32"/>
      <c r="Q20" s="32"/>
      <c r="R20" s="32"/>
      <c r="S20" s="32"/>
      <c r="U20" s="32"/>
      <c r="V20" s="32"/>
      <c r="W20" s="32"/>
      <c r="X20" s="32"/>
      <c r="Y20" s="32"/>
      <c r="Z20" s="32"/>
      <c r="AB20" s="32"/>
      <c r="AC20" s="32"/>
      <c r="AD20" s="32"/>
      <c r="AE20" s="32"/>
      <c r="AF20" s="41">
        <v>2.0</v>
      </c>
      <c r="AG20" s="41">
        <v>2.0</v>
      </c>
      <c r="AI20" s="30" t="s">
        <v>302</v>
      </c>
    </row>
    <row r="21" ht="14.25" customHeight="1">
      <c r="B21" s="38" t="s">
        <v>303</v>
      </c>
      <c r="C21" s="30" t="s">
        <v>304</v>
      </c>
      <c r="D21" s="30" t="s">
        <v>277</v>
      </c>
      <c r="E21" s="33">
        <f t="shared" si="1"/>
        <v>0.67</v>
      </c>
      <c r="F21" s="34">
        <f t="shared" si="2"/>
        <v>0</v>
      </c>
      <c r="G21" s="34">
        <f t="shared" si="3"/>
        <v>0</v>
      </c>
      <c r="H21" s="34">
        <f t="shared" si="4"/>
        <v>0</v>
      </c>
      <c r="I21" s="34">
        <f t="shared" si="5"/>
        <v>0</v>
      </c>
      <c r="J21" s="34">
        <f t="shared" si="6"/>
        <v>6.666666667</v>
      </c>
      <c r="K21" s="32"/>
      <c r="L21" s="32"/>
      <c r="M21" s="32"/>
      <c r="N21" s="32"/>
      <c r="P21" s="32"/>
      <c r="Q21" s="32"/>
      <c r="R21" s="32"/>
      <c r="S21" s="32"/>
      <c r="U21" s="32"/>
      <c r="V21" s="32"/>
      <c r="W21" s="32"/>
      <c r="X21" s="32"/>
      <c r="Y21" s="32"/>
      <c r="Z21" s="32"/>
      <c r="AB21" s="32"/>
      <c r="AC21" s="32"/>
      <c r="AD21" s="32"/>
      <c r="AE21" s="32"/>
      <c r="AF21" s="41">
        <v>2.0</v>
      </c>
      <c r="AG21" s="41">
        <v>2.0</v>
      </c>
      <c r="AI21" s="30" t="s">
        <v>305</v>
      </c>
    </row>
    <row r="22" ht="18.75" customHeight="1">
      <c r="B22" s="42" t="s">
        <v>306</v>
      </c>
      <c r="C22" s="30" t="s">
        <v>307</v>
      </c>
      <c r="D22" s="30" t="s">
        <v>277</v>
      </c>
      <c r="E22" s="33">
        <f t="shared" si="1"/>
        <v>0</v>
      </c>
      <c r="F22" s="34">
        <f t="shared" si="2"/>
        <v>0</v>
      </c>
      <c r="G22" s="34">
        <f t="shared" si="3"/>
        <v>0</v>
      </c>
      <c r="H22" s="34">
        <f t="shared" si="4"/>
        <v>0</v>
      </c>
      <c r="I22" s="34">
        <f t="shared" si="5"/>
        <v>0</v>
      </c>
      <c r="J22" s="34">
        <f t="shared" si="6"/>
        <v>0</v>
      </c>
      <c r="K22" s="32"/>
      <c r="L22" s="32"/>
      <c r="M22" s="32"/>
      <c r="N22" s="32"/>
      <c r="P22" s="32"/>
      <c r="Q22" s="32"/>
      <c r="R22" s="32"/>
      <c r="S22" s="32"/>
      <c r="U22" s="32"/>
      <c r="V22" s="32"/>
      <c r="W22" s="32"/>
      <c r="X22" s="32"/>
      <c r="Y22" s="32"/>
      <c r="Z22" s="32"/>
      <c r="AB22" s="32"/>
      <c r="AC22" s="32"/>
      <c r="AD22" s="32"/>
      <c r="AE22" s="32"/>
      <c r="AF22" s="41">
        <v>0.0</v>
      </c>
      <c r="AG22" s="41">
        <v>0.0</v>
      </c>
      <c r="AI22" s="30" t="s">
        <v>308</v>
      </c>
    </row>
    <row r="23" ht="18.75" customHeight="1">
      <c r="B23" s="38" t="s">
        <v>309</v>
      </c>
      <c r="C23" s="30" t="s">
        <v>310</v>
      </c>
      <c r="D23" s="30" t="s">
        <v>277</v>
      </c>
      <c r="E23" s="33">
        <f t="shared" si="1"/>
        <v>0.5</v>
      </c>
      <c r="F23" s="34">
        <f t="shared" si="2"/>
        <v>0</v>
      </c>
      <c r="G23" s="34">
        <f t="shared" si="3"/>
        <v>0</v>
      </c>
      <c r="H23" s="34">
        <f t="shared" si="4"/>
        <v>0</v>
      </c>
      <c r="I23" s="34">
        <f t="shared" si="5"/>
        <v>0</v>
      </c>
      <c r="J23" s="34">
        <f t="shared" si="6"/>
        <v>5</v>
      </c>
      <c r="K23" s="32"/>
      <c r="L23" s="32"/>
      <c r="M23" s="32"/>
      <c r="N23" s="32"/>
      <c r="P23" s="32"/>
      <c r="Q23" s="32"/>
      <c r="R23" s="32"/>
      <c r="S23" s="32"/>
      <c r="U23" s="32"/>
      <c r="V23" s="32"/>
      <c r="W23" s="32"/>
      <c r="X23" s="32"/>
      <c r="Y23" s="32"/>
      <c r="Z23" s="32"/>
      <c r="AB23" s="32"/>
      <c r="AC23" s="32"/>
      <c r="AD23" s="32"/>
      <c r="AE23" s="32"/>
      <c r="AF23" s="41">
        <v>2.0</v>
      </c>
      <c r="AG23" s="41">
        <v>1.0</v>
      </c>
      <c r="AI23" s="30" t="s">
        <v>311</v>
      </c>
    </row>
    <row r="24" ht="18.75" customHeight="1">
      <c r="B24" s="38" t="s">
        <v>312</v>
      </c>
      <c r="C24" s="30" t="s">
        <v>313</v>
      </c>
      <c r="D24" s="30" t="s">
        <v>277</v>
      </c>
      <c r="E24" s="33">
        <f t="shared" si="1"/>
        <v>0.83</v>
      </c>
      <c r="F24" s="34">
        <f t="shared" si="2"/>
        <v>0</v>
      </c>
      <c r="G24" s="34">
        <f t="shared" si="3"/>
        <v>0</v>
      </c>
      <c r="H24" s="34">
        <f t="shared" si="4"/>
        <v>0</v>
      </c>
      <c r="I24" s="34">
        <f t="shared" si="5"/>
        <v>0</v>
      </c>
      <c r="J24" s="34">
        <f t="shared" si="6"/>
        <v>8.333333333</v>
      </c>
      <c r="K24" s="32"/>
      <c r="L24" s="32"/>
      <c r="M24" s="32"/>
      <c r="N24" s="32"/>
      <c r="P24" s="32"/>
      <c r="Q24" s="32"/>
      <c r="R24" s="32"/>
      <c r="S24" s="32"/>
      <c r="U24" s="32"/>
      <c r="V24" s="32"/>
      <c r="W24" s="32"/>
      <c r="X24" s="32"/>
      <c r="Y24" s="32"/>
      <c r="Z24" s="32"/>
      <c r="AB24" s="32"/>
      <c r="AC24" s="32"/>
      <c r="AD24" s="32"/>
      <c r="AE24" s="32"/>
      <c r="AF24" s="41">
        <v>2.0</v>
      </c>
      <c r="AG24" s="41">
        <v>3.0</v>
      </c>
      <c r="AI24" s="30" t="s">
        <v>314</v>
      </c>
    </row>
    <row r="25" ht="18.75" customHeight="1">
      <c r="B25" s="38" t="s">
        <v>315</v>
      </c>
      <c r="C25" s="30" t="s">
        <v>316</v>
      </c>
      <c r="D25" s="30" t="s">
        <v>201</v>
      </c>
      <c r="E25" s="33">
        <f t="shared" si="1"/>
        <v>0.67</v>
      </c>
      <c r="F25" s="34">
        <f t="shared" si="2"/>
        <v>0</v>
      </c>
      <c r="G25" s="34">
        <f t="shared" si="3"/>
        <v>0</v>
      </c>
      <c r="H25" s="34">
        <f t="shared" si="4"/>
        <v>0</v>
      </c>
      <c r="I25" s="34">
        <f t="shared" si="5"/>
        <v>0</v>
      </c>
      <c r="J25" s="34">
        <f t="shared" si="6"/>
        <v>6.666666667</v>
      </c>
      <c r="K25" s="32"/>
      <c r="L25" s="32"/>
      <c r="M25" s="32"/>
      <c r="N25" s="32"/>
      <c r="P25" s="32"/>
      <c r="Q25" s="32"/>
      <c r="R25" s="32"/>
      <c r="S25" s="32"/>
      <c r="U25" s="32"/>
      <c r="V25" s="32"/>
      <c r="W25" s="32"/>
      <c r="X25" s="32"/>
      <c r="Y25" s="32"/>
      <c r="Z25" s="32"/>
      <c r="AB25" s="32"/>
      <c r="AC25" s="32"/>
      <c r="AD25" s="32"/>
      <c r="AE25" s="32"/>
      <c r="AF25" s="41">
        <v>2.0</v>
      </c>
      <c r="AG25" s="41">
        <v>2.0</v>
      </c>
      <c r="AI25" s="30" t="s">
        <v>317</v>
      </c>
    </row>
    <row r="26" ht="18.75" customHeight="1">
      <c r="B26" s="38" t="s">
        <v>318</v>
      </c>
      <c r="C26" s="30" t="s">
        <v>319</v>
      </c>
      <c r="D26" s="30" t="s">
        <v>201</v>
      </c>
      <c r="E26" s="33">
        <f t="shared" si="1"/>
        <v>0.83</v>
      </c>
      <c r="F26" s="34">
        <f t="shared" si="2"/>
        <v>0</v>
      </c>
      <c r="G26" s="34">
        <f t="shared" si="3"/>
        <v>0</v>
      </c>
      <c r="H26" s="34">
        <f t="shared" si="4"/>
        <v>0</v>
      </c>
      <c r="I26" s="34">
        <f t="shared" si="5"/>
        <v>0</v>
      </c>
      <c r="J26" s="34">
        <f t="shared" si="6"/>
        <v>8.333333333</v>
      </c>
      <c r="K26" s="32"/>
      <c r="L26" s="32"/>
      <c r="M26" s="32"/>
      <c r="N26" s="32"/>
      <c r="P26" s="32"/>
      <c r="Q26" s="32"/>
      <c r="R26" s="32"/>
      <c r="S26" s="32"/>
      <c r="U26" s="32"/>
      <c r="V26" s="32"/>
      <c r="W26" s="32"/>
      <c r="X26" s="32"/>
      <c r="Y26" s="32"/>
      <c r="Z26" s="32"/>
      <c r="AB26" s="32"/>
      <c r="AC26" s="32"/>
      <c r="AD26" s="32"/>
      <c r="AE26" s="32"/>
      <c r="AF26" s="41">
        <v>3.0</v>
      </c>
      <c r="AG26" s="41">
        <v>2.0</v>
      </c>
      <c r="AI26" s="30" t="s">
        <v>320</v>
      </c>
    </row>
    <row r="27" ht="18.75" customHeight="1">
      <c r="B27" s="38" t="s">
        <v>321</v>
      </c>
      <c r="C27" s="30" t="s">
        <v>322</v>
      </c>
      <c r="D27" s="30" t="s">
        <v>323</v>
      </c>
      <c r="E27" s="33">
        <f t="shared" si="1"/>
        <v>0.83</v>
      </c>
      <c r="F27" s="34">
        <f t="shared" si="2"/>
        <v>0</v>
      </c>
      <c r="G27" s="34">
        <f t="shared" si="3"/>
        <v>0</v>
      </c>
      <c r="H27" s="34">
        <f t="shared" si="4"/>
        <v>0</v>
      </c>
      <c r="I27" s="34">
        <f t="shared" si="5"/>
        <v>0</v>
      </c>
      <c r="J27" s="34">
        <f t="shared" si="6"/>
        <v>8.333333333</v>
      </c>
      <c r="K27" s="32"/>
      <c r="L27" s="32"/>
      <c r="M27" s="32"/>
      <c r="N27" s="32"/>
      <c r="P27" s="32"/>
      <c r="Q27" s="32"/>
      <c r="R27" s="32"/>
      <c r="S27" s="32"/>
      <c r="U27" s="32"/>
      <c r="V27" s="32"/>
      <c r="W27" s="32"/>
      <c r="X27" s="32"/>
      <c r="Y27" s="32"/>
      <c r="Z27" s="32"/>
      <c r="AB27" s="32"/>
      <c r="AC27" s="32"/>
      <c r="AD27" s="32"/>
      <c r="AE27" s="32"/>
      <c r="AF27" s="41">
        <v>2.0</v>
      </c>
      <c r="AG27" s="41">
        <v>3.0</v>
      </c>
      <c r="AI27" s="30" t="s">
        <v>324</v>
      </c>
    </row>
    <row r="28" ht="14.25" customHeight="1">
      <c r="B28" s="47" t="s">
        <v>325</v>
      </c>
      <c r="C28" s="48" t="s">
        <v>325</v>
      </c>
      <c r="E28" s="33" t="str">
        <f t="shared" si="1"/>
        <v/>
      </c>
      <c r="F28" s="34" t="str">
        <f t="shared" si="2"/>
        <v/>
      </c>
      <c r="G28" s="34" t="str">
        <f t="shared" si="3"/>
        <v/>
      </c>
      <c r="H28" s="34" t="str">
        <f t="shared" si="4"/>
        <v/>
      </c>
      <c r="I28" s="34" t="str">
        <f t="shared" si="5"/>
        <v/>
      </c>
      <c r="J28" s="34" t="str">
        <f t="shared" si="6"/>
        <v/>
      </c>
      <c r="K28" s="32"/>
      <c r="L28" s="32"/>
      <c r="M28" s="32"/>
      <c r="N28" s="32"/>
      <c r="P28" s="32"/>
      <c r="Q28" s="32"/>
      <c r="R28" s="32"/>
      <c r="S28" s="32"/>
      <c r="U28" s="32"/>
      <c r="V28" s="32"/>
      <c r="W28" s="32"/>
      <c r="X28" s="32"/>
      <c r="Y28" s="32"/>
      <c r="Z28" s="32"/>
      <c r="AB28" s="32"/>
      <c r="AC28" s="32"/>
      <c r="AD28" s="32"/>
      <c r="AE28" s="32"/>
      <c r="AF28" s="32"/>
      <c r="AG28" s="32"/>
    </row>
    <row r="29" ht="14.25" customHeight="1">
      <c r="B29" s="49" t="s">
        <v>122</v>
      </c>
      <c r="C29" s="49" t="s">
        <v>124</v>
      </c>
      <c r="D29" s="30" t="s">
        <v>326</v>
      </c>
      <c r="E29" s="33">
        <f t="shared" si="1"/>
        <v>0.83</v>
      </c>
      <c r="F29" s="34">
        <f t="shared" si="2"/>
        <v>0</v>
      </c>
      <c r="G29" s="34">
        <f t="shared" si="3"/>
        <v>0</v>
      </c>
      <c r="H29" s="34">
        <f t="shared" si="4"/>
        <v>0</v>
      </c>
      <c r="I29" s="34">
        <f t="shared" si="5"/>
        <v>0</v>
      </c>
      <c r="J29" s="34">
        <f t="shared" si="6"/>
        <v>8.333333333</v>
      </c>
      <c r="K29" s="32"/>
      <c r="L29" s="32"/>
      <c r="M29" s="32"/>
      <c r="N29" s="32"/>
      <c r="P29" s="32"/>
      <c r="Q29" s="32"/>
      <c r="R29" s="32"/>
      <c r="S29" s="32"/>
      <c r="U29" s="32"/>
      <c r="V29" s="32"/>
      <c r="W29" s="32"/>
      <c r="X29" s="32"/>
      <c r="Y29" s="32"/>
      <c r="Z29" s="32"/>
      <c r="AB29" s="32"/>
      <c r="AC29" s="32"/>
      <c r="AD29" s="32"/>
      <c r="AE29" s="32"/>
      <c r="AF29" s="41">
        <v>3.0</v>
      </c>
      <c r="AG29" s="41">
        <v>2.0</v>
      </c>
      <c r="AI29" s="30" t="s">
        <v>327</v>
      </c>
    </row>
    <row r="30" ht="14.25" customHeight="1">
      <c r="B30" s="49" t="s">
        <v>156</v>
      </c>
      <c r="C30" s="49" t="s">
        <v>157</v>
      </c>
      <c r="D30" s="30" t="s">
        <v>326</v>
      </c>
      <c r="E30" s="33">
        <f t="shared" si="1"/>
        <v>0.67</v>
      </c>
      <c r="F30" s="34">
        <f t="shared" si="2"/>
        <v>0</v>
      </c>
      <c r="G30" s="34">
        <f t="shared" si="3"/>
        <v>0</v>
      </c>
      <c r="H30" s="34">
        <f t="shared" si="4"/>
        <v>0</v>
      </c>
      <c r="I30" s="34">
        <f t="shared" si="5"/>
        <v>0</v>
      </c>
      <c r="J30" s="34">
        <f t="shared" si="6"/>
        <v>6.666666667</v>
      </c>
      <c r="K30" s="32"/>
      <c r="L30" s="32"/>
      <c r="M30" s="32"/>
      <c r="N30" s="32"/>
      <c r="P30" s="32"/>
      <c r="Q30" s="32"/>
      <c r="R30" s="32"/>
      <c r="S30" s="32"/>
      <c r="U30" s="32"/>
      <c r="V30" s="32"/>
      <c r="W30" s="32"/>
      <c r="X30" s="32"/>
      <c r="Y30" s="32"/>
      <c r="Z30" s="32"/>
      <c r="AB30" s="32"/>
      <c r="AC30" s="32"/>
      <c r="AD30" s="32"/>
      <c r="AE30" s="32"/>
      <c r="AF30" s="41">
        <v>3.0</v>
      </c>
      <c r="AG30" s="41">
        <v>1.0</v>
      </c>
    </row>
    <row r="31">
      <c r="B31" s="49" t="s">
        <v>185</v>
      </c>
      <c r="C31" s="50" t="s">
        <v>328</v>
      </c>
      <c r="D31" s="30" t="s">
        <v>326</v>
      </c>
      <c r="E31" s="33">
        <f t="shared" si="1"/>
        <v>0.5</v>
      </c>
      <c r="F31" s="34">
        <f t="shared" si="2"/>
        <v>0</v>
      </c>
      <c r="G31" s="34">
        <f t="shared" si="3"/>
        <v>0</v>
      </c>
      <c r="H31" s="34">
        <f t="shared" si="4"/>
        <v>0</v>
      </c>
      <c r="I31" s="34">
        <f t="shared" si="5"/>
        <v>0</v>
      </c>
      <c r="J31" s="34">
        <f t="shared" si="6"/>
        <v>5</v>
      </c>
      <c r="K31" s="32"/>
      <c r="L31" s="32"/>
      <c r="M31" s="32"/>
      <c r="N31" s="32"/>
      <c r="P31" s="32"/>
      <c r="Q31" s="32"/>
      <c r="R31" s="32"/>
      <c r="S31" s="32"/>
      <c r="U31" s="32"/>
      <c r="V31" s="32"/>
      <c r="W31" s="32"/>
      <c r="X31" s="32"/>
      <c r="Y31" s="32"/>
      <c r="Z31" s="32"/>
      <c r="AB31" s="32"/>
      <c r="AC31" s="32"/>
      <c r="AD31" s="32"/>
      <c r="AE31" s="32"/>
      <c r="AF31" s="41">
        <v>1.0</v>
      </c>
      <c r="AG31" s="41">
        <v>2.0</v>
      </c>
      <c r="AI31" s="30" t="s">
        <v>332</v>
      </c>
    </row>
    <row r="32" ht="14.25" customHeight="1">
      <c r="B32" s="49" t="s">
        <v>198</v>
      </c>
      <c r="C32" s="49" t="s">
        <v>200</v>
      </c>
      <c r="D32" s="30" t="s">
        <v>326</v>
      </c>
      <c r="E32" s="33">
        <f t="shared" si="1"/>
        <v>0.83</v>
      </c>
      <c r="F32" s="34">
        <f t="shared" si="2"/>
        <v>0</v>
      </c>
      <c r="G32" s="34">
        <f t="shared" si="3"/>
        <v>0</v>
      </c>
      <c r="H32" s="34">
        <f t="shared" si="4"/>
        <v>0</v>
      </c>
      <c r="I32" s="34">
        <f t="shared" si="5"/>
        <v>0</v>
      </c>
      <c r="J32" s="34">
        <f t="shared" si="6"/>
        <v>8.333333333</v>
      </c>
      <c r="K32" s="32"/>
      <c r="L32" s="32"/>
      <c r="M32" s="32"/>
      <c r="N32" s="32"/>
      <c r="P32" s="32"/>
      <c r="Q32" s="32"/>
      <c r="R32" s="32"/>
      <c r="S32" s="32"/>
      <c r="U32" s="32"/>
      <c r="V32" s="32"/>
      <c r="W32" s="32"/>
      <c r="X32" s="32"/>
      <c r="Y32" s="32"/>
      <c r="Z32" s="32"/>
      <c r="AB32" s="32"/>
      <c r="AC32" s="32"/>
      <c r="AD32" s="32"/>
      <c r="AE32" s="32"/>
      <c r="AF32" s="41">
        <v>3.0</v>
      </c>
      <c r="AG32" s="41">
        <v>2.0</v>
      </c>
      <c r="AI32" s="30" t="s">
        <v>342</v>
      </c>
    </row>
    <row r="33" ht="14.25" customHeight="1">
      <c r="B33" s="49" t="s">
        <v>207</v>
      </c>
      <c r="C33" s="49" t="s">
        <v>208</v>
      </c>
      <c r="D33" s="30" t="s">
        <v>277</v>
      </c>
      <c r="E33" s="33">
        <f t="shared" si="1"/>
        <v>0.67</v>
      </c>
      <c r="F33" s="34">
        <f t="shared" si="2"/>
        <v>0</v>
      </c>
      <c r="G33" s="34">
        <f t="shared" si="3"/>
        <v>0</v>
      </c>
      <c r="H33" s="34">
        <f t="shared" si="4"/>
        <v>0</v>
      </c>
      <c r="I33" s="34">
        <f t="shared" si="5"/>
        <v>0</v>
      </c>
      <c r="J33" s="34">
        <f t="shared" si="6"/>
        <v>6.666666667</v>
      </c>
      <c r="K33" s="32"/>
      <c r="L33" s="32"/>
      <c r="M33" s="32"/>
      <c r="N33" s="32"/>
      <c r="P33" s="32"/>
      <c r="Q33" s="32"/>
      <c r="R33" s="32"/>
      <c r="S33" s="32"/>
      <c r="U33" s="32"/>
      <c r="V33" s="32"/>
      <c r="W33" s="32"/>
      <c r="X33" s="32"/>
      <c r="Y33" s="32"/>
      <c r="Z33" s="32"/>
      <c r="AB33" s="32"/>
      <c r="AC33" s="32"/>
      <c r="AD33" s="32"/>
      <c r="AE33" s="32"/>
      <c r="AF33" s="41">
        <v>2.0</v>
      </c>
      <c r="AG33" s="41">
        <v>2.0</v>
      </c>
      <c r="AI33" s="30" t="s">
        <v>348</v>
      </c>
    </row>
    <row r="34" ht="14.25" customHeight="1">
      <c r="B34" s="49" t="s">
        <v>217</v>
      </c>
      <c r="C34" s="49" t="s">
        <v>219</v>
      </c>
      <c r="D34" s="30" t="s">
        <v>277</v>
      </c>
      <c r="E34" s="33">
        <f t="shared" si="1"/>
        <v>0.5</v>
      </c>
      <c r="F34" s="34">
        <f t="shared" si="2"/>
        <v>0</v>
      </c>
      <c r="G34" s="34">
        <f t="shared" si="3"/>
        <v>0</v>
      </c>
      <c r="H34" s="34">
        <f t="shared" si="4"/>
        <v>0</v>
      </c>
      <c r="I34" s="34">
        <f t="shared" si="5"/>
        <v>0</v>
      </c>
      <c r="J34" s="34">
        <f t="shared" si="6"/>
        <v>5</v>
      </c>
      <c r="K34" s="32"/>
      <c r="L34" s="32"/>
      <c r="M34" s="32"/>
      <c r="N34" s="32"/>
      <c r="P34" s="32"/>
      <c r="Q34" s="32"/>
      <c r="R34" s="32"/>
      <c r="S34" s="32"/>
      <c r="U34" s="32"/>
      <c r="V34" s="32"/>
      <c r="W34" s="32"/>
      <c r="X34" s="32"/>
      <c r="Y34" s="32"/>
      <c r="Z34" s="32"/>
      <c r="AB34" s="32"/>
      <c r="AC34" s="32"/>
      <c r="AD34" s="32"/>
      <c r="AE34" s="32"/>
      <c r="AF34" s="41">
        <v>2.0</v>
      </c>
      <c r="AG34" s="41">
        <v>1.0</v>
      </c>
      <c r="AI34" s="30" t="s">
        <v>354</v>
      </c>
    </row>
    <row r="35" ht="14.25" customHeight="1">
      <c r="B35" s="49" t="s">
        <v>229</v>
      </c>
      <c r="C35" s="49" t="s">
        <v>230</v>
      </c>
      <c r="D35" s="30" t="s">
        <v>323</v>
      </c>
      <c r="E35" s="33">
        <f t="shared" si="1"/>
        <v>0.5</v>
      </c>
      <c r="F35" s="34">
        <f t="shared" si="2"/>
        <v>0</v>
      </c>
      <c r="G35" s="34">
        <f t="shared" si="3"/>
        <v>0</v>
      </c>
      <c r="H35" s="34">
        <f t="shared" si="4"/>
        <v>0</v>
      </c>
      <c r="I35" s="34">
        <f t="shared" si="5"/>
        <v>0</v>
      </c>
      <c r="J35" s="34">
        <f t="shared" si="6"/>
        <v>5</v>
      </c>
      <c r="K35" s="32"/>
      <c r="L35" s="32"/>
      <c r="M35" s="32"/>
      <c r="N35" s="32"/>
      <c r="P35" s="32"/>
      <c r="Q35" s="32"/>
      <c r="R35" s="32"/>
      <c r="S35" s="32"/>
      <c r="U35" s="32"/>
      <c r="V35" s="32"/>
      <c r="W35" s="32"/>
      <c r="X35" s="32"/>
      <c r="Y35" s="32"/>
      <c r="Z35" s="32"/>
      <c r="AB35" s="32"/>
      <c r="AC35" s="32"/>
      <c r="AD35" s="32"/>
      <c r="AE35" s="32"/>
      <c r="AF35" s="41">
        <v>2.0</v>
      </c>
      <c r="AG35" s="41">
        <v>1.0</v>
      </c>
      <c r="AI35" s="30" t="s">
        <v>363</v>
      </c>
    </row>
    <row r="36" ht="14.25" customHeight="1">
      <c r="B36" s="49" t="s">
        <v>239</v>
      </c>
      <c r="C36" s="49" t="s">
        <v>240</v>
      </c>
      <c r="D36" s="30" t="s">
        <v>323</v>
      </c>
      <c r="E36" s="33">
        <f t="shared" si="1"/>
        <v>0.67</v>
      </c>
      <c r="F36" s="34">
        <f t="shared" si="2"/>
        <v>0</v>
      </c>
      <c r="G36" s="34">
        <f t="shared" si="3"/>
        <v>0</v>
      </c>
      <c r="H36" s="34">
        <f t="shared" si="4"/>
        <v>0</v>
      </c>
      <c r="I36" s="34">
        <f t="shared" si="5"/>
        <v>0</v>
      </c>
      <c r="J36" s="34">
        <f t="shared" si="6"/>
        <v>6.666666667</v>
      </c>
      <c r="K36" s="32"/>
      <c r="L36" s="32"/>
      <c r="M36" s="32"/>
      <c r="N36" s="32"/>
      <c r="P36" s="32"/>
      <c r="Q36" s="32"/>
      <c r="R36" s="32"/>
      <c r="S36" s="32"/>
      <c r="U36" s="32"/>
      <c r="V36" s="32"/>
      <c r="W36" s="32"/>
      <c r="X36" s="32"/>
      <c r="Y36" s="32"/>
      <c r="Z36" s="32"/>
      <c r="AB36" s="32"/>
      <c r="AC36" s="32"/>
      <c r="AD36" s="32"/>
      <c r="AE36" s="32"/>
      <c r="AF36" s="41">
        <v>2.0</v>
      </c>
      <c r="AG36" s="41">
        <v>2.0</v>
      </c>
      <c r="AI36" s="30" t="s">
        <v>371</v>
      </c>
    </row>
    <row r="37" ht="14.25" customHeight="1">
      <c r="B37" s="49" t="s">
        <v>250</v>
      </c>
      <c r="C37" s="49" t="s">
        <v>251</v>
      </c>
      <c r="D37" s="30" t="s">
        <v>323</v>
      </c>
      <c r="E37" s="33">
        <f t="shared" si="1"/>
        <v>0.67</v>
      </c>
      <c r="F37" s="34">
        <f t="shared" si="2"/>
        <v>0</v>
      </c>
      <c r="G37" s="34">
        <f t="shared" si="3"/>
        <v>0</v>
      </c>
      <c r="H37" s="34">
        <f t="shared" si="4"/>
        <v>0</v>
      </c>
      <c r="I37" s="34">
        <f t="shared" si="5"/>
        <v>0</v>
      </c>
      <c r="J37" s="34">
        <f t="shared" si="6"/>
        <v>6.666666667</v>
      </c>
      <c r="K37" s="32"/>
      <c r="L37" s="32"/>
      <c r="M37" s="32"/>
      <c r="N37" s="32"/>
      <c r="P37" s="32"/>
      <c r="Q37" s="32"/>
      <c r="R37" s="32"/>
      <c r="S37" s="32"/>
      <c r="U37" s="32"/>
      <c r="V37" s="32"/>
      <c r="W37" s="32"/>
      <c r="X37" s="32"/>
      <c r="Y37" s="32"/>
      <c r="Z37" s="32"/>
      <c r="AB37" s="32"/>
      <c r="AC37" s="32"/>
      <c r="AD37" s="32"/>
      <c r="AE37" s="32"/>
      <c r="AF37" s="41">
        <v>3.0</v>
      </c>
      <c r="AG37" s="41">
        <v>1.0</v>
      </c>
      <c r="AI37" s="30" t="s">
        <v>378</v>
      </c>
    </row>
    <row r="38" ht="14.25" customHeight="1">
      <c r="B38" s="49" t="s">
        <v>262</v>
      </c>
      <c r="C38" s="49" t="s">
        <v>264</v>
      </c>
      <c r="D38" s="30" t="s">
        <v>323</v>
      </c>
      <c r="E38" s="33">
        <f t="shared" si="1"/>
        <v>0.83</v>
      </c>
      <c r="F38" s="34">
        <f t="shared" si="2"/>
        <v>0</v>
      </c>
      <c r="G38" s="34">
        <f t="shared" si="3"/>
        <v>0</v>
      </c>
      <c r="H38" s="34">
        <f t="shared" si="4"/>
        <v>0</v>
      </c>
      <c r="I38" s="34">
        <f t="shared" si="5"/>
        <v>0</v>
      </c>
      <c r="J38" s="34">
        <f t="shared" si="6"/>
        <v>8.333333333</v>
      </c>
      <c r="K38" s="32"/>
      <c r="L38" s="32"/>
      <c r="M38" s="32"/>
      <c r="N38" s="32"/>
      <c r="P38" s="32"/>
      <c r="Q38" s="32"/>
      <c r="R38" s="32"/>
      <c r="S38" s="32"/>
      <c r="U38" s="32"/>
      <c r="V38" s="32"/>
      <c r="W38" s="32"/>
      <c r="X38" s="32"/>
      <c r="Y38" s="32"/>
      <c r="Z38" s="32"/>
      <c r="AB38" s="32"/>
      <c r="AC38" s="32"/>
      <c r="AD38" s="32"/>
      <c r="AE38" s="32"/>
      <c r="AF38" s="41">
        <v>2.0</v>
      </c>
      <c r="AG38" s="41">
        <v>3.0</v>
      </c>
      <c r="AI38" s="30" t="s">
        <v>385</v>
      </c>
    </row>
    <row r="39" ht="14.25" customHeight="1">
      <c r="B39" s="49" t="s">
        <v>274</v>
      </c>
      <c r="C39" s="49" t="s">
        <v>276</v>
      </c>
      <c r="D39" s="30" t="s">
        <v>323</v>
      </c>
      <c r="E39" s="33">
        <f t="shared" si="1"/>
        <v>0.83</v>
      </c>
      <c r="F39" s="34">
        <f t="shared" si="2"/>
        <v>0</v>
      </c>
      <c r="G39" s="34">
        <f t="shared" si="3"/>
        <v>0</v>
      </c>
      <c r="H39" s="34">
        <f t="shared" si="4"/>
        <v>0</v>
      </c>
      <c r="I39" s="34">
        <f t="shared" si="5"/>
        <v>0</v>
      </c>
      <c r="J39" s="34">
        <f t="shared" si="6"/>
        <v>8.333333333</v>
      </c>
      <c r="K39" s="32"/>
      <c r="L39" s="32"/>
      <c r="M39" s="32"/>
      <c r="N39" s="32"/>
      <c r="P39" s="32"/>
      <c r="Q39" s="32"/>
      <c r="R39" s="32"/>
      <c r="S39" s="32"/>
      <c r="U39" s="32"/>
      <c r="V39" s="32"/>
      <c r="W39" s="32"/>
      <c r="X39" s="32"/>
      <c r="Y39" s="32"/>
      <c r="Z39" s="32"/>
      <c r="AB39" s="32"/>
      <c r="AC39" s="32"/>
      <c r="AD39" s="32"/>
      <c r="AE39" s="32"/>
      <c r="AF39" s="41">
        <v>2.0</v>
      </c>
      <c r="AG39" s="41">
        <v>3.0</v>
      </c>
      <c r="AI39" s="30" t="s">
        <v>393</v>
      </c>
    </row>
    <row r="40" ht="14.25" customHeight="1">
      <c r="B40" s="49" t="s">
        <v>284</v>
      </c>
      <c r="C40" s="49" t="s">
        <v>285</v>
      </c>
      <c r="D40" s="30" t="s">
        <v>252</v>
      </c>
      <c r="E40" s="33">
        <f t="shared" si="1"/>
        <v>0.67</v>
      </c>
      <c r="F40" s="34">
        <f t="shared" si="2"/>
        <v>0</v>
      </c>
      <c r="G40" s="34">
        <f t="shared" si="3"/>
        <v>0</v>
      </c>
      <c r="H40" s="34">
        <f t="shared" si="4"/>
        <v>0</v>
      </c>
      <c r="I40" s="34">
        <f t="shared" si="5"/>
        <v>0</v>
      </c>
      <c r="J40" s="34">
        <f t="shared" si="6"/>
        <v>6.666666667</v>
      </c>
      <c r="K40" s="32"/>
      <c r="L40" s="32"/>
      <c r="M40" s="32"/>
      <c r="N40" s="32"/>
      <c r="P40" s="32"/>
      <c r="Q40" s="32"/>
      <c r="R40" s="32"/>
      <c r="S40" s="32"/>
      <c r="U40" s="32"/>
      <c r="V40" s="32"/>
      <c r="W40" s="32"/>
      <c r="X40" s="32"/>
      <c r="Y40" s="32"/>
      <c r="Z40" s="32"/>
      <c r="AB40" s="32"/>
      <c r="AC40" s="32"/>
      <c r="AD40" s="32"/>
      <c r="AE40" s="32"/>
      <c r="AF40" s="41">
        <v>2.0</v>
      </c>
      <c r="AG40" s="41">
        <v>2.0</v>
      </c>
      <c r="AI40" s="30" t="s">
        <v>397</v>
      </c>
    </row>
    <row r="41" ht="14.25" customHeight="1">
      <c r="B41" s="49" t="s">
        <v>290</v>
      </c>
      <c r="C41" s="49" t="s">
        <v>291</v>
      </c>
      <c r="D41" s="30" t="s">
        <v>252</v>
      </c>
      <c r="E41" s="33">
        <f t="shared" si="1"/>
        <v>0.83</v>
      </c>
      <c r="F41" s="34">
        <f t="shared" si="2"/>
        <v>0</v>
      </c>
      <c r="G41" s="34">
        <f t="shared" si="3"/>
        <v>0</v>
      </c>
      <c r="H41" s="34">
        <f t="shared" si="4"/>
        <v>0</v>
      </c>
      <c r="I41" s="34">
        <f t="shared" si="5"/>
        <v>0</v>
      </c>
      <c r="J41" s="34">
        <f t="shared" si="6"/>
        <v>8.333333333</v>
      </c>
      <c r="K41" s="32"/>
      <c r="L41" s="32"/>
      <c r="M41" s="32"/>
      <c r="N41" s="32"/>
      <c r="P41" s="32"/>
      <c r="Q41" s="32"/>
      <c r="R41" s="32"/>
      <c r="S41" s="32"/>
      <c r="U41" s="32"/>
      <c r="V41" s="32"/>
      <c r="W41" s="32"/>
      <c r="X41" s="32"/>
      <c r="Y41" s="32"/>
      <c r="Z41" s="32"/>
      <c r="AB41" s="32"/>
      <c r="AC41" s="32"/>
      <c r="AD41" s="32"/>
      <c r="AE41" s="32"/>
      <c r="AF41" s="41">
        <v>3.0</v>
      </c>
      <c r="AG41" s="41">
        <v>2.0</v>
      </c>
      <c r="AI41" s="30" t="s">
        <v>398</v>
      </c>
    </row>
    <row r="42" ht="14.25" customHeight="1">
      <c r="B42" s="49" t="s">
        <v>298</v>
      </c>
      <c r="C42" s="49" t="s">
        <v>299</v>
      </c>
      <c r="D42" s="30" t="s">
        <v>252</v>
      </c>
      <c r="E42" s="33">
        <f t="shared" si="1"/>
        <v>0.67</v>
      </c>
      <c r="F42" s="34">
        <f t="shared" si="2"/>
        <v>0</v>
      </c>
      <c r="G42" s="34">
        <f t="shared" si="3"/>
        <v>0</v>
      </c>
      <c r="H42" s="34">
        <f t="shared" si="4"/>
        <v>0</v>
      </c>
      <c r="I42" s="34">
        <f t="shared" si="5"/>
        <v>0</v>
      </c>
      <c r="J42" s="34">
        <f t="shared" si="6"/>
        <v>6.666666667</v>
      </c>
      <c r="K42" s="32"/>
      <c r="L42" s="32"/>
      <c r="M42" s="32"/>
      <c r="N42" s="32"/>
      <c r="P42" s="32"/>
      <c r="Q42" s="32"/>
      <c r="R42" s="32"/>
      <c r="S42" s="32"/>
      <c r="U42" s="32"/>
      <c r="V42" s="32"/>
      <c r="W42" s="32"/>
      <c r="X42" s="32"/>
      <c r="Y42" s="32"/>
      <c r="Z42" s="32"/>
      <c r="AB42" s="32"/>
      <c r="AC42" s="32"/>
      <c r="AD42" s="32"/>
      <c r="AE42" s="32"/>
      <c r="AF42" s="41">
        <v>2.0</v>
      </c>
      <c r="AG42" s="41">
        <v>2.0</v>
      </c>
      <c r="AI42" s="30" t="s">
        <v>399</v>
      </c>
    </row>
    <row r="43" ht="14.25" customHeight="1">
      <c r="B43" s="49" t="s">
        <v>303</v>
      </c>
      <c r="C43" s="49" t="s">
        <v>304</v>
      </c>
      <c r="D43" s="30" t="s">
        <v>252</v>
      </c>
      <c r="E43" s="33">
        <f t="shared" si="1"/>
        <v>0.67</v>
      </c>
      <c r="F43" s="34">
        <f t="shared" si="2"/>
        <v>0</v>
      </c>
      <c r="G43" s="34">
        <f t="shared" si="3"/>
        <v>0</v>
      </c>
      <c r="H43" s="34">
        <f t="shared" si="4"/>
        <v>0</v>
      </c>
      <c r="I43" s="34">
        <f t="shared" si="5"/>
        <v>0</v>
      </c>
      <c r="J43" s="34">
        <f t="shared" si="6"/>
        <v>6.666666667</v>
      </c>
      <c r="K43" s="32"/>
      <c r="L43" s="32"/>
      <c r="M43" s="32"/>
      <c r="N43" s="32"/>
      <c r="P43" s="32"/>
      <c r="Q43" s="32"/>
      <c r="R43" s="32"/>
      <c r="S43" s="32"/>
      <c r="U43" s="32"/>
      <c r="V43" s="32"/>
      <c r="W43" s="32"/>
      <c r="X43" s="32"/>
      <c r="Y43" s="32"/>
      <c r="Z43" s="32"/>
      <c r="AB43" s="32"/>
      <c r="AC43" s="32"/>
      <c r="AD43" s="32"/>
      <c r="AE43" s="32"/>
      <c r="AF43" s="41">
        <v>2.0</v>
      </c>
      <c r="AG43" s="41">
        <v>2.0</v>
      </c>
      <c r="AI43" s="30" t="s">
        <v>400</v>
      </c>
    </row>
    <row r="44" ht="14.25" customHeight="1">
      <c r="B44" s="49" t="s">
        <v>306</v>
      </c>
      <c r="C44" s="49" t="s">
        <v>307</v>
      </c>
      <c r="D44" s="30" t="s">
        <v>252</v>
      </c>
      <c r="E44" s="33">
        <f t="shared" si="1"/>
        <v>0.5</v>
      </c>
      <c r="F44" s="34">
        <f t="shared" si="2"/>
        <v>0</v>
      </c>
      <c r="G44" s="34">
        <f t="shared" si="3"/>
        <v>0</v>
      </c>
      <c r="H44" s="34">
        <f t="shared" si="4"/>
        <v>0</v>
      </c>
      <c r="I44" s="34">
        <f t="shared" si="5"/>
        <v>0</v>
      </c>
      <c r="J44" s="34">
        <f t="shared" si="6"/>
        <v>5</v>
      </c>
      <c r="K44" s="32"/>
      <c r="L44" s="32"/>
      <c r="M44" s="32"/>
      <c r="N44" s="32"/>
      <c r="P44" s="32"/>
      <c r="Q44" s="32"/>
      <c r="R44" s="32"/>
      <c r="S44" s="32"/>
      <c r="U44" s="32"/>
      <c r="V44" s="32"/>
      <c r="W44" s="32"/>
      <c r="X44" s="32"/>
      <c r="Y44" s="32"/>
      <c r="Z44" s="32"/>
      <c r="AB44" s="32"/>
      <c r="AC44" s="32"/>
      <c r="AD44" s="32"/>
      <c r="AE44" s="32"/>
      <c r="AF44" s="41">
        <v>2.0</v>
      </c>
      <c r="AG44" s="41">
        <v>1.0</v>
      </c>
      <c r="AI44" s="30" t="s">
        <v>401</v>
      </c>
    </row>
    <row r="45" ht="14.25" customHeight="1">
      <c r="B45" s="49" t="s">
        <v>309</v>
      </c>
      <c r="C45" s="49" t="s">
        <v>310</v>
      </c>
      <c r="D45" s="30" t="s">
        <v>252</v>
      </c>
      <c r="E45" s="33">
        <f t="shared" si="1"/>
        <v>0.5</v>
      </c>
      <c r="F45" s="34">
        <f t="shared" si="2"/>
        <v>0</v>
      </c>
      <c r="G45" s="34">
        <f t="shared" si="3"/>
        <v>0</v>
      </c>
      <c r="H45" s="34">
        <f t="shared" si="4"/>
        <v>0</v>
      </c>
      <c r="I45" s="34">
        <f t="shared" si="5"/>
        <v>0</v>
      </c>
      <c r="J45" s="34">
        <f t="shared" si="6"/>
        <v>5</v>
      </c>
      <c r="K45" s="32"/>
      <c r="L45" s="32"/>
      <c r="M45" s="32"/>
      <c r="N45" s="32"/>
      <c r="P45" s="32"/>
      <c r="Q45" s="32"/>
      <c r="R45" s="32"/>
      <c r="S45" s="32"/>
      <c r="U45" s="32"/>
      <c r="V45" s="32"/>
      <c r="W45" s="32"/>
      <c r="X45" s="32"/>
      <c r="Y45" s="32"/>
      <c r="Z45" s="32"/>
      <c r="AB45" s="32"/>
      <c r="AC45" s="32"/>
      <c r="AD45" s="32"/>
      <c r="AE45" s="32"/>
      <c r="AF45" s="41">
        <v>2.0</v>
      </c>
      <c r="AG45" s="41">
        <v>1.0</v>
      </c>
      <c r="AI45" s="30" t="s">
        <v>402</v>
      </c>
    </row>
    <row r="46" ht="14.25" customHeight="1">
      <c r="B46" s="49" t="s">
        <v>312</v>
      </c>
      <c r="C46" s="49" t="s">
        <v>313</v>
      </c>
      <c r="D46" s="30" t="s">
        <v>323</v>
      </c>
      <c r="E46" s="33">
        <f t="shared" si="1"/>
        <v>0.17</v>
      </c>
      <c r="F46" s="34">
        <f t="shared" si="2"/>
        <v>0</v>
      </c>
      <c r="G46" s="34">
        <f t="shared" si="3"/>
        <v>0</v>
      </c>
      <c r="H46" s="34">
        <f t="shared" si="4"/>
        <v>0</v>
      </c>
      <c r="I46" s="34">
        <f t="shared" si="5"/>
        <v>0</v>
      </c>
      <c r="J46" s="34">
        <f t="shared" si="6"/>
        <v>1.666666667</v>
      </c>
      <c r="K46" s="32"/>
      <c r="L46" s="32"/>
      <c r="M46" s="32"/>
      <c r="N46" s="32"/>
      <c r="P46" s="32"/>
      <c r="Q46" s="32"/>
      <c r="R46" s="32"/>
      <c r="S46" s="32"/>
      <c r="U46" s="32"/>
      <c r="V46" s="32"/>
      <c r="W46" s="32"/>
      <c r="X46" s="32"/>
      <c r="Y46" s="32"/>
      <c r="Z46" s="32"/>
      <c r="AB46" s="32"/>
      <c r="AC46" s="32"/>
      <c r="AD46" s="32"/>
      <c r="AE46" s="32"/>
      <c r="AF46" s="41">
        <v>0.0</v>
      </c>
      <c r="AG46" s="41">
        <v>1.0</v>
      </c>
      <c r="AI46" s="30" t="s">
        <v>403</v>
      </c>
    </row>
    <row r="47" ht="14.25" customHeight="1">
      <c r="B47" s="49" t="s">
        <v>315</v>
      </c>
      <c r="C47" s="49" t="s">
        <v>316</v>
      </c>
      <c r="D47" s="30" t="s">
        <v>252</v>
      </c>
      <c r="E47" s="33">
        <f t="shared" si="1"/>
        <v>0.5</v>
      </c>
      <c r="F47" s="34">
        <f t="shared" si="2"/>
        <v>0</v>
      </c>
      <c r="G47" s="34">
        <f t="shared" si="3"/>
        <v>0</v>
      </c>
      <c r="H47" s="34">
        <f t="shared" si="4"/>
        <v>0</v>
      </c>
      <c r="I47" s="34">
        <f t="shared" si="5"/>
        <v>0</v>
      </c>
      <c r="J47" s="34">
        <f t="shared" si="6"/>
        <v>5</v>
      </c>
      <c r="K47" s="32"/>
      <c r="L47" s="32"/>
      <c r="M47" s="32"/>
      <c r="N47" s="32"/>
      <c r="P47" s="32"/>
      <c r="Q47" s="32"/>
      <c r="R47" s="32"/>
      <c r="S47" s="32"/>
      <c r="U47" s="32"/>
      <c r="V47" s="32"/>
      <c r="W47" s="32"/>
      <c r="X47" s="32"/>
      <c r="Y47" s="32"/>
      <c r="Z47" s="32"/>
      <c r="AB47" s="32"/>
      <c r="AC47" s="32"/>
      <c r="AD47" s="32"/>
      <c r="AE47" s="32"/>
      <c r="AF47" s="41">
        <v>2.0</v>
      </c>
      <c r="AG47" s="41">
        <v>1.0</v>
      </c>
      <c r="AI47" s="30" t="s">
        <v>404</v>
      </c>
    </row>
    <row r="48" ht="14.25" customHeight="1">
      <c r="B48" s="49" t="s">
        <v>318</v>
      </c>
      <c r="C48" s="49" t="s">
        <v>319</v>
      </c>
      <c r="D48" s="30" t="s">
        <v>323</v>
      </c>
      <c r="E48" s="33">
        <f t="shared" si="1"/>
        <v>0.5</v>
      </c>
      <c r="F48" s="34">
        <f t="shared" si="2"/>
        <v>0</v>
      </c>
      <c r="G48" s="34">
        <f t="shared" si="3"/>
        <v>0</v>
      </c>
      <c r="H48" s="34">
        <f t="shared" si="4"/>
        <v>0</v>
      </c>
      <c r="I48" s="34">
        <f t="shared" si="5"/>
        <v>0</v>
      </c>
      <c r="J48" s="34">
        <f t="shared" si="6"/>
        <v>5</v>
      </c>
      <c r="K48" s="32"/>
      <c r="L48" s="32"/>
      <c r="M48" s="32"/>
      <c r="N48" s="32"/>
      <c r="P48" s="32"/>
      <c r="Q48" s="32"/>
      <c r="R48" s="32"/>
      <c r="S48" s="32"/>
      <c r="U48" s="32"/>
      <c r="V48" s="32"/>
      <c r="W48" s="32"/>
      <c r="X48" s="32"/>
      <c r="Y48" s="32"/>
      <c r="Z48" s="32"/>
      <c r="AB48" s="32"/>
      <c r="AC48" s="32"/>
      <c r="AD48" s="32"/>
      <c r="AE48" s="32"/>
      <c r="AF48" s="41">
        <v>2.0</v>
      </c>
      <c r="AG48" s="41">
        <v>1.0</v>
      </c>
      <c r="AI48" s="30" t="s">
        <v>405</v>
      </c>
    </row>
    <row r="49" ht="14.25" customHeight="1">
      <c r="B49" s="49" t="s">
        <v>321</v>
      </c>
      <c r="C49" s="49" t="s">
        <v>322</v>
      </c>
      <c r="D49" s="30" t="s">
        <v>326</v>
      </c>
      <c r="E49" s="33">
        <f t="shared" si="1"/>
        <v>1</v>
      </c>
      <c r="F49" s="34">
        <f t="shared" si="2"/>
        <v>0</v>
      </c>
      <c r="G49" s="34">
        <f t="shared" si="3"/>
        <v>0</v>
      </c>
      <c r="H49" s="34">
        <f t="shared" si="4"/>
        <v>0</v>
      </c>
      <c r="I49" s="34">
        <f t="shared" si="5"/>
        <v>0</v>
      </c>
      <c r="J49" s="34">
        <f t="shared" si="6"/>
        <v>10</v>
      </c>
      <c r="K49" s="32"/>
      <c r="L49" s="32"/>
      <c r="M49" s="32"/>
      <c r="N49" s="32"/>
      <c r="P49" s="32"/>
      <c r="Q49" s="32"/>
      <c r="R49" s="32"/>
      <c r="S49" s="32"/>
      <c r="U49" s="32"/>
      <c r="V49" s="32"/>
      <c r="W49" s="32"/>
      <c r="X49" s="32"/>
      <c r="Y49" s="32"/>
      <c r="Z49" s="32"/>
      <c r="AB49" s="32"/>
      <c r="AC49" s="32"/>
      <c r="AD49" s="32"/>
      <c r="AE49" s="32"/>
      <c r="AF49" s="41">
        <v>3.0</v>
      </c>
      <c r="AG49" s="41">
        <v>3.0</v>
      </c>
      <c r="AI49" s="30" t="s">
        <v>406</v>
      </c>
    </row>
    <row r="50" ht="14.25" customHeight="1">
      <c r="E50" s="33" t="str">
        <f t="shared" si="1"/>
        <v/>
      </c>
      <c r="F50" s="34" t="str">
        <f t="shared" si="2"/>
        <v/>
      </c>
      <c r="G50" s="34" t="str">
        <f t="shared" si="3"/>
        <v/>
      </c>
      <c r="H50" s="34" t="str">
        <f t="shared" si="4"/>
        <v/>
      </c>
      <c r="I50" s="34" t="str">
        <f t="shared" si="5"/>
        <v/>
      </c>
      <c r="J50" s="34" t="str">
        <f t="shared" si="6"/>
        <v/>
      </c>
      <c r="K50" s="32"/>
      <c r="L50" s="32"/>
      <c r="M50" s="32"/>
      <c r="N50" s="32"/>
      <c r="P50" s="32"/>
      <c r="Q50" s="32"/>
      <c r="R50" s="32"/>
      <c r="S50" s="32"/>
      <c r="U50" s="32"/>
      <c r="V50" s="32"/>
      <c r="W50" s="32"/>
      <c r="X50" s="32"/>
      <c r="Y50" s="32"/>
      <c r="Z50" s="32"/>
      <c r="AB50" s="32"/>
      <c r="AC50" s="32"/>
      <c r="AD50" s="32"/>
      <c r="AE50" s="32"/>
      <c r="AF50" s="32"/>
      <c r="AG50" s="32"/>
    </row>
    <row r="51" ht="14.25" customHeight="1">
      <c r="E51" s="33" t="str">
        <f t="shared" si="1"/>
        <v/>
      </c>
      <c r="F51" s="34" t="str">
        <f t="shared" si="2"/>
        <v/>
      </c>
      <c r="G51" s="34" t="str">
        <f t="shared" si="3"/>
        <v/>
      </c>
      <c r="H51" s="34" t="str">
        <f t="shared" si="4"/>
        <v/>
      </c>
      <c r="I51" s="34" t="str">
        <f t="shared" si="5"/>
        <v/>
      </c>
      <c r="J51" s="34" t="str">
        <f t="shared" si="6"/>
        <v/>
      </c>
      <c r="K51" s="32"/>
      <c r="L51" s="32"/>
      <c r="M51" s="32"/>
      <c r="N51" s="32"/>
      <c r="P51" s="32"/>
      <c r="Q51" s="32"/>
      <c r="R51" s="32"/>
      <c r="S51" s="32"/>
      <c r="U51" s="32"/>
      <c r="V51" s="32"/>
      <c r="W51" s="32"/>
      <c r="X51" s="32"/>
      <c r="Y51" s="32"/>
      <c r="Z51" s="32"/>
      <c r="AB51" s="32"/>
      <c r="AC51" s="32"/>
      <c r="AD51" s="32"/>
      <c r="AE51" s="32"/>
      <c r="AF51" s="32"/>
      <c r="AG51" s="32"/>
    </row>
    <row r="52" ht="14.25" customHeight="1">
      <c r="E52" s="33" t="str">
        <f t="shared" si="1"/>
        <v/>
      </c>
      <c r="F52" s="34" t="str">
        <f t="shared" si="2"/>
        <v/>
      </c>
      <c r="G52" s="34" t="str">
        <f t="shared" si="3"/>
        <v/>
      </c>
      <c r="H52" s="34" t="str">
        <f t="shared" si="4"/>
        <v/>
      </c>
      <c r="I52" s="34" t="str">
        <f t="shared" si="5"/>
        <v/>
      </c>
      <c r="J52" s="34" t="str">
        <f t="shared" si="6"/>
        <v/>
      </c>
      <c r="K52" s="32"/>
      <c r="L52" s="32"/>
      <c r="M52" s="32"/>
      <c r="N52" s="32"/>
      <c r="P52" s="32"/>
      <c r="Q52" s="32"/>
      <c r="R52" s="32"/>
      <c r="S52" s="32"/>
      <c r="U52" s="32"/>
      <c r="V52" s="32"/>
      <c r="W52" s="32"/>
      <c r="X52" s="32"/>
      <c r="Y52" s="32"/>
      <c r="Z52" s="32"/>
      <c r="AB52" s="32"/>
      <c r="AC52" s="32"/>
      <c r="AD52" s="32"/>
      <c r="AE52" s="32"/>
      <c r="AF52" s="32"/>
      <c r="AG52" s="32"/>
    </row>
    <row r="53" ht="14.25" customHeight="1">
      <c r="E53" s="33" t="str">
        <f t="shared" si="1"/>
        <v/>
      </c>
      <c r="F53" s="34" t="str">
        <f t="shared" si="2"/>
        <v/>
      </c>
      <c r="G53" s="34" t="str">
        <f t="shared" si="3"/>
        <v/>
      </c>
      <c r="H53" s="34" t="str">
        <f t="shared" si="4"/>
        <v/>
      </c>
      <c r="I53" s="34" t="str">
        <f t="shared" si="5"/>
        <v/>
      </c>
      <c r="J53" s="34" t="str">
        <f t="shared" si="6"/>
        <v/>
      </c>
      <c r="K53" s="32"/>
      <c r="L53" s="32"/>
      <c r="M53" s="32"/>
      <c r="N53" s="32"/>
      <c r="P53" s="32"/>
      <c r="Q53" s="32"/>
      <c r="R53" s="32"/>
      <c r="S53" s="32"/>
      <c r="U53" s="32"/>
      <c r="V53" s="32"/>
      <c r="W53" s="32"/>
      <c r="X53" s="32"/>
      <c r="Y53" s="32"/>
      <c r="Z53" s="32"/>
      <c r="AB53" s="32"/>
      <c r="AC53" s="32"/>
      <c r="AD53" s="32"/>
      <c r="AE53" s="32"/>
      <c r="AF53" s="32"/>
      <c r="AG53" s="32"/>
    </row>
    <row r="54" ht="14.25" customHeight="1">
      <c r="E54" s="33" t="str">
        <f t="shared" si="1"/>
        <v/>
      </c>
      <c r="F54" s="34" t="str">
        <f t="shared" si="2"/>
        <v/>
      </c>
      <c r="G54" s="34" t="str">
        <f t="shared" si="3"/>
        <v/>
      </c>
      <c r="H54" s="34" t="str">
        <f t="shared" si="4"/>
        <v/>
      </c>
      <c r="I54" s="34" t="str">
        <f t="shared" si="5"/>
        <v/>
      </c>
      <c r="J54" s="34" t="str">
        <f t="shared" si="6"/>
        <v/>
      </c>
      <c r="K54" s="32"/>
      <c r="L54" s="32"/>
      <c r="M54" s="32"/>
      <c r="N54" s="32"/>
      <c r="P54" s="32"/>
      <c r="Q54" s="32"/>
      <c r="R54" s="32"/>
      <c r="S54" s="32"/>
      <c r="U54" s="32"/>
      <c r="V54" s="32"/>
      <c r="W54" s="32"/>
      <c r="X54" s="32"/>
      <c r="Y54" s="32"/>
      <c r="Z54" s="32"/>
      <c r="AB54" s="32"/>
      <c r="AC54" s="32"/>
      <c r="AD54" s="32"/>
      <c r="AE54" s="32"/>
      <c r="AF54" s="32"/>
      <c r="AG54" s="32"/>
    </row>
    <row r="55" ht="14.25" customHeight="1">
      <c r="E55" s="33" t="str">
        <f t="shared" si="1"/>
        <v/>
      </c>
      <c r="F55" s="34" t="str">
        <f t="shared" si="2"/>
        <v/>
      </c>
      <c r="G55" s="34" t="str">
        <f t="shared" si="3"/>
        <v/>
      </c>
      <c r="H55" s="34" t="str">
        <f t="shared" si="4"/>
        <v/>
      </c>
      <c r="I55" s="34" t="str">
        <f t="shared" si="5"/>
        <v/>
      </c>
      <c r="J55" s="34" t="str">
        <f t="shared" si="6"/>
        <v/>
      </c>
      <c r="K55" s="32"/>
      <c r="L55" s="32"/>
      <c r="M55" s="32"/>
      <c r="N55" s="32"/>
      <c r="P55" s="32"/>
      <c r="Q55" s="32"/>
      <c r="R55" s="32"/>
      <c r="S55" s="32"/>
      <c r="U55" s="32"/>
      <c r="V55" s="32"/>
      <c r="W55" s="32"/>
      <c r="X55" s="32"/>
      <c r="Y55" s="32"/>
      <c r="Z55" s="32"/>
      <c r="AB55" s="32"/>
      <c r="AC55" s="32"/>
      <c r="AD55" s="32"/>
      <c r="AE55" s="32"/>
      <c r="AF55" s="32"/>
      <c r="AG55" s="32"/>
    </row>
    <row r="56" ht="14.25" customHeight="1">
      <c r="E56" s="33" t="str">
        <f t="shared" si="1"/>
        <v/>
      </c>
      <c r="F56" s="34" t="str">
        <f t="shared" si="2"/>
        <v/>
      </c>
      <c r="G56" s="34" t="str">
        <f t="shared" si="3"/>
        <v/>
      </c>
      <c r="H56" s="34" t="str">
        <f t="shared" si="4"/>
        <v/>
      </c>
      <c r="I56" s="34" t="str">
        <f t="shared" si="5"/>
        <v/>
      </c>
      <c r="J56" s="34" t="str">
        <f t="shared" si="6"/>
        <v/>
      </c>
      <c r="K56" s="32"/>
      <c r="L56" s="32"/>
      <c r="M56" s="32"/>
      <c r="N56" s="32"/>
      <c r="P56" s="32"/>
      <c r="Q56" s="32"/>
      <c r="R56" s="32"/>
      <c r="S56" s="32"/>
      <c r="U56" s="32"/>
      <c r="V56" s="32"/>
      <c r="W56" s="32"/>
      <c r="X56" s="32"/>
      <c r="Y56" s="32"/>
      <c r="Z56" s="32"/>
      <c r="AB56" s="32"/>
      <c r="AC56" s="32"/>
      <c r="AD56" s="32"/>
      <c r="AE56" s="32"/>
      <c r="AF56" s="32"/>
      <c r="AG56" s="32"/>
    </row>
    <row r="57" ht="14.25" customHeight="1">
      <c r="E57" s="33" t="str">
        <f t="shared" si="1"/>
        <v/>
      </c>
      <c r="F57" s="34" t="str">
        <f t="shared" si="2"/>
        <v/>
      </c>
      <c r="G57" s="34" t="str">
        <f t="shared" si="3"/>
        <v/>
      </c>
      <c r="H57" s="34" t="str">
        <f t="shared" si="4"/>
        <v/>
      </c>
      <c r="I57" s="34" t="str">
        <f t="shared" si="5"/>
        <v/>
      </c>
      <c r="J57" s="34" t="str">
        <f t="shared" si="6"/>
        <v/>
      </c>
      <c r="K57" s="32"/>
      <c r="L57" s="32"/>
      <c r="M57" s="32"/>
      <c r="N57" s="32"/>
      <c r="P57" s="32"/>
      <c r="Q57" s="32"/>
      <c r="R57" s="32"/>
      <c r="S57" s="32"/>
      <c r="U57" s="32"/>
      <c r="V57" s="32"/>
      <c r="W57" s="32"/>
      <c r="X57" s="32"/>
      <c r="Y57" s="32"/>
      <c r="Z57" s="32"/>
      <c r="AB57" s="32"/>
      <c r="AC57" s="32"/>
      <c r="AD57" s="32"/>
      <c r="AE57" s="32"/>
      <c r="AF57" s="32"/>
      <c r="AG57" s="32"/>
    </row>
    <row r="58" ht="14.25" customHeight="1">
      <c r="E58" s="33" t="str">
        <f t="shared" si="1"/>
        <v/>
      </c>
      <c r="F58" s="34" t="str">
        <f t="shared" si="2"/>
        <v/>
      </c>
      <c r="G58" s="34" t="str">
        <f t="shared" si="3"/>
        <v/>
      </c>
      <c r="H58" s="34" t="str">
        <f t="shared" si="4"/>
        <v/>
      </c>
      <c r="I58" s="34" t="str">
        <f t="shared" si="5"/>
        <v/>
      </c>
      <c r="J58" s="34" t="str">
        <f t="shared" si="6"/>
        <v/>
      </c>
      <c r="K58" s="32"/>
      <c r="L58" s="32"/>
      <c r="M58" s="32"/>
      <c r="N58" s="32"/>
      <c r="P58" s="32"/>
      <c r="Q58" s="32"/>
      <c r="R58" s="32"/>
      <c r="S58" s="32"/>
      <c r="U58" s="32"/>
      <c r="V58" s="32"/>
      <c r="W58" s="32"/>
      <c r="X58" s="32"/>
      <c r="Y58" s="32"/>
      <c r="Z58" s="32"/>
      <c r="AB58" s="32"/>
      <c r="AC58" s="32"/>
      <c r="AD58" s="32"/>
      <c r="AE58" s="32"/>
      <c r="AF58" s="32"/>
      <c r="AG58" s="32"/>
    </row>
    <row r="59" ht="14.25" customHeight="1">
      <c r="E59" s="33" t="str">
        <f t="shared" si="1"/>
        <v/>
      </c>
      <c r="F59" s="34" t="str">
        <f t="shared" si="2"/>
        <v/>
      </c>
      <c r="G59" s="34" t="str">
        <f t="shared" si="3"/>
        <v/>
      </c>
      <c r="H59" s="34" t="str">
        <f t="shared" si="4"/>
        <v/>
      </c>
      <c r="I59" s="34" t="str">
        <f t="shared" si="5"/>
        <v/>
      </c>
      <c r="J59" s="34" t="str">
        <f t="shared" si="6"/>
        <v/>
      </c>
      <c r="K59" s="32"/>
      <c r="L59" s="32"/>
      <c r="M59" s="32"/>
      <c r="N59" s="32"/>
      <c r="P59" s="32"/>
      <c r="Q59" s="32"/>
      <c r="R59" s="32"/>
      <c r="S59" s="32"/>
      <c r="U59" s="32"/>
      <c r="V59" s="32"/>
      <c r="W59" s="32"/>
      <c r="X59" s="32"/>
      <c r="Y59" s="32"/>
      <c r="Z59" s="32"/>
      <c r="AB59" s="32"/>
      <c r="AC59" s="32"/>
      <c r="AD59" s="32"/>
      <c r="AE59" s="32"/>
      <c r="AF59" s="32"/>
      <c r="AG59" s="32"/>
    </row>
    <row r="60" ht="14.25" customHeight="1">
      <c r="E60" s="33" t="str">
        <f t="shared" si="1"/>
        <v/>
      </c>
      <c r="F60" s="34" t="str">
        <f t="shared" si="2"/>
        <v/>
      </c>
      <c r="G60" s="34" t="str">
        <f t="shared" si="3"/>
        <v/>
      </c>
      <c r="H60" s="34" t="str">
        <f t="shared" si="4"/>
        <v/>
      </c>
      <c r="I60" s="34" t="str">
        <f t="shared" si="5"/>
        <v/>
      </c>
      <c r="J60" s="34" t="str">
        <f t="shared" si="6"/>
        <v/>
      </c>
      <c r="K60" s="32"/>
      <c r="L60" s="32"/>
      <c r="M60" s="32"/>
      <c r="N60" s="32"/>
      <c r="P60" s="32"/>
      <c r="Q60" s="32"/>
      <c r="R60" s="32"/>
      <c r="S60" s="32"/>
      <c r="U60" s="32"/>
      <c r="V60" s="32"/>
      <c r="W60" s="32"/>
      <c r="X60" s="32"/>
      <c r="Y60" s="32"/>
      <c r="Z60" s="32"/>
      <c r="AB60" s="32"/>
      <c r="AC60" s="32"/>
      <c r="AD60" s="32"/>
      <c r="AE60" s="32"/>
      <c r="AF60" s="32"/>
      <c r="AG60" s="32"/>
    </row>
    <row r="61" ht="14.25" customHeight="1">
      <c r="E61" s="33" t="str">
        <f t="shared" si="1"/>
        <v/>
      </c>
      <c r="F61" s="34" t="str">
        <f t="shared" si="2"/>
        <v/>
      </c>
      <c r="G61" s="34" t="str">
        <f t="shared" si="3"/>
        <v/>
      </c>
      <c r="H61" s="34" t="str">
        <f t="shared" si="4"/>
        <v/>
      </c>
      <c r="I61" s="34" t="str">
        <f t="shared" si="5"/>
        <v/>
      </c>
      <c r="J61" s="34" t="str">
        <f t="shared" si="6"/>
        <v/>
      </c>
      <c r="K61" s="32"/>
      <c r="L61" s="32"/>
      <c r="M61" s="32"/>
      <c r="N61" s="32"/>
      <c r="P61" s="32"/>
      <c r="Q61" s="32"/>
      <c r="R61" s="32"/>
      <c r="S61" s="32"/>
      <c r="U61" s="32"/>
      <c r="V61" s="32"/>
      <c r="W61" s="32"/>
      <c r="X61" s="32"/>
      <c r="Y61" s="32"/>
      <c r="Z61" s="32"/>
      <c r="AB61" s="32"/>
      <c r="AC61" s="32"/>
      <c r="AD61" s="32"/>
      <c r="AE61" s="32"/>
      <c r="AF61" s="32"/>
      <c r="AG61" s="32"/>
    </row>
    <row r="62" ht="14.25" customHeight="1">
      <c r="E62" s="33" t="str">
        <f t="shared" si="1"/>
        <v/>
      </c>
      <c r="F62" s="34" t="str">
        <f t="shared" si="2"/>
        <v/>
      </c>
      <c r="G62" s="34" t="str">
        <f t="shared" si="3"/>
        <v/>
      </c>
      <c r="H62" s="34" t="str">
        <f t="shared" si="4"/>
        <v/>
      </c>
      <c r="I62" s="34" t="str">
        <f t="shared" si="5"/>
        <v/>
      </c>
      <c r="J62" s="34" t="str">
        <f t="shared" si="6"/>
        <v/>
      </c>
      <c r="K62" s="32"/>
      <c r="L62" s="32"/>
      <c r="M62" s="32"/>
      <c r="N62" s="32"/>
      <c r="P62" s="32"/>
      <c r="Q62" s="32"/>
      <c r="R62" s="32"/>
      <c r="S62" s="32"/>
      <c r="U62" s="32"/>
      <c r="V62" s="32"/>
      <c r="W62" s="32"/>
      <c r="X62" s="32"/>
      <c r="Y62" s="32"/>
      <c r="Z62" s="32"/>
      <c r="AB62" s="32"/>
      <c r="AC62" s="32"/>
      <c r="AD62" s="32"/>
      <c r="AE62" s="32"/>
      <c r="AF62" s="32"/>
      <c r="AG62" s="32"/>
    </row>
    <row r="63" ht="14.25" customHeight="1">
      <c r="E63" s="33" t="str">
        <f t="shared" si="1"/>
        <v/>
      </c>
      <c r="F63" s="34" t="str">
        <f t="shared" si="2"/>
        <v/>
      </c>
      <c r="G63" s="34" t="str">
        <f t="shared" si="3"/>
        <v/>
      </c>
      <c r="H63" s="34" t="str">
        <f t="shared" si="4"/>
        <v/>
      </c>
      <c r="I63" s="34" t="str">
        <f t="shared" si="5"/>
        <v/>
      </c>
      <c r="J63" s="34" t="str">
        <f t="shared" si="6"/>
        <v/>
      </c>
      <c r="K63" s="32"/>
      <c r="L63" s="32"/>
      <c r="M63" s="32"/>
      <c r="N63" s="32"/>
      <c r="P63" s="32"/>
      <c r="Q63" s="32"/>
      <c r="R63" s="32"/>
      <c r="S63" s="32"/>
      <c r="U63" s="32"/>
      <c r="V63" s="32"/>
      <c r="W63" s="32"/>
      <c r="X63" s="32"/>
      <c r="Y63" s="32"/>
      <c r="Z63" s="32"/>
      <c r="AB63" s="32"/>
      <c r="AC63" s="32"/>
      <c r="AD63" s="32"/>
      <c r="AE63" s="32"/>
      <c r="AF63" s="32"/>
      <c r="AG63" s="32"/>
    </row>
    <row r="64" ht="14.25" customHeight="1">
      <c r="E64" s="33" t="str">
        <f t="shared" si="1"/>
        <v/>
      </c>
      <c r="F64" s="34" t="str">
        <f t="shared" si="2"/>
        <v/>
      </c>
      <c r="G64" s="34" t="str">
        <f t="shared" si="3"/>
        <v/>
      </c>
      <c r="H64" s="34" t="str">
        <f t="shared" si="4"/>
        <v/>
      </c>
      <c r="I64" s="34" t="str">
        <f t="shared" si="5"/>
        <v/>
      </c>
      <c r="J64" s="34" t="str">
        <f t="shared" si="6"/>
        <v/>
      </c>
      <c r="K64" s="32"/>
      <c r="L64" s="32"/>
      <c r="M64" s="32"/>
      <c r="N64" s="32"/>
      <c r="P64" s="32"/>
      <c r="Q64" s="32"/>
      <c r="R64" s="32"/>
      <c r="S64" s="32"/>
      <c r="U64" s="32"/>
      <c r="V64" s="32"/>
      <c r="W64" s="32"/>
      <c r="X64" s="32"/>
      <c r="Y64" s="32"/>
      <c r="Z64" s="32"/>
      <c r="AB64" s="32"/>
      <c r="AC64" s="32"/>
      <c r="AD64" s="32"/>
      <c r="AE64" s="32"/>
      <c r="AF64" s="32"/>
      <c r="AG64" s="32"/>
    </row>
    <row r="65" ht="14.25" customHeight="1">
      <c r="E65" s="33" t="str">
        <f t="shared" si="1"/>
        <v/>
      </c>
      <c r="F65" s="34" t="str">
        <f t="shared" si="2"/>
        <v/>
      </c>
      <c r="G65" s="34" t="str">
        <f t="shared" si="3"/>
        <v/>
      </c>
      <c r="H65" s="34" t="str">
        <f t="shared" si="4"/>
        <v/>
      </c>
      <c r="I65" s="34" t="str">
        <f t="shared" si="5"/>
        <v/>
      </c>
      <c r="J65" s="34" t="str">
        <f t="shared" si="6"/>
        <v/>
      </c>
      <c r="K65" s="32"/>
      <c r="L65" s="32"/>
      <c r="M65" s="32"/>
      <c r="N65" s="32"/>
      <c r="P65" s="32"/>
      <c r="Q65" s="32"/>
      <c r="R65" s="32"/>
      <c r="S65" s="32"/>
      <c r="U65" s="32"/>
      <c r="V65" s="32"/>
      <c r="W65" s="32"/>
      <c r="X65" s="32"/>
      <c r="Y65" s="32"/>
      <c r="Z65" s="32"/>
      <c r="AB65" s="32"/>
      <c r="AC65" s="32"/>
      <c r="AD65" s="32"/>
      <c r="AE65" s="32"/>
      <c r="AF65" s="32"/>
      <c r="AG65" s="32"/>
    </row>
    <row r="66" ht="14.25" customHeight="1">
      <c r="E66" s="33" t="str">
        <f t="shared" si="1"/>
        <v/>
      </c>
      <c r="F66" s="34" t="str">
        <f t="shared" si="2"/>
        <v/>
      </c>
      <c r="G66" s="34" t="str">
        <f t="shared" si="3"/>
        <v/>
      </c>
      <c r="H66" s="34" t="str">
        <f t="shared" si="4"/>
        <v/>
      </c>
      <c r="I66" s="34" t="str">
        <f t="shared" si="5"/>
        <v/>
      </c>
      <c r="J66" s="34" t="str">
        <f t="shared" si="6"/>
        <v/>
      </c>
      <c r="K66" s="32"/>
      <c r="L66" s="32"/>
      <c r="M66" s="32"/>
      <c r="N66" s="32"/>
      <c r="P66" s="32"/>
      <c r="Q66" s="32"/>
      <c r="R66" s="32"/>
      <c r="S66" s="32"/>
      <c r="U66" s="32"/>
      <c r="V66" s="32"/>
      <c r="W66" s="32"/>
      <c r="X66" s="32"/>
      <c r="Y66" s="32"/>
      <c r="Z66" s="32"/>
      <c r="AB66" s="32"/>
      <c r="AC66" s="32"/>
      <c r="AD66" s="32"/>
      <c r="AE66" s="32"/>
      <c r="AF66" s="32"/>
      <c r="AG66" s="32"/>
    </row>
    <row r="67" ht="14.25" customHeight="1">
      <c r="E67" s="33" t="str">
        <f t="shared" si="1"/>
        <v/>
      </c>
      <c r="F67" s="34" t="str">
        <f t="shared" si="2"/>
        <v/>
      </c>
      <c r="G67" s="34" t="str">
        <f t="shared" si="3"/>
        <v/>
      </c>
      <c r="H67" s="34" t="str">
        <f t="shared" si="4"/>
        <v/>
      </c>
      <c r="I67" s="34" t="str">
        <f t="shared" si="5"/>
        <v/>
      </c>
      <c r="J67" s="34" t="str">
        <f t="shared" si="6"/>
        <v/>
      </c>
      <c r="K67" s="32"/>
      <c r="L67" s="32"/>
      <c r="M67" s="32"/>
      <c r="N67" s="32"/>
      <c r="P67" s="32"/>
      <c r="Q67" s="32"/>
      <c r="R67" s="32"/>
      <c r="S67" s="32"/>
      <c r="U67" s="32"/>
      <c r="V67" s="32"/>
      <c r="W67" s="32"/>
      <c r="X67" s="32"/>
      <c r="Y67" s="32"/>
      <c r="Z67" s="32"/>
      <c r="AB67" s="32"/>
      <c r="AC67" s="32"/>
      <c r="AD67" s="32"/>
      <c r="AE67" s="32"/>
      <c r="AF67" s="32"/>
      <c r="AG67" s="32"/>
    </row>
    <row r="68" ht="14.25" customHeight="1">
      <c r="E68" s="33" t="str">
        <f t="shared" si="1"/>
        <v/>
      </c>
      <c r="F68" s="34" t="str">
        <f t="shared" si="2"/>
        <v/>
      </c>
      <c r="G68" s="34" t="str">
        <f t="shared" si="3"/>
        <v/>
      </c>
      <c r="H68" s="34" t="str">
        <f t="shared" si="4"/>
        <v/>
      </c>
      <c r="I68" s="34" t="str">
        <f t="shared" si="5"/>
        <v/>
      </c>
      <c r="J68" s="34" t="str">
        <f t="shared" si="6"/>
        <v/>
      </c>
      <c r="K68" s="32"/>
      <c r="L68" s="32"/>
      <c r="M68" s="32"/>
      <c r="N68" s="32"/>
      <c r="P68" s="32"/>
      <c r="Q68" s="32"/>
      <c r="R68" s="32"/>
      <c r="S68" s="32"/>
      <c r="U68" s="32"/>
      <c r="V68" s="32"/>
      <c r="W68" s="32"/>
      <c r="X68" s="32"/>
      <c r="Y68" s="32"/>
      <c r="Z68" s="32"/>
      <c r="AB68" s="32"/>
      <c r="AC68" s="32"/>
      <c r="AD68" s="32"/>
      <c r="AE68" s="32"/>
      <c r="AF68" s="32"/>
      <c r="AG68" s="32"/>
    </row>
    <row r="69" ht="14.25" customHeight="1">
      <c r="E69" s="33" t="str">
        <f t="shared" si="1"/>
        <v/>
      </c>
      <c r="F69" s="34" t="str">
        <f t="shared" si="2"/>
        <v/>
      </c>
      <c r="G69" s="34" t="str">
        <f t="shared" si="3"/>
        <v/>
      </c>
      <c r="H69" s="34" t="str">
        <f t="shared" si="4"/>
        <v/>
      </c>
      <c r="I69" s="34" t="str">
        <f t="shared" si="5"/>
        <v/>
      </c>
      <c r="J69" s="34" t="str">
        <f t="shared" si="6"/>
        <v/>
      </c>
      <c r="K69" s="32"/>
      <c r="L69" s="32"/>
      <c r="M69" s="32"/>
      <c r="N69" s="32"/>
      <c r="P69" s="32"/>
      <c r="Q69" s="32"/>
      <c r="R69" s="32"/>
      <c r="S69" s="32"/>
      <c r="U69" s="32"/>
      <c r="V69" s="32"/>
      <c r="W69" s="32"/>
      <c r="X69" s="32"/>
      <c r="Y69" s="32"/>
      <c r="Z69" s="32"/>
      <c r="AB69" s="32"/>
      <c r="AC69" s="32"/>
      <c r="AD69" s="32"/>
      <c r="AE69" s="32"/>
      <c r="AF69" s="32"/>
      <c r="AG69" s="32"/>
    </row>
    <row r="70" ht="14.25" customHeight="1">
      <c r="E70" s="33" t="str">
        <f t="shared" si="1"/>
        <v/>
      </c>
      <c r="F70" s="34" t="str">
        <f t="shared" si="2"/>
        <v/>
      </c>
      <c r="G70" s="34" t="str">
        <f t="shared" si="3"/>
        <v/>
      </c>
      <c r="H70" s="34" t="str">
        <f t="shared" si="4"/>
        <v/>
      </c>
      <c r="I70" s="34" t="str">
        <f t="shared" si="5"/>
        <v/>
      </c>
      <c r="J70" s="34" t="str">
        <f t="shared" si="6"/>
        <v/>
      </c>
      <c r="K70" s="32"/>
      <c r="L70" s="32"/>
      <c r="M70" s="32"/>
      <c r="N70" s="32"/>
      <c r="P70" s="32"/>
      <c r="Q70" s="32"/>
      <c r="R70" s="32"/>
      <c r="S70" s="32"/>
      <c r="U70" s="32"/>
      <c r="V70" s="32"/>
      <c r="W70" s="32"/>
      <c r="X70" s="32"/>
      <c r="Y70" s="32"/>
      <c r="Z70" s="32"/>
      <c r="AB70" s="32"/>
      <c r="AC70" s="32"/>
      <c r="AD70" s="32"/>
      <c r="AE70" s="32"/>
      <c r="AF70" s="32"/>
      <c r="AG70" s="32"/>
    </row>
    <row r="71" ht="14.25" customHeight="1">
      <c r="E71" s="33" t="str">
        <f t="shared" si="1"/>
        <v/>
      </c>
      <c r="F71" s="34" t="str">
        <f t="shared" si="2"/>
        <v/>
      </c>
      <c r="G71" s="34" t="str">
        <f t="shared" si="3"/>
        <v/>
      </c>
      <c r="H71" s="34" t="str">
        <f t="shared" si="4"/>
        <v/>
      </c>
      <c r="I71" s="34" t="str">
        <f t="shared" si="5"/>
        <v/>
      </c>
      <c r="J71" s="34" t="str">
        <f t="shared" si="6"/>
        <v/>
      </c>
      <c r="K71" s="32"/>
      <c r="L71" s="32"/>
      <c r="M71" s="32"/>
      <c r="N71" s="32"/>
      <c r="P71" s="32"/>
      <c r="Q71" s="32"/>
      <c r="R71" s="32"/>
      <c r="S71" s="32"/>
      <c r="U71" s="32"/>
      <c r="V71" s="32"/>
      <c r="W71" s="32"/>
      <c r="X71" s="32"/>
      <c r="Y71" s="32"/>
      <c r="Z71" s="32"/>
      <c r="AB71" s="32"/>
      <c r="AC71" s="32"/>
      <c r="AD71" s="32"/>
      <c r="AE71" s="32"/>
      <c r="AF71" s="32"/>
      <c r="AG71" s="32"/>
    </row>
    <row r="72" ht="14.25" customHeight="1">
      <c r="E72" s="33" t="str">
        <f t="shared" si="1"/>
        <v/>
      </c>
      <c r="F72" s="34" t="str">
        <f t="shared" si="2"/>
        <v/>
      </c>
      <c r="G72" s="34" t="str">
        <f t="shared" si="3"/>
        <v/>
      </c>
      <c r="H72" s="34" t="str">
        <f t="shared" si="4"/>
        <v/>
      </c>
      <c r="I72" s="34" t="str">
        <f t="shared" si="5"/>
        <v/>
      </c>
      <c r="J72" s="34" t="str">
        <f t="shared" si="6"/>
        <v/>
      </c>
      <c r="K72" s="32"/>
      <c r="L72" s="32"/>
      <c r="M72" s="32"/>
      <c r="N72" s="32"/>
      <c r="P72" s="32"/>
      <c r="Q72" s="32"/>
      <c r="R72" s="32"/>
      <c r="S72" s="32"/>
      <c r="U72" s="32"/>
      <c r="V72" s="32"/>
      <c r="W72" s="32"/>
      <c r="X72" s="32"/>
      <c r="Y72" s="32"/>
      <c r="Z72" s="32"/>
      <c r="AB72" s="32"/>
      <c r="AC72" s="32"/>
      <c r="AD72" s="32"/>
      <c r="AE72" s="32"/>
      <c r="AF72" s="32"/>
      <c r="AG72" s="32"/>
    </row>
    <row r="73" ht="14.25" customHeight="1">
      <c r="E73" s="33" t="str">
        <f t="shared" si="1"/>
        <v/>
      </c>
      <c r="F73" s="34" t="str">
        <f t="shared" si="2"/>
        <v/>
      </c>
      <c r="G73" s="34" t="str">
        <f t="shared" si="3"/>
        <v/>
      </c>
      <c r="H73" s="34" t="str">
        <f t="shared" si="4"/>
        <v/>
      </c>
      <c r="I73" s="34" t="str">
        <f t="shared" si="5"/>
        <v/>
      </c>
      <c r="J73" s="34" t="str">
        <f t="shared" si="6"/>
        <v/>
      </c>
      <c r="K73" s="32"/>
      <c r="L73" s="32"/>
      <c r="M73" s="32"/>
      <c r="N73" s="32"/>
      <c r="P73" s="32"/>
      <c r="Q73" s="32"/>
      <c r="R73" s="32"/>
      <c r="S73" s="32"/>
      <c r="U73" s="32"/>
      <c r="V73" s="32"/>
      <c r="W73" s="32"/>
      <c r="X73" s="32"/>
      <c r="Y73" s="32"/>
      <c r="Z73" s="32"/>
      <c r="AB73" s="32"/>
      <c r="AC73" s="32"/>
      <c r="AD73" s="32"/>
      <c r="AE73" s="32"/>
      <c r="AF73" s="32"/>
      <c r="AG73" s="32"/>
    </row>
    <row r="74" ht="14.25" customHeight="1">
      <c r="E74" s="33" t="str">
        <f t="shared" si="1"/>
        <v/>
      </c>
      <c r="F74" s="34" t="str">
        <f t="shared" si="2"/>
        <v/>
      </c>
      <c r="G74" s="34" t="str">
        <f t="shared" si="3"/>
        <v/>
      </c>
      <c r="H74" s="34" t="str">
        <f t="shared" si="4"/>
        <v/>
      </c>
      <c r="I74" s="34" t="str">
        <f t="shared" si="5"/>
        <v/>
      </c>
      <c r="J74" s="34" t="str">
        <f t="shared" si="6"/>
        <v/>
      </c>
      <c r="K74" s="32"/>
      <c r="L74" s="32"/>
      <c r="M74" s="32"/>
      <c r="N74" s="32"/>
      <c r="P74" s="32"/>
      <c r="Q74" s="32"/>
      <c r="R74" s="32"/>
      <c r="S74" s="32"/>
      <c r="U74" s="32"/>
      <c r="V74" s="32"/>
      <c r="W74" s="32"/>
      <c r="X74" s="32"/>
      <c r="Y74" s="32"/>
      <c r="Z74" s="32"/>
      <c r="AB74" s="32"/>
      <c r="AC74" s="32"/>
      <c r="AD74" s="32"/>
      <c r="AE74" s="32"/>
      <c r="AF74" s="32"/>
      <c r="AG74" s="32"/>
    </row>
    <row r="75" ht="14.25" customHeight="1">
      <c r="E75" s="33" t="str">
        <f t="shared" si="1"/>
        <v/>
      </c>
      <c r="F75" s="34" t="str">
        <f t="shared" si="2"/>
        <v/>
      </c>
      <c r="G75" s="34" t="str">
        <f t="shared" si="3"/>
        <v/>
      </c>
      <c r="H75" s="34" t="str">
        <f t="shared" si="4"/>
        <v/>
      </c>
      <c r="I75" s="34" t="str">
        <f t="shared" si="5"/>
        <v/>
      </c>
      <c r="J75" s="34" t="str">
        <f t="shared" si="6"/>
        <v/>
      </c>
      <c r="K75" s="32"/>
      <c r="L75" s="32"/>
      <c r="M75" s="32"/>
      <c r="N75" s="32"/>
      <c r="P75" s="32"/>
      <c r="Q75" s="32"/>
      <c r="R75" s="32"/>
      <c r="S75" s="32"/>
      <c r="U75" s="32"/>
      <c r="V75" s="32"/>
      <c r="W75" s="32"/>
      <c r="X75" s="32"/>
      <c r="Y75" s="32"/>
      <c r="Z75" s="32"/>
      <c r="AB75" s="32"/>
      <c r="AC75" s="32"/>
      <c r="AD75" s="32"/>
      <c r="AE75" s="32"/>
      <c r="AF75" s="32"/>
      <c r="AG75" s="32"/>
    </row>
    <row r="76" ht="14.25" customHeight="1">
      <c r="E76" s="33" t="str">
        <f t="shared" si="1"/>
        <v/>
      </c>
      <c r="F76" s="34" t="str">
        <f t="shared" si="2"/>
        <v/>
      </c>
      <c r="G76" s="34" t="str">
        <f t="shared" si="3"/>
        <v/>
      </c>
      <c r="H76" s="34" t="str">
        <f t="shared" si="4"/>
        <v/>
      </c>
      <c r="I76" s="34" t="str">
        <f t="shared" si="5"/>
        <v/>
      </c>
      <c r="J76" s="34" t="str">
        <f t="shared" si="6"/>
        <v/>
      </c>
      <c r="K76" s="32"/>
      <c r="L76" s="32"/>
      <c r="M76" s="32"/>
      <c r="N76" s="32"/>
      <c r="P76" s="32"/>
      <c r="Q76" s="32"/>
      <c r="R76" s="32"/>
      <c r="S76" s="32"/>
      <c r="U76" s="32"/>
      <c r="V76" s="32"/>
      <c r="W76" s="32"/>
      <c r="X76" s="32"/>
      <c r="Y76" s="32"/>
      <c r="Z76" s="32"/>
      <c r="AB76" s="32"/>
      <c r="AC76" s="32"/>
      <c r="AD76" s="32"/>
      <c r="AE76" s="32"/>
      <c r="AF76" s="32"/>
      <c r="AG76" s="32"/>
    </row>
    <row r="77" ht="14.25" customHeight="1">
      <c r="E77" s="33" t="str">
        <f t="shared" si="1"/>
        <v/>
      </c>
      <c r="F77" s="34" t="str">
        <f t="shared" si="2"/>
        <v/>
      </c>
      <c r="G77" s="34" t="str">
        <f t="shared" si="3"/>
        <v/>
      </c>
      <c r="H77" s="34" t="str">
        <f t="shared" si="4"/>
        <v/>
      </c>
      <c r="I77" s="34" t="str">
        <f t="shared" si="5"/>
        <v/>
      </c>
      <c r="J77" s="34" t="str">
        <f t="shared" si="6"/>
        <v/>
      </c>
      <c r="K77" s="32"/>
      <c r="L77" s="32"/>
      <c r="M77" s="32"/>
      <c r="N77" s="32"/>
      <c r="P77" s="32"/>
      <c r="Q77" s="32"/>
      <c r="R77" s="32"/>
      <c r="S77" s="32"/>
      <c r="U77" s="32"/>
      <c r="V77" s="32"/>
      <c r="W77" s="32"/>
      <c r="X77" s="32"/>
      <c r="Y77" s="32"/>
      <c r="Z77" s="32"/>
      <c r="AB77" s="32"/>
      <c r="AC77" s="32"/>
      <c r="AD77" s="32"/>
      <c r="AE77" s="32"/>
      <c r="AF77" s="32"/>
      <c r="AG77" s="32"/>
    </row>
    <row r="78" ht="14.25" customHeight="1">
      <c r="E78" s="33" t="str">
        <f t="shared" si="1"/>
        <v/>
      </c>
      <c r="F78" s="34" t="str">
        <f t="shared" si="2"/>
        <v/>
      </c>
      <c r="G78" s="34" t="str">
        <f t="shared" si="3"/>
        <v/>
      </c>
      <c r="H78" s="34" t="str">
        <f t="shared" si="4"/>
        <v/>
      </c>
      <c r="I78" s="34" t="str">
        <f t="shared" si="5"/>
        <v/>
      </c>
      <c r="J78" s="34" t="str">
        <f t="shared" si="6"/>
        <v/>
      </c>
      <c r="K78" s="32"/>
      <c r="L78" s="32"/>
      <c r="M78" s="32"/>
      <c r="N78" s="32"/>
      <c r="P78" s="32"/>
      <c r="Q78" s="32"/>
      <c r="R78" s="32"/>
      <c r="S78" s="32"/>
      <c r="U78" s="32"/>
      <c r="V78" s="32"/>
      <c r="W78" s="32"/>
      <c r="X78" s="32"/>
      <c r="Y78" s="32"/>
      <c r="Z78" s="32"/>
      <c r="AB78" s="32"/>
      <c r="AC78" s="32"/>
      <c r="AD78" s="32"/>
      <c r="AE78" s="32"/>
      <c r="AF78" s="32"/>
      <c r="AG78" s="32"/>
    </row>
    <row r="79" ht="14.25" customHeight="1">
      <c r="E79" s="33" t="str">
        <f t="shared" si="1"/>
        <v/>
      </c>
      <c r="F79" s="34" t="str">
        <f t="shared" si="2"/>
        <v/>
      </c>
      <c r="G79" s="34" t="str">
        <f t="shared" si="3"/>
        <v/>
      </c>
      <c r="H79" s="34" t="str">
        <f t="shared" si="4"/>
        <v/>
      </c>
      <c r="I79" s="34" t="str">
        <f t="shared" si="5"/>
        <v/>
      </c>
      <c r="J79" s="34" t="str">
        <f t="shared" si="6"/>
        <v/>
      </c>
      <c r="K79" s="32"/>
      <c r="L79" s="32"/>
      <c r="M79" s="32"/>
      <c r="N79" s="32"/>
      <c r="P79" s="32"/>
      <c r="Q79" s="32"/>
      <c r="R79" s="32"/>
      <c r="S79" s="32"/>
      <c r="U79" s="32"/>
      <c r="V79" s="32"/>
      <c r="W79" s="32"/>
      <c r="X79" s="32"/>
      <c r="Y79" s="32"/>
      <c r="Z79" s="32"/>
      <c r="AB79" s="32"/>
      <c r="AC79" s="32"/>
      <c r="AD79" s="32"/>
      <c r="AE79" s="32"/>
      <c r="AF79" s="32"/>
      <c r="AG79" s="32"/>
    </row>
    <row r="80" ht="14.25" customHeight="1">
      <c r="E80" s="33" t="str">
        <f t="shared" si="1"/>
        <v/>
      </c>
      <c r="F80" s="34" t="str">
        <f t="shared" si="2"/>
        <v/>
      </c>
      <c r="G80" s="34" t="str">
        <f t="shared" si="3"/>
        <v/>
      </c>
      <c r="H80" s="34" t="str">
        <f t="shared" si="4"/>
        <v/>
      </c>
      <c r="I80" s="34" t="str">
        <f t="shared" si="5"/>
        <v/>
      </c>
      <c r="J80" s="34" t="str">
        <f t="shared" si="6"/>
        <v/>
      </c>
      <c r="K80" s="32"/>
      <c r="L80" s="32"/>
      <c r="M80" s="32"/>
      <c r="N80" s="32"/>
      <c r="P80" s="32"/>
      <c r="Q80" s="32"/>
      <c r="R80" s="32"/>
      <c r="S80" s="32"/>
      <c r="U80" s="32"/>
      <c r="V80" s="32"/>
      <c r="W80" s="32"/>
      <c r="X80" s="32"/>
      <c r="Y80" s="32"/>
      <c r="Z80" s="32"/>
      <c r="AB80" s="32"/>
      <c r="AC80" s="32"/>
      <c r="AD80" s="32"/>
      <c r="AE80" s="32"/>
      <c r="AF80" s="32"/>
      <c r="AG80" s="32"/>
    </row>
    <row r="81" ht="14.25" customHeight="1">
      <c r="E81" s="33" t="str">
        <f t="shared" si="1"/>
        <v/>
      </c>
      <c r="F81" s="34" t="str">
        <f t="shared" si="2"/>
        <v/>
      </c>
      <c r="G81" s="34" t="str">
        <f t="shared" si="3"/>
        <v/>
      </c>
      <c r="H81" s="34" t="str">
        <f t="shared" si="4"/>
        <v/>
      </c>
      <c r="I81" s="34" t="str">
        <f t="shared" si="5"/>
        <v/>
      </c>
      <c r="J81" s="34" t="str">
        <f t="shared" si="6"/>
        <v/>
      </c>
      <c r="K81" s="32"/>
      <c r="L81" s="32"/>
      <c r="M81" s="32"/>
      <c r="N81" s="32"/>
      <c r="P81" s="32"/>
      <c r="Q81" s="32"/>
      <c r="R81" s="32"/>
      <c r="S81" s="32"/>
      <c r="U81" s="32"/>
      <c r="V81" s="32"/>
      <c r="W81" s="32"/>
      <c r="X81" s="32"/>
      <c r="Y81" s="32"/>
      <c r="Z81" s="32"/>
      <c r="AB81" s="32"/>
      <c r="AC81" s="32"/>
      <c r="AD81" s="32"/>
      <c r="AE81" s="32"/>
      <c r="AF81" s="32"/>
      <c r="AG81" s="32"/>
    </row>
    <row r="82" ht="14.25" customHeight="1">
      <c r="E82" s="33" t="str">
        <f t="shared" si="1"/>
        <v/>
      </c>
      <c r="F82" s="34" t="str">
        <f t="shared" si="2"/>
        <v/>
      </c>
      <c r="G82" s="34" t="str">
        <f t="shared" si="3"/>
        <v/>
      </c>
      <c r="H82" s="34" t="str">
        <f t="shared" si="4"/>
        <v/>
      </c>
      <c r="I82" s="34" t="str">
        <f t="shared" si="5"/>
        <v/>
      </c>
      <c r="J82" s="34" t="str">
        <f t="shared" si="6"/>
        <v/>
      </c>
      <c r="K82" s="32"/>
      <c r="L82" s="32"/>
      <c r="M82" s="32"/>
      <c r="N82" s="32"/>
      <c r="P82" s="32"/>
      <c r="Q82" s="32"/>
      <c r="R82" s="32"/>
      <c r="S82" s="32"/>
      <c r="U82" s="32"/>
      <c r="V82" s="32"/>
      <c r="W82" s="32"/>
      <c r="X82" s="32"/>
      <c r="Y82" s="32"/>
      <c r="Z82" s="32"/>
      <c r="AB82" s="32"/>
      <c r="AC82" s="32"/>
      <c r="AD82" s="32"/>
      <c r="AE82" s="32"/>
      <c r="AF82" s="32"/>
      <c r="AG82" s="32"/>
    </row>
    <row r="83" ht="14.25" customHeight="1">
      <c r="E83" s="33" t="str">
        <f t="shared" si="1"/>
        <v/>
      </c>
      <c r="F83" s="34" t="str">
        <f t="shared" si="2"/>
        <v/>
      </c>
      <c r="G83" s="34" t="str">
        <f t="shared" si="3"/>
        <v/>
      </c>
      <c r="H83" s="34" t="str">
        <f t="shared" si="4"/>
        <v/>
      </c>
      <c r="I83" s="34" t="str">
        <f t="shared" si="5"/>
        <v/>
      </c>
      <c r="J83" s="34" t="str">
        <f t="shared" si="6"/>
        <v/>
      </c>
      <c r="K83" s="32"/>
      <c r="L83" s="32"/>
      <c r="M83" s="32"/>
      <c r="N83" s="32"/>
      <c r="P83" s="32"/>
      <c r="Q83" s="32"/>
      <c r="R83" s="32"/>
      <c r="S83" s="32"/>
      <c r="U83" s="32"/>
      <c r="V83" s="32"/>
      <c r="W83" s="32"/>
      <c r="X83" s="32"/>
      <c r="Y83" s="32"/>
      <c r="Z83" s="32"/>
      <c r="AB83" s="32"/>
      <c r="AC83" s="32"/>
      <c r="AD83" s="32"/>
      <c r="AE83" s="32"/>
      <c r="AF83" s="32"/>
      <c r="AG83" s="32"/>
    </row>
    <row r="84" ht="14.25" customHeight="1">
      <c r="E84" s="33" t="str">
        <f t="shared" si="1"/>
        <v/>
      </c>
      <c r="F84" s="34" t="str">
        <f t="shared" si="2"/>
        <v/>
      </c>
      <c r="G84" s="34" t="str">
        <f t="shared" si="3"/>
        <v/>
      </c>
      <c r="H84" s="34" t="str">
        <f t="shared" si="4"/>
        <v/>
      </c>
      <c r="I84" s="34" t="str">
        <f t="shared" si="5"/>
        <v/>
      </c>
      <c r="J84" s="34" t="str">
        <f t="shared" si="6"/>
        <v/>
      </c>
      <c r="K84" s="32"/>
      <c r="L84" s="32"/>
      <c r="M84" s="32"/>
      <c r="N84" s="32"/>
      <c r="P84" s="32"/>
      <c r="Q84" s="32"/>
      <c r="R84" s="32"/>
      <c r="S84" s="32"/>
      <c r="U84" s="32"/>
      <c r="V84" s="32"/>
      <c r="W84" s="32"/>
      <c r="X84" s="32"/>
      <c r="Y84" s="32"/>
      <c r="Z84" s="32"/>
      <c r="AB84" s="32"/>
      <c r="AC84" s="32"/>
      <c r="AD84" s="32"/>
      <c r="AE84" s="32"/>
      <c r="AF84" s="32"/>
      <c r="AG84" s="32"/>
    </row>
    <row r="85" ht="14.25" customHeight="1">
      <c r="E85" s="33" t="str">
        <f t="shared" si="1"/>
        <v/>
      </c>
      <c r="F85" s="34" t="str">
        <f t="shared" si="2"/>
        <v/>
      </c>
      <c r="G85" s="34" t="str">
        <f t="shared" si="3"/>
        <v/>
      </c>
      <c r="H85" s="34" t="str">
        <f t="shared" si="4"/>
        <v/>
      </c>
      <c r="I85" s="34" t="str">
        <f t="shared" si="5"/>
        <v/>
      </c>
      <c r="J85" s="34" t="str">
        <f t="shared" si="6"/>
        <v/>
      </c>
      <c r="K85" s="32"/>
      <c r="L85" s="32"/>
      <c r="M85" s="32"/>
      <c r="N85" s="32"/>
      <c r="P85" s="32"/>
      <c r="Q85" s="32"/>
      <c r="R85" s="32"/>
      <c r="S85" s="32"/>
      <c r="U85" s="32"/>
      <c r="V85" s="32"/>
      <c r="W85" s="32"/>
      <c r="X85" s="32"/>
      <c r="Y85" s="32"/>
      <c r="Z85" s="32"/>
      <c r="AB85" s="32"/>
      <c r="AC85" s="32"/>
      <c r="AD85" s="32"/>
      <c r="AE85" s="32"/>
      <c r="AF85" s="32"/>
      <c r="AG85" s="32"/>
    </row>
    <row r="86" ht="14.25" customHeight="1">
      <c r="E86" s="33" t="str">
        <f t="shared" si="1"/>
        <v/>
      </c>
      <c r="F86" s="34" t="str">
        <f t="shared" si="2"/>
        <v/>
      </c>
      <c r="G86" s="34" t="str">
        <f t="shared" si="3"/>
        <v/>
      </c>
      <c r="H86" s="34" t="str">
        <f t="shared" si="4"/>
        <v/>
      </c>
      <c r="I86" s="34" t="str">
        <f t="shared" si="5"/>
        <v/>
      </c>
      <c r="J86" s="34" t="str">
        <f t="shared" si="6"/>
        <v/>
      </c>
      <c r="K86" s="32"/>
      <c r="L86" s="32"/>
      <c r="M86" s="32"/>
      <c r="N86" s="32"/>
      <c r="P86" s="32"/>
      <c r="Q86" s="32"/>
      <c r="R86" s="32"/>
      <c r="S86" s="32"/>
      <c r="U86" s="32"/>
      <c r="V86" s="32"/>
      <c r="W86" s="32"/>
      <c r="X86" s="32"/>
      <c r="Y86" s="32"/>
      <c r="Z86" s="32"/>
      <c r="AB86" s="32"/>
      <c r="AC86" s="32"/>
      <c r="AD86" s="32"/>
      <c r="AE86" s="32"/>
      <c r="AF86" s="32"/>
      <c r="AG86" s="32"/>
    </row>
    <row r="87" ht="14.25" customHeight="1">
      <c r="E87" s="33" t="str">
        <f t="shared" si="1"/>
        <v/>
      </c>
      <c r="F87" s="34" t="str">
        <f t="shared" si="2"/>
        <v/>
      </c>
      <c r="G87" s="34" t="str">
        <f t="shared" si="3"/>
        <v/>
      </c>
      <c r="H87" s="34" t="str">
        <f t="shared" si="4"/>
        <v/>
      </c>
      <c r="I87" s="34" t="str">
        <f t="shared" si="5"/>
        <v/>
      </c>
      <c r="J87" s="34" t="str">
        <f t="shared" si="6"/>
        <v/>
      </c>
      <c r="K87" s="32"/>
      <c r="L87" s="32"/>
      <c r="M87" s="32"/>
      <c r="N87" s="32"/>
      <c r="P87" s="32"/>
      <c r="Q87" s="32"/>
      <c r="R87" s="32"/>
      <c r="S87" s="32"/>
      <c r="U87" s="32"/>
      <c r="V87" s="32"/>
      <c r="W87" s="32"/>
      <c r="X87" s="32"/>
      <c r="Y87" s="32"/>
      <c r="Z87" s="32"/>
      <c r="AB87" s="32"/>
      <c r="AC87" s="32"/>
      <c r="AD87" s="32"/>
      <c r="AE87" s="32"/>
      <c r="AF87" s="32"/>
      <c r="AG87" s="32"/>
    </row>
    <row r="88" ht="14.25" customHeight="1">
      <c r="E88" s="33" t="str">
        <f t="shared" si="1"/>
        <v/>
      </c>
      <c r="F88" s="34" t="str">
        <f t="shared" si="2"/>
        <v/>
      </c>
      <c r="G88" s="34" t="str">
        <f t="shared" si="3"/>
        <v/>
      </c>
      <c r="H88" s="34" t="str">
        <f t="shared" si="4"/>
        <v/>
      </c>
      <c r="I88" s="34" t="str">
        <f t="shared" si="5"/>
        <v/>
      </c>
      <c r="J88" s="34" t="str">
        <f t="shared" si="6"/>
        <v/>
      </c>
      <c r="K88" s="32"/>
      <c r="L88" s="32"/>
      <c r="M88" s="32"/>
      <c r="N88" s="32"/>
      <c r="P88" s="32"/>
      <c r="Q88" s="32"/>
      <c r="R88" s="32"/>
      <c r="S88" s="32"/>
      <c r="U88" s="32"/>
      <c r="V88" s="32"/>
      <c r="W88" s="32"/>
      <c r="X88" s="32"/>
      <c r="Y88" s="32"/>
      <c r="Z88" s="32"/>
      <c r="AB88" s="32"/>
      <c r="AC88" s="32"/>
      <c r="AD88" s="32"/>
      <c r="AE88" s="32"/>
      <c r="AF88" s="32"/>
      <c r="AG88" s="32"/>
    </row>
    <row r="89" ht="14.25" customHeight="1">
      <c r="E89" s="33" t="str">
        <f t="shared" si="1"/>
        <v/>
      </c>
      <c r="F89" s="34" t="str">
        <f t="shared" si="2"/>
        <v/>
      </c>
      <c r="G89" s="34" t="str">
        <f t="shared" si="3"/>
        <v/>
      </c>
      <c r="H89" s="34" t="str">
        <f t="shared" si="4"/>
        <v/>
      </c>
      <c r="I89" s="34" t="str">
        <f t="shared" si="5"/>
        <v/>
      </c>
      <c r="J89" s="34" t="str">
        <f t="shared" si="6"/>
        <v/>
      </c>
      <c r="K89" s="32"/>
      <c r="L89" s="32"/>
      <c r="M89" s="32"/>
      <c r="N89" s="32"/>
      <c r="P89" s="32"/>
      <c r="Q89" s="32"/>
      <c r="R89" s="32"/>
      <c r="S89" s="32"/>
      <c r="U89" s="32"/>
      <c r="V89" s="32"/>
      <c r="W89" s="32"/>
      <c r="X89" s="32"/>
      <c r="Y89" s="32"/>
      <c r="Z89" s="32"/>
      <c r="AB89" s="32"/>
      <c r="AC89" s="32"/>
      <c r="AD89" s="32"/>
      <c r="AE89" s="32"/>
      <c r="AF89" s="32"/>
      <c r="AG89" s="32"/>
    </row>
    <row r="90" ht="14.25" customHeight="1">
      <c r="E90" s="33" t="str">
        <f t="shared" si="1"/>
        <v/>
      </c>
      <c r="F90" s="34" t="str">
        <f t="shared" si="2"/>
        <v/>
      </c>
      <c r="G90" s="34" t="str">
        <f t="shared" si="3"/>
        <v/>
      </c>
      <c r="H90" s="34" t="str">
        <f t="shared" si="4"/>
        <v/>
      </c>
      <c r="I90" s="34" t="str">
        <f t="shared" si="5"/>
        <v/>
      </c>
      <c r="J90" s="34" t="str">
        <f t="shared" si="6"/>
        <v/>
      </c>
      <c r="K90" s="32"/>
      <c r="L90" s="32"/>
      <c r="M90" s="32"/>
      <c r="N90" s="32"/>
      <c r="P90" s="32"/>
      <c r="Q90" s="32"/>
      <c r="R90" s="32"/>
      <c r="S90" s="32"/>
      <c r="U90" s="32"/>
      <c r="V90" s="32"/>
      <c r="W90" s="32"/>
      <c r="X90" s="32"/>
      <c r="Y90" s="32"/>
      <c r="Z90" s="32"/>
      <c r="AB90" s="32"/>
      <c r="AC90" s="32"/>
      <c r="AD90" s="32"/>
      <c r="AE90" s="32"/>
      <c r="AF90" s="32"/>
      <c r="AG90" s="32"/>
    </row>
    <row r="91" ht="14.25" customHeight="1">
      <c r="E91" s="33" t="str">
        <f t="shared" si="1"/>
        <v/>
      </c>
      <c r="F91" s="34" t="str">
        <f t="shared" si="2"/>
        <v/>
      </c>
      <c r="G91" s="34" t="str">
        <f t="shared" si="3"/>
        <v/>
      </c>
      <c r="H91" s="34" t="str">
        <f t="shared" si="4"/>
        <v/>
      </c>
      <c r="I91" s="34" t="str">
        <f t="shared" si="5"/>
        <v/>
      </c>
      <c r="J91" s="34" t="str">
        <f t="shared" si="6"/>
        <v/>
      </c>
      <c r="K91" s="32"/>
      <c r="L91" s="32"/>
      <c r="M91" s="32"/>
      <c r="N91" s="32"/>
      <c r="P91" s="32"/>
      <c r="Q91" s="32"/>
      <c r="R91" s="32"/>
      <c r="S91" s="32"/>
      <c r="U91" s="32"/>
      <c r="V91" s="32"/>
      <c r="W91" s="32"/>
      <c r="X91" s="32"/>
      <c r="Y91" s="32"/>
      <c r="Z91" s="32"/>
      <c r="AB91" s="32"/>
      <c r="AC91" s="32"/>
      <c r="AD91" s="32"/>
      <c r="AE91" s="32"/>
      <c r="AF91" s="32"/>
      <c r="AG91" s="32"/>
    </row>
    <row r="92" ht="14.25" customHeight="1">
      <c r="E92" s="33" t="str">
        <f t="shared" si="1"/>
        <v/>
      </c>
      <c r="F92" s="34" t="str">
        <f t="shared" si="2"/>
        <v/>
      </c>
      <c r="G92" s="34" t="str">
        <f t="shared" si="3"/>
        <v/>
      </c>
      <c r="H92" s="34" t="str">
        <f t="shared" si="4"/>
        <v/>
      </c>
      <c r="I92" s="34" t="str">
        <f t="shared" si="5"/>
        <v/>
      </c>
      <c r="J92" s="34" t="str">
        <f t="shared" si="6"/>
        <v/>
      </c>
      <c r="K92" s="32"/>
      <c r="L92" s="32"/>
      <c r="M92" s="32"/>
      <c r="N92" s="32"/>
      <c r="P92" s="32"/>
      <c r="Q92" s="32"/>
      <c r="R92" s="32"/>
      <c r="S92" s="32"/>
      <c r="U92" s="32"/>
      <c r="V92" s="32"/>
      <c r="W92" s="32"/>
      <c r="X92" s="32"/>
      <c r="Y92" s="32"/>
      <c r="Z92" s="32"/>
      <c r="AB92" s="32"/>
      <c r="AC92" s="32"/>
      <c r="AD92" s="32"/>
      <c r="AE92" s="32"/>
      <c r="AF92" s="32"/>
      <c r="AG92" s="32"/>
    </row>
    <row r="93" ht="14.25" customHeight="1">
      <c r="E93" s="33" t="str">
        <f t="shared" si="1"/>
        <v/>
      </c>
      <c r="F93" s="34" t="str">
        <f t="shared" si="2"/>
        <v/>
      </c>
      <c r="G93" s="34" t="str">
        <f t="shared" si="3"/>
        <v/>
      </c>
      <c r="H93" s="34" t="str">
        <f t="shared" si="4"/>
        <v/>
      </c>
      <c r="I93" s="34" t="str">
        <f t="shared" si="5"/>
        <v/>
      </c>
      <c r="J93" s="34" t="str">
        <f t="shared" si="6"/>
        <v/>
      </c>
      <c r="K93" s="32"/>
      <c r="L93" s="32"/>
      <c r="M93" s="32"/>
      <c r="N93" s="32"/>
      <c r="P93" s="32"/>
      <c r="Q93" s="32"/>
      <c r="R93" s="32"/>
      <c r="S93" s="32"/>
      <c r="U93" s="32"/>
      <c r="V93" s="32"/>
      <c r="W93" s="32"/>
      <c r="X93" s="32"/>
      <c r="Y93" s="32"/>
      <c r="Z93" s="32"/>
      <c r="AB93" s="32"/>
      <c r="AC93" s="32"/>
      <c r="AD93" s="32"/>
      <c r="AE93" s="32"/>
      <c r="AF93" s="32"/>
      <c r="AG93" s="32"/>
    </row>
    <row r="94" ht="14.25" customHeight="1">
      <c r="E94" s="33" t="str">
        <f t="shared" si="1"/>
        <v/>
      </c>
      <c r="F94" s="34" t="str">
        <f t="shared" si="2"/>
        <v/>
      </c>
      <c r="G94" s="34" t="str">
        <f t="shared" si="3"/>
        <v/>
      </c>
      <c r="H94" s="34" t="str">
        <f t="shared" si="4"/>
        <v/>
      </c>
      <c r="I94" s="34" t="str">
        <f t="shared" si="5"/>
        <v/>
      </c>
      <c r="J94" s="34" t="str">
        <f t="shared" si="6"/>
        <v/>
      </c>
      <c r="K94" s="32"/>
      <c r="L94" s="32"/>
      <c r="M94" s="32"/>
      <c r="N94" s="32"/>
      <c r="P94" s="32"/>
      <c r="Q94" s="32"/>
      <c r="R94" s="32"/>
      <c r="S94" s="32"/>
      <c r="U94" s="32"/>
      <c r="V94" s="32"/>
      <c r="W94" s="32"/>
      <c r="X94" s="32"/>
      <c r="Y94" s="32"/>
      <c r="Z94" s="32"/>
      <c r="AB94" s="32"/>
      <c r="AC94" s="32"/>
      <c r="AD94" s="32"/>
      <c r="AE94" s="32"/>
      <c r="AF94" s="32"/>
      <c r="AG94" s="32"/>
    </row>
    <row r="95" ht="14.25" customHeight="1">
      <c r="E95" s="33" t="str">
        <f t="shared" si="1"/>
        <v/>
      </c>
      <c r="F95" s="34" t="str">
        <f t="shared" si="2"/>
        <v/>
      </c>
      <c r="G95" s="34" t="str">
        <f t="shared" si="3"/>
        <v/>
      </c>
      <c r="H95" s="34" t="str">
        <f t="shared" si="4"/>
        <v/>
      </c>
      <c r="I95" s="34" t="str">
        <f t="shared" si="5"/>
        <v/>
      </c>
      <c r="J95" s="34" t="str">
        <f t="shared" si="6"/>
        <v/>
      </c>
      <c r="K95" s="32"/>
      <c r="L95" s="32"/>
      <c r="M95" s="32"/>
      <c r="N95" s="32"/>
      <c r="P95" s="32"/>
      <c r="Q95" s="32"/>
      <c r="R95" s="32"/>
      <c r="S95" s="32"/>
      <c r="U95" s="32"/>
      <c r="V95" s="32"/>
      <c r="W95" s="32"/>
      <c r="X95" s="32"/>
      <c r="Y95" s="32"/>
      <c r="Z95" s="32"/>
      <c r="AB95" s="32"/>
      <c r="AC95" s="32"/>
      <c r="AD95" s="32"/>
      <c r="AE95" s="32"/>
      <c r="AF95" s="32"/>
      <c r="AG95" s="32"/>
    </row>
    <row r="96" ht="14.25" customHeight="1">
      <c r="E96" s="33" t="str">
        <f t="shared" si="1"/>
        <v/>
      </c>
      <c r="F96" s="34" t="str">
        <f t="shared" si="2"/>
        <v/>
      </c>
      <c r="G96" s="34" t="str">
        <f t="shared" si="3"/>
        <v/>
      </c>
      <c r="H96" s="34" t="str">
        <f t="shared" si="4"/>
        <v/>
      </c>
      <c r="I96" s="34" t="str">
        <f t="shared" si="5"/>
        <v/>
      </c>
      <c r="J96" s="34" t="str">
        <f t="shared" si="6"/>
        <v/>
      </c>
      <c r="K96" s="32"/>
      <c r="L96" s="32"/>
      <c r="M96" s="32"/>
      <c r="N96" s="32"/>
      <c r="P96" s="32"/>
      <c r="Q96" s="32"/>
      <c r="R96" s="32"/>
      <c r="S96" s="32"/>
      <c r="U96" s="32"/>
      <c r="V96" s="32"/>
      <c r="W96" s="32"/>
      <c r="X96" s="32"/>
      <c r="Y96" s="32"/>
      <c r="Z96" s="32"/>
      <c r="AB96" s="32"/>
      <c r="AC96" s="32"/>
      <c r="AD96" s="32"/>
      <c r="AE96" s="32"/>
      <c r="AF96" s="32"/>
      <c r="AG96" s="32"/>
    </row>
    <row r="97" ht="14.25" customHeight="1">
      <c r="E97" s="33" t="str">
        <f t="shared" si="1"/>
        <v/>
      </c>
      <c r="F97" s="34" t="str">
        <f t="shared" si="2"/>
        <v/>
      </c>
      <c r="G97" s="34" t="str">
        <f t="shared" si="3"/>
        <v/>
      </c>
      <c r="H97" s="34" t="str">
        <f t="shared" si="4"/>
        <v/>
      </c>
      <c r="I97" s="34" t="str">
        <f t="shared" si="5"/>
        <v/>
      </c>
      <c r="J97" s="34" t="str">
        <f t="shared" si="6"/>
        <v/>
      </c>
      <c r="K97" s="32"/>
      <c r="L97" s="32"/>
      <c r="M97" s="32"/>
      <c r="N97" s="32"/>
      <c r="P97" s="32"/>
      <c r="Q97" s="32"/>
      <c r="R97" s="32"/>
      <c r="S97" s="32"/>
      <c r="U97" s="32"/>
      <c r="V97" s="32"/>
      <c r="W97" s="32"/>
      <c r="X97" s="32"/>
      <c r="Y97" s="32"/>
      <c r="Z97" s="32"/>
      <c r="AB97" s="32"/>
      <c r="AC97" s="32"/>
      <c r="AD97" s="32"/>
      <c r="AE97" s="32"/>
      <c r="AF97" s="32"/>
      <c r="AG97" s="32"/>
    </row>
    <row r="98" ht="14.25" customHeight="1">
      <c r="E98" s="33" t="str">
        <f t="shared" si="1"/>
        <v/>
      </c>
      <c r="F98" s="34" t="str">
        <f t="shared" si="2"/>
        <v/>
      </c>
      <c r="G98" s="34" t="str">
        <f t="shared" si="3"/>
        <v/>
      </c>
      <c r="H98" s="34" t="str">
        <f t="shared" si="4"/>
        <v/>
      </c>
      <c r="I98" s="34" t="str">
        <f t="shared" si="5"/>
        <v/>
      </c>
      <c r="J98" s="34" t="str">
        <f t="shared" si="6"/>
        <v/>
      </c>
      <c r="K98" s="32"/>
      <c r="L98" s="32"/>
      <c r="M98" s="32"/>
      <c r="N98" s="32"/>
      <c r="P98" s="32"/>
      <c r="Q98" s="32"/>
      <c r="R98" s="32"/>
      <c r="S98" s="32"/>
      <c r="U98" s="32"/>
      <c r="V98" s="32"/>
      <c r="W98" s="32"/>
      <c r="X98" s="32"/>
      <c r="Y98" s="32"/>
      <c r="Z98" s="32"/>
      <c r="AB98" s="32"/>
      <c r="AC98" s="32"/>
      <c r="AD98" s="32"/>
      <c r="AE98" s="32"/>
      <c r="AF98" s="32"/>
      <c r="AG98" s="32"/>
    </row>
    <row r="99" ht="14.25" customHeight="1">
      <c r="E99" s="33" t="str">
        <f t="shared" si="1"/>
        <v/>
      </c>
      <c r="F99" s="34" t="str">
        <f t="shared" si="2"/>
        <v/>
      </c>
      <c r="G99" s="34" t="str">
        <f t="shared" si="3"/>
        <v/>
      </c>
      <c r="H99" s="34" t="str">
        <f t="shared" si="4"/>
        <v/>
      </c>
      <c r="I99" s="34" t="str">
        <f t="shared" si="5"/>
        <v/>
      </c>
      <c r="J99" s="34" t="str">
        <f t="shared" si="6"/>
        <v/>
      </c>
      <c r="K99" s="32"/>
      <c r="L99" s="32"/>
      <c r="M99" s="32"/>
      <c r="N99" s="32"/>
      <c r="P99" s="32"/>
      <c r="Q99" s="32"/>
      <c r="R99" s="32"/>
      <c r="S99" s="32"/>
      <c r="U99" s="32"/>
      <c r="V99" s="32"/>
      <c r="W99" s="32"/>
      <c r="X99" s="32"/>
      <c r="Y99" s="32"/>
      <c r="Z99" s="32"/>
      <c r="AB99" s="32"/>
      <c r="AC99" s="32"/>
      <c r="AD99" s="32"/>
      <c r="AE99" s="32"/>
      <c r="AF99" s="32"/>
      <c r="AG99" s="32"/>
    </row>
    <row r="100" ht="14.25" customHeight="1">
      <c r="E100" s="33" t="str">
        <f t="shared" si="1"/>
        <v/>
      </c>
      <c r="F100" s="34" t="str">
        <f t="shared" si="2"/>
        <v/>
      </c>
      <c r="G100" s="34" t="str">
        <f t="shared" si="3"/>
        <v/>
      </c>
      <c r="H100" s="34" t="str">
        <f t="shared" si="4"/>
        <v/>
      </c>
      <c r="I100" s="34" t="str">
        <f t="shared" si="5"/>
        <v/>
      </c>
      <c r="J100" s="34" t="str">
        <f t="shared" si="6"/>
        <v/>
      </c>
      <c r="K100" s="32"/>
      <c r="L100" s="32"/>
      <c r="M100" s="32"/>
      <c r="N100" s="32"/>
      <c r="P100" s="32"/>
      <c r="Q100" s="32"/>
      <c r="R100" s="32"/>
      <c r="S100" s="32"/>
      <c r="U100" s="32"/>
      <c r="V100" s="32"/>
      <c r="W100" s="32"/>
      <c r="X100" s="32"/>
      <c r="Y100" s="32"/>
      <c r="Z100" s="32"/>
      <c r="AB100" s="32"/>
      <c r="AC100" s="32"/>
      <c r="AD100" s="32"/>
      <c r="AE100" s="32"/>
      <c r="AF100" s="32"/>
      <c r="AG100" s="32"/>
    </row>
    <row r="101" ht="14.25" customHeight="1">
      <c r="E101" s="33" t="str">
        <f t="shared" si="1"/>
        <v/>
      </c>
      <c r="F101" s="34" t="str">
        <f t="shared" si="2"/>
        <v/>
      </c>
      <c r="G101" s="34" t="str">
        <f t="shared" si="3"/>
        <v/>
      </c>
      <c r="H101" s="34" t="str">
        <f t="shared" si="4"/>
        <v/>
      </c>
      <c r="I101" s="34" t="str">
        <f t="shared" si="5"/>
        <v/>
      </c>
      <c r="J101" s="34" t="str">
        <f t="shared" si="6"/>
        <v/>
      </c>
      <c r="K101" s="32"/>
      <c r="L101" s="32"/>
      <c r="M101" s="32"/>
      <c r="N101" s="32"/>
      <c r="P101" s="32"/>
      <c r="Q101" s="32"/>
      <c r="R101" s="32"/>
      <c r="S101" s="32"/>
      <c r="U101" s="32"/>
      <c r="V101" s="32"/>
      <c r="W101" s="32"/>
      <c r="X101" s="32"/>
      <c r="Y101" s="32"/>
      <c r="Z101" s="32"/>
      <c r="AB101" s="32"/>
      <c r="AC101" s="32"/>
      <c r="AD101" s="32"/>
      <c r="AE101" s="32"/>
      <c r="AF101" s="32"/>
      <c r="AG101" s="32"/>
    </row>
    <row r="102" ht="14.25" customHeight="1">
      <c r="E102" s="33" t="str">
        <f t="shared" si="1"/>
        <v/>
      </c>
      <c r="F102" s="34" t="str">
        <f t="shared" si="2"/>
        <v/>
      </c>
      <c r="G102" s="34" t="str">
        <f t="shared" si="3"/>
        <v/>
      </c>
      <c r="H102" s="34" t="str">
        <f t="shared" si="4"/>
        <v/>
      </c>
      <c r="I102" s="34" t="str">
        <f t="shared" si="5"/>
        <v/>
      </c>
      <c r="J102" s="34" t="str">
        <f t="shared" si="6"/>
        <v/>
      </c>
      <c r="K102" s="32"/>
      <c r="L102" s="32"/>
      <c r="M102" s="32"/>
      <c r="N102" s="32"/>
      <c r="P102" s="32"/>
      <c r="Q102" s="32"/>
      <c r="R102" s="32"/>
      <c r="S102" s="32"/>
      <c r="U102" s="32"/>
      <c r="V102" s="32"/>
      <c r="W102" s="32"/>
      <c r="X102" s="32"/>
      <c r="Y102" s="32"/>
      <c r="Z102" s="32"/>
      <c r="AB102" s="32"/>
      <c r="AC102" s="32"/>
      <c r="AD102" s="32"/>
      <c r="AE102" s="32"/>
      <c r="AF102" s="32"/>
      <c r="AG102" s="32"/>
    </row>
    <row r="103" ht="14.25" customHeight="1">
      <c r="E103" s="33" t="str">
        <f t="shared" si="1"/>
        <v/>
      </c>
      <c r="F103" s="34" t="str">
        <f t="shared" si="2"/>
        <v/>
      </c>
      <c r="G103" s="34" t="str">
        <f t="shared" si="3"/>
        <v/>
      </c>
      <c r="H103" s="34" t="str">
        <f t="shared" si="4"/>
        <v/>
      </c>
      <c r="I103" s="34" t="str">
        <f t="shared" si="5"/>
        <v/>
      </c>
      <c r="J103" s="34" t="str">
        <f t="shared" si="6"/>
        <v/>
      </c>
      <c r="K103" s="32"/>
      <c r="L103" s="32"/>
      <c r="M103" s="32"/>
      <c r="N103" s="32"/>
      <c r="P103" s="32"/>
      <c r="Q103" s="32"/>
      <c r="R103" s="32"/>
      <c r="S103" s="32"/>
      <c r="U103" s="32"/>
      <c r="V103" s="32"/>
      <c r="W103" s="32"/>
      <c r="X103" s="32"/>
      <c r="Y103" s="32"/>
      <c r="Z103" s="32"/>
      <c r="AB103" s="32"/>
      <c r="AC103" s="32"/>
      <c r="AD103" s="32"/>
      <c r="AE103" s="32"/>
      <c r="AF103" s="32"/>
      <c r="AG103" s="32"/>
    </row>
    <row r="104" ht="14.25" customHeight="1">
      <c r="E104" s="33" t="str">
        <f t="shared" si="1"/>
        <v/>
      </c>
      <c r="F104" s="34" t="str">
        <f t="shared" si="2"/>
        <v/>
      </c>
      <c r="G104" s="34" t="str">
        <f t="shared" si="3"/>
        <v/>
      </c>
      <c r="H104" s="34" t="str">
        <f t="shared" si="4"/>
        <v/>
      </c>
      <c r="I104" s="34" t="str">
        <f t="shared" si="5"/>
        <v/>
      </c>
      <c r="J104" s="34" t="str">
        <f t="shared" si="6"/>
        <v/>
      </c>
      <c r="K104" s="32"/>
      <c r="L104" s="32"/>
      <c r="M104" s="32"/>
      <c r="N104" s="32"/>
      <c r="P104" s="32"/>
      <c r="Q104" s="32"/>
      <c r="R104" s="32"/>
      <c r="S104" s="32"/>
      <c r="U104" s="32"/>
      <c r="V104" s="32"/>
      <c r="W104" s="32"/>
      <c r="X104" s="32"/>
      <c r="Y104" s="32"/>
      <c r="Z104" s="32"/>
      <c r="AB104" s="32"/>
      <c r="AC104" s="32"/>
      <c r="AD104" s="32"/>
      <c r="AE104" s="32"/>
      <c r="AF104" s="32"/>
      <c r="AG104" s="32"/>
    </row>
    <row r="105" ht="14.25" customHeight="1">
      <c r="E105" s="33" t="str">
        <f t="shared" si="1"/>
        <v/>
      </c>
      <c r="F105" s="34" t="str">
        <f t="shared" si="2"/>
        <v/>
      </c>
      <c r="G105" s="34" t="str">
        <f t="shared" si="3"/>
        <v/>
      </c>
      <c r="H105" s="34" t="str">
        <f t="shared" si="4"/>
        <v/>
      </c>
      <c r="I105" s="34" t="str">
        <f t="shared" si="5"/>
        <v/>
      </c>
      <c r="J105" s="34" t="str">
        <f t="shared" si="6"/>
        <v/>
      </c>
      <c r="K105" s="32"/>
      <c r="L105" s="32"/>
      <c r="M105" s="32"/>
      <c r="N105" s="32"/>
      <c r="P105" s="32"/>
      <c r="Q105" s="32"/>
      <c r="R105" s="32"/>
      <c r="S105" s="32"/>
      <c r="U105" s="32"/>
      <c r="V105" s="32"/>
      <c r="W105" s="32"/>
      <c r="X105" s="32"/>
      <c r="Y105" s="32"/>
      <c r="Z105" s="32"/>
      <c r="AB105" s="32"/>
      <c r="AC105" s="32"/>
      <c r="AD105" s="32"/>
      <c r="AE105" s="32"/>
      <c r="AF105" s="32"/>
      <c r="AG105" s="32"/>
    </row>
    <row r="106" ht="14.25" customHeight="1">
      <c r="E106" s="33" t="str">
        <f t="shared" si="1"/>
        <v/>
      </c>
      <c r="F106" s="34" t="str">
        <f t="shared" si="2"/>
        <v/>
      </c>
      <c r="G106" s="34" t="str">
        <f t="shared" si="3"/>
        <v/>
      </c>
      <c r="H106" s="34" t="str">
        <f t="shared" si="4"/>
        <v/>
      </c>
      <c r="I106" s="34" t="str">
        <f t="shared" si="5"/>
        <v/>
      </c>
      <c r="J106" s="34" t="str">
        <f t="shared" si="6"/>
        <v/>
      </c>
      <c r="K106" s="32"/>
      <c r="L106" s="32"/>
      <c r="M106" s="32"/>
      <c r="N106" s="32"/>
      <c r="P106" s="32"/>
      <c r="Q106" s="32"/>
      <c r="R106" s="32"/>
      <c r="S106" s="32"/>
      <c r="U106" s="32"/>
      <c r="V106" s="32"/>
      <c r="W106" s="32"/>
      <c r="X106" s="32"/>
      <c r="Y106" s="32"/>
      <c r="Z106" s="32"/>
      <c r="AB106" s="32"/>
      <c r="AC106" s="32"/>
      <c r="AD106" s="32"/>
      <c r="AE106" s="32"/>
      <c r="AF106" s="32"/>
      <c r="AG106" s="32"/>
    </row>
    <row r="107" ht="14.25" customHeight="1">
      <c r="E107" s="33" t="str">
        <f t="shared" si="1"/>
        <v/>
      </c>
      <c r="F107" s="34" t="str">
        <f t="shared" si="2"/>
        <v/>
      </c>
      <c r="G107" s="34" t="str">
        <f t="shared" si="3"/>
        <v/>
      </c>
      <c r="H107" s="34" t="str">
        <f t="shared" si="4"/>
        <v/>
      </c>
      <c r="I107" s="34" t="str">
        <f t="shared" si="5"/>
        <v/>
      </c>
      <c r="J107" s="34" t="str">
        <f t="shared" si="6"/>
        <v/>
      </c>
      <c r="K107" s="32"/>
      <c r="L107" s="32"/>
      <c r="M107" s="32"/>
      <c r="N107" s="32"/>
      <c r="P107" s="32"/>
      <c r="Q107" s="32"/>
      <c r="R107" s="32"/>
      <c r="S107" s="32"/>
      <c r="U107" s="32"/>
      <c r="V107" s="32"/>
      <c r="W107" s="32"/>
      <c r="X107" s="32"/>
      <c r="Y107" s="32"/>
      <c r="Z107" s="32"/>
      <c r="AB107" s="32"/>
      <c r="AC107" s="32"/>
      <c r="AD107" s="32"/>
      <c r="AE107" s="32"/>
      <c r="AF107" s="32"/>
      <c r="AG107" s="32"/>
    </row>
    <row r="108" ht="14.25" customHeight="1">
      <c r="E108" s="33" t="str">
        <f t="shared" si="1"/>
        <v/>
      </c>
      <c r="F108" s="34" t="str">
        <f t="shared" si="2"/>
        <v/>
      </c>
      <c r="G108" s="34" t="str">
        <f t="shared" si="3"/>
        <v/>
      </c>
      <c r="H108" s="34" t="str">
        <f t="shared" si="4"/>
        <v/>
      </c>
      <c r="I108" s="34" t="str">
        <f t="shared" si="5"/>
        <v/>
      </c>
      <c r="J108" s="34" t="str">
        <f t="shared" si="6"/>
        <v/>
      </c>
      <c r="K108" s="32"/>
      <c r="L108" s="32"/>
      <c r="M108" s="32"/>
      <c r="N108" s="32"/>
      <c r="P108" s="32"/>
      <c r="Q108" s="32"/>
      <c r="R108" s="32"/>
      <c r="S108" s="32"/>
      <c r="U108" s="32"/>
      <c r="V108" s="32"/>
      <c r="W108" s="32"/>
      <c r="X108" s="32"/>
      <c r="Y108" s="32"/>
      <c r="Z108" s="32"/>
      <c r="AB108" s="32"/>
      <c r="AC108" s="32"/>
      <c r="AD108" s="32"/>
      <c r="AE108" s="32"/>
      <c r="AF108" s="32"/>
      <c r="AG108" s="32"/>
    </row>
    <row r="109" ht="14.25" customHeight="1">
      <c r="E109" s="33" t="str">
        <f t="shared" si="1"/>
        <v/>
      </c>
      <c r="F109" s="34" t="str">
        <f t="shared" si="2"/>
        <v/>
      </c>
      <c r="G109" s="34" t="str">
        <f t="shared" si="3"/>
        <v/>
      </c>
      <c r="H109" s="34" t="str">
        <f t="shared" si="4"/>
        <v/>
      </c>
      <c r="I109" s="34" t="str">
        <f t="shared" si="5"/>
        <v/>
      </c>
      <c r="J109" s="34" t="str">
        <f t="shared" si="6"/>
        <v/>
      </c>
      <c r="K109" s="32"/>
      <c r="L109" s="32"/>
      <c r="M109" s="32"/>
      <c r="N109" s="32"/>
      <c r="P109" s="32"/>
      <c r="Q109" s="32"/>
      <c r="R109" s="32"/>
      <c r="S109" s="32"/>
      <c r="U109" s="32"/>
      <c r="V109" s="32"/>
      <c r="W109" s="32"/>
      <c r="X109" s="32"/>
      <c r="Y109" s="32"/>
      <c r="Z109" s="32"/>
      <c r="AB109" s="32"/>
      <c r="AC109" s="32"/>
      <c r="AD109" s="32"/>
      <c r="AE109" s="32"/>
      <c r="AF109" s="32"/>
      <c r="AG109" s="32"/>
    </row>
    <row r="110" ht="14.25" customHeight="1">
      <c r="E110" s="33" t="str">
        <f t="shared" si="1"/>
        <v/>
      </c>
      <c r="F110" s="34" t="str">
        <f t="shared" si="2"/>
        <v/>
      </c>
      <c r="G110" s="34" t="str">
        <f t="shared" si="3"/>
        <v/>
      </c>
      <c r="H110" s="34" t="str">
        <f t="shared" si="4"/>
        <v/>
      </c>
      <c r="I110" s="34" t="str">
        <f t="shared" si="5"/>
        <v/>
      </c>
      <c r="J110" s="34" t="str">
        <f t="shared" si="6"/>
        <v/>
      </c>
      <c r="K110" s="32"/>
      <c r="L110" s="32"/>
      <c r="M110" s="32"/>
      <c r="N110" s="32"/>
      <c r="P110" s="32"/>
      <c r="Q110" s="32"/>
      <c r="R110" s="32"/>
      <c r="S110" s="32"/>
      <c r="U110" s="32"/>
      <c r="V110" s="32"/>
      <c r="W110" s="32"/>
      <c r="X110" s="32"/>
      <c r="Y110" s="32"/>
      <c r="Z110" s="32"/>
      <c r="AB110" s="32"/>
      <c r="AC110" s="32"/>
      <c r="AD110" s="32"/>
      <c r="AE110" s="32"/>
      <c r="AF110" s="32"/>
      <c r="AG110" s="32"/>
    </row>
    <row r="111" ht="14.25" customHeight="1">
      <c r="E111" s="33" t="str">
        <f t="shared" si="1"/>
        <v/>
      </c>
      <c r="F111" s="34" t="str">
        <f t="shared" si="2"/>
        <v/>
      </c>
      <c r="G111" s="34" t="str">
        <f t="shared" si="3"/>
        <v/>
      </c>
      <c r="H111" s="34" t="str">
        <f t="shared" si="4"/>
        <v/>
      </c>
      <c r="I111" s="34" t="str">
        <f t="shared" si="5"/>
        <v/>
      </c>
      <c r="J111" s="34" t="str">
        <f t="shared" si="6"/>
        <v/>
      </c>
      <c r="K111" s="32"/>
      <c r="L111" s="32"/>
      <c r="M111" s="32"/>
      <c r="N111" s="32"/>
      <c r="P111" s="32"/>
      <c r="Q111" s="32"/>
      <c r="R111" s="32"/>
      <c r="S111" s="32"/>
      <c r="U111" s="32"/>
      <c r="V111" s="32"/>
      <c r="W111" s="32"/>
      <c r="X111" s="32"/>
      <c r="Y111" s="32"/>
      <c r="Z111" s="32"/>
      <c r="AB111" s="32"/>
      <c r="AC111" s="32"/>
      <c r="AD111" s="32"/>
      <c r="AE111" s="32"/>
      <c r="AF111" s="32"/>
      <c r="AG111" s="32"/>
    </row>
    <row r="112" ht="14.25" customHeight="1">
      <c r="E112" s="33" t="str">
        <f t="shared" si="1"/>
        <v/>
      </c>
      <c r="F112" s="34" t="str">
        <f t="shared" si="2"/>
        <v/>
      </c>
      <c r="G112" s="34" t="str">
        <f t="shared" si="3"/>
        <v/>
      </c>
      <c r="H112" s="34" t="str">
        <f t="shared" si="4"/>
        <v/>
      </c>
      <c r="I112" s="34" t="str">
        <f t="shared" si="5"/>
        <v/>
      </c>
      <c r="J112" s="34" t="str">
        <f t="shared" si="6"/>
        <v/>
      </c>
      <c r="K112" s="32"/>
      <c r="L112" s="32"/>
      <c r="M112" s="32"/>
      <c r="N112" s="32"/>
      <c r="P112" s="32"/>
      <c r="Q112" s="32"/>
      <c r="R112" s="32"/>
      <c r="S112" s="32"/>
      <c r="U112" s="32"/>
      <c r="V112" s="32"/>
      <c r="W112" s="32"/>
      <c r="X112" s="32"/>
      <c r="Y112" s="32"/>
      <c r="Z112" s="32"/>
      <c r="AB112" s="32"/>
      <c r="AC112" s="32"/>
      <c r="AD112" s="32"/>
      <c r="AE112" s="32"/>
      <c r="AF112" s="32"/>
      <c r="AG112" s="32"/>
    </row>
    <row r="113" ht="14.25" customHeight="1">
      <c r="E113" s="33" t="str">
        <f t="shared" si="1"/>
        <v/>
      </c>
      <c r="F113" s="34" t="str">
        <f t="shared" si="2"/>
        <v/>
      </c>
      <c r="G113" s="34" t="str">
        <f t="shared" si="3"/>
        <v/>
      </c>
      <c r="H113" s="34" t="str">
        <f t="shared" si="4"/>
        <v/>
      </c>
      <c r="I113" s="34" t="str">
        <f t="shared" si="5"/>
        <v/>
      </c>
      <c r="J113" s="34" t="str">
        <f t="shared" si="6"/>
        <v/>
      </c>
      <c r="K113" s="32"/>
      <c r="L113" s="32"/>
      <c r="M113" s="32"/>
      <c r="N113" s="32"/>
      <c r="P113" s="32"/>
      <c r="Q113" s="32"/>
      <c r="R113" s="32"/>
      <c r="S113" s="32"/>
      <c r="U113" s="32"/>
      <c r="V113" s="32"/>
      <c r="W113" s="32"/>
      <c r="X113" s="32"/>
      <c r="Y113" s="32"/>
      <c r="Z113" s="32"/>
      <c r="AB113" s="32"/>
      <c r="AC113" s="32"/>
      <c r="AD113" s="32"/>
      <c r="AE113" s="32"/>
      <c r="AF113" s="32"/>
      <c r="AG113" s="32"/>
    </row>
    <row r="114" ht="14.25" customHeight="1">
      <c r="E114" s="33" t="str">
        <f t="shared" si="1"/>
        <v/>
      </c>
      <c r="F114" s="34" t="str">
        <f t="shared" si="2"/>
        <v/>
      </c>
      <c r="G114" s="34" t="str">
        <f t="shared" si="3"/>
        <v/>
      </c>
      <c r="H114" s="34" t="str">
        <f t="shared" si="4"/>
        <v/>
      </c>
      <c r="I114" s="34" t="str">
        <f t="shared" si="5"/>
        <v/>
      </c>
      <c r="J114" s="34" t="str">
        <f t="shared" si="6"/>
        <v/>
      </c>
      <c r="K114" s="32"/>
      <c r="L114" s="32"/>
      <c r="M114" s="32"/>
      <c r="N114" s="32"/>
      <c r="P114" s="32"/>
      <c r="Q114" s="32"/>
      <c r="R114" s="32"/>
      <c r="S114" s="32"/>
      <c r="U114" s="32"/>
      <c r="V114" s="32"/>
      <c r="W114" s="32"/>
      <c r="X114" s="32"/>
      <c r="Y114" s="32"/>
      <c r="Z114" s="32"/>
      <c r="AB114" s="32"/>
      <c r="AC114" s="32"/>
      <c r="AD114" s="32"/>
      <c r="AE114" s="32"/>
      <c r="AF114" s="32"/>
      <c r="AG114" s="32"/>
    </row>
    <row r="115" ht="14.25" customHeight="1">
      <c r="E115" s="33" t="str">
        <f t="shared" si="1"/>
        <v/>
      </c>
      <c r="F115" s="34" t="str">
        <f t="shared" si="2"/>
        <v/>
      </c>
      <c r="G115" s="34" t="str">
        <f t="shared" si="3"/>
        <v/>
      </c>
      <c r="H115" s="34" t="str">
        <f t="shared" si="4"/>
        <v/>
      </c>
      <c r="I115" s="34" t="str">
        <f t="shared" si="5"/>
        <v/>
      </c>
      <c r="J115" s="34" t="str">
        <f t="shared" si="6"/>
        <v/>
      </c>
      <c r="K115" s="32"/>
      <c r="L115" s="32"/>
      <c r="M115" s="32"/>
      <c r="N115" s="32"/>
      <c r="P115" s="32"/>
      <c r="Q115" s="32"/>
      <c r="R115" s="32"/>
      <c r="S115" s="32"/>
      <c r="U115" s="32"/>
      <c r="V115" s="32"/>
      <c r="W115" s="32"/>
      <c r="X115" s="32"/>
      <c r="Y115" s="32"/>
      <c r="Z115" s="32"/>
      <c r="AB115" s="32"/>
      <c r="AC115" s="32"/>
      <c r="AD115" s="32"/>
      <c r="AE115" s="32"/>
      <c r="AF115" s="32"/>
      <c r="AG115" s="32"/>
    </row>
    <row r="116" ht="14.25" customHeight="1">
      <c r="E116" s="33" t="str">
        <f t="shared" si="1"/>
        <v/>
      </c>
      <c r="F116" s="34" t="str">
        <f t="shared" si="2"/>
        <v/>
      </c>
      <c r="G116" s="34" t="str">
        <f t="shared" si="3"/>
        <v/>
      </c>
      <c r="H116" s="34" t="str">
        <f t="shared" si="4"/>
        <v/>
      </c>
      <c r="I116" s="34" t="str">
        <f t="shared" si="5"/>
        <v/>
      </c>
      <c r="J116" s="34" t="str">
        <f t="shared" si="6"/>
        <v/>
      </c>
      <c r="K116" s="32"/>
      <c r="L116" s="32"/>
      <c r="M116" s="32"/>
      <c r="N116" s="32"/>
      <c r="P116" s="32"/>
      <c r="Q116" s="32"/>
      <c r="R116" s="32"/>
      <c r="S116" s="32"/>
      <c r="U116" s="32"/>
      <c r="V116" s="32"/>
      <c r="W116" s="32"/>
      <c r="X116" s="32"/>
      <c r="Y116" s="32"/>
      <c r="Z116" s="32"/>
      <c r="AB116" s="32"/>
      <c r="AC116" s="32"/>
      <c r="AD116" s="32"/>
      <c r="AE116" s="32"/>
      <c r="AF116" s="32"/>
      <c r="AG116" s="32"/>
    </row>
    <row r="117" ht="14.25" customHeight="1">
      <c r="E117" s="33" t="str">
        <f t="shared" si="1"/>
        <v/>
      </c>
      <c r="F117" s="34" t="str">
        <f t="shared" si="2"/>
        <v/>
      </c>
      <c r="G117" s="34" t="str">
        <f t="shared" si="3"/>
        <v/>
      </c>
      <c r="H117" s="34" t="str">
        <f t="shared" si="4"/>
        <v/>
      </c>
      <c r="I117" s="34" t="str">
        <f t="shared" si="5"/>
        <v/>
      </c>
      <c r="J117" s="34" t="str">
        <f t="shared" si="6"/>
        <v/>
      </c>
      <c r="K117" s="32"/>
      <c r="L117" s="32"/>
      <c r="M117" s="32"/>
      <c r="N117" s="32"/>
      <c r="P117" s="32"/>
      <c r="Q117" s="32"/>
      <c r="R117" s="32"/>
      <c r="S117" s="32"/>
      <c r="U117" s="32"/>
      <c r="V117" s="32"/>
      <c r="W117" s="32"/>
      <c r="X117" s="32"/>
      <c r="Y117" s="32"/>
      <c r="Z117" s="32"/>
      <c r="AB117" s="32"/>
      <c r="AC117" s="32"/>
      <c r="AD117" s="32"/>
      <c r="AE117" s="32"/>
      <c r="AF117" s="32"/>
      <c r="AG117" s="32"/>
    </row>
    <row r="118" ht="14.25" customHeight="1">
      <c r="E118" s="33" t="str">
        <f t="shared" si="1"/>
        <v/>
      </c>
      <c r="F118" s="34" t="str">
        <f t="shared" si="2"/>
        <v/>
      </c>
      <c r="G118" s="34" t="str">
        <f t="shared" si="3"/>
        <v/>
      </c>
      <c r="H118" s="34" t="str">
        <f t="shared" si="4"/>
        <v/>
      </c>
      <c r="I118" s="34" t="str">
        <f t="shared" si="5"/>
        <v/>
      </c>
      <c r="J118" s="34" t="str">
        <f t="shared" si="6"/>
        <v/>
      </c>
      <c r="K118" s="32"/>
      <c r="L118" s="32"/>
      <c r="M118" s="32"/>
      <c r="N118" s="32"/>
      <c r="P118" s="32"/>
      <c r="Q118" s="32"/>
      <c r="R118" s="32"/>
      <c r="S118" s="32"/>
      <c r="U118" s="32"/>
      <c r="V118" s="32"/>
      <c r="W118" s="32"/>
      <c r="X118" s="32"/>
      <c r="Y118" s="32"/>
      <c r="Z118" s="32"/>
      <c r="AB118" s="32"/>
      <c r="AC118" s="32"/>
      <c r="AD118" s="32"/>
      <c r="AE118" s="32"/>
      <c r="AF118" s="32"/>
      <c r="AG118" s="32"/>
    </row>
    <row r="119" ht="14.25" customHeight="1">
      <c r="E119" s="33" t="str">
        <f t="shared" si="1"/>
        <v/>
      </c>
      <c r="F119" s="34" t="str">
        <f t="shared" si="2"/>
        <v/>
      </c>
      <c r="G119" s="34" t="str">
        <f t="shared" si="3"/>
        <v/>
      </c>
      <c r="H119" s="34" t="str">
        <f t="shared" si="4"/>
        <v/>
      </c>
      <c r="I119" s="34" t="str">
        <f t="shared" si="5"/>
        <v/>
      </c>
      <c r="J119" s="34" t="str">
        <f t="shared" si="6"/>
        <v/>
      </c>
      <c r="K119" s="32"/>
      <c r="L119" s="32"/>
      <c r="M119" s="32"/>
      <c r="N119" s="32"/>
      <c r="P119" s="32"/>
      <c r="Q119" s="32"/>
      <c r="R119" s="32"/>
      <c r="S119" s="32"/>
      <c r="U119" s="32"/>
      <c r="V119" s="32"/>
      <c r="W119" s="32"/>
      <c r="X119" s="32"/>
      <c r="Y119" s="32"/>
      <c r="Z119" s="32"/>
      <c r="AB119" s="32"/>
      <c r="AC119" s="32"/>
      <c r="AD119" s="32"/>
      <c r="AE119" s="32"/>
      <c r="AF119" s="32"/>
      <c r="AG119" s="32"/>
    </row>
    <row r="120" ht="14.25" customHeight="1">
      <c r="E120" s="33" t="str">
        <f t="shared" si="1"/>
        <v/>
      </c>
      <c r="F120" s="34" t="str">
        <f t="shared" si="2"/>
        <v/>
      </c>
      <c r="G120" s="34" t="str">
        <f t="shared" si="3"/>
        <v/>
      </c>
      <c r="H120" s="34" t="str">
        <f t="shared" si="4"/>
        <v/>
      </c>
      <c r="I120" s="34" t="str">
        <f t="shared" si="5"/>
        <v/>
      </c>
      <c r="J120" s="34" t="str">
        <f t="shared" si="6"/>
        <v/>
      </c>
      <c r="K120" s="32"/>
      <c r="L120" s="32"/>
      <c r="M120" s="32"/>
      <c r="N120" s="32"/>
      <c r="P120" s="32"/>
      <c r="Q120" s="32"/>
      <c r="R120" s="32"/>
      <c r="S120" s="32"/>
      <c r="U120" s="32"/>
      <c r="V120" s="32"/>
      <c r="W120" s="32"/>
      <c r="X120" s="32"/>
      <c r="Y120" s="32"/>
      <c r="Z120" s="32"/>
      <c r="AB120" s="32"/>
      <c r="AC120" s="32"/>
      <c r="AD120" s="32"/>
      <c r="AE120" s="32"/>
      <c r="AF120" s="32"/>
      <c r="AG120" s="32"/>
    </row>
    <row r="121" ht="14.25" customHeight="1">
      <c r="E121" s="33" t="str">
        <f t="shared" si="1"/>
        <v/>
      </c>
      <c r="F121" s="34" t="str">
        <f t="shared" si="2"/>
        <v/>
      </c>
      <c r="G121" s="34" t="str">
        <f t="shared" si="3"/>
        <v/>
      </c>
      <c r="H121" s="34" t="str">
        <f t="shared" si="4"/>
        <v/>
      </c>
      <c r="I121" s="34" t="str">
        <f t="shared" si="5"/>
        <v/>
      </c>
      <c r="J121" s="34" t="str">
        <f t="shared" si="6"/>
        <v/>
      </c>
      <c r="K121" s="32"/>
      <c r="L121" s="32"/>
      <c r="M121" s="32"/>
      <c r="N121" s="32"/>
      <c r="P121" s="32"/>
      <c r="Q121" s="32"/>
      <c r="R121" s="32"/>
      <c r="S121" s="32"/>
      <c r="U121" s="32"/>
      <c r="V121" s="32"/>
      <c r="W121" s="32"/>
      <c r="X121" s="32"/>
      <c r="Y121" s="32"/>
      <c r="Z121" s="32"/>
      <c r="AB121" s="32"/>
      <c r="AC121" s="32"/>
      <c r="AD121" s="32"/>
      <c r="AE121" s="32"/>
      <c r="AF121" s="32"/>
      <c r="AG121" s="32"/>
    </row>
    <row r="122" ht="14.25" customHeight="1">
      <c r="E122" s="33" t="str">
        <f t="shared" si="1"/>
        <v/>
      </c>
      <c r="F122" s="34" t="str">
        <f t="shared" si="2"/>
        <v/>
      </c>
      <c r="G122" s="34" t="str">
        <f t="shared" si="3"/>
        <v/>
      </c>
      <c r="H122" s="34" t="str">
        <f t="shared" si="4"/>
        <v/>
      </c>
      <c r="I122" s="34" t="str">
        <f t="shared" si="5"/>
        <v/>
      </c>
      <c r="J122" s="34" t="str">
        <f t="shared" si="6"/>
        <v/>
      </c>
      <c r="K122" s="32"/>
      <c r="L122" s="32"/>
      <c r="M122" s="32"/>
      <c r="N122" s="32"/>
      <c r="P122" s="32"/>
      <c r="Q122" s="32"/>
      <c r="R122" s="32"/>
      <c r="S122" s="32"/>
      <c r="U122" s="32"/>
      <c r="V122" s="32"/>
      <c r="W122" s="32"/>
      <c r="X122" s="32"/>
      <c r="Y122" s="32"/>
      <c r="Z122" s="32"/>
      <c r="AB122" s="32"/>
      <c r="AC122" s="32"/>
      <c r="AD122" s="32"/>
      <c r="AE122" s="32"/>
      <c r="AF122" s="32"/>
      <c r="AG122" s="32"/>
    </row>
    <row r="123" ht="14.25" customHeight="1">
      <c r="E123" s="33" t="str">
        <f t="shared" si="1"/>
        <v/>
      </c>
      <c r="F123" s="34" t="str">
        <f t="shared" si="2"/>
        <v/>
      </c>
      <c r="G123" s="34" t="str">
        <f t="shared" si="3"/>
        <v/>
      </c>
      <c r="H123" s="34" t="str">
        <f t="shared" si="4"/>
        <v/>
      </c>
      <c r="I123" s="34" t="str">
        <f t="shared" si="5"/>
        <v/>
      </c>
      <c r="J123" s="34" t="str">
        <f t="shared" si="6"/>
        <v/>
      </c>
      <c r="K123" s="32"/>
      <c r="L123" s="32"/>
      <c r="M123" s="32"/>
      <c r="N123" s="32"/>
      <c r="P123" s="32"/>
      <c r="Q123" s="32"/>
      <c r="R123" s="32"/>
      <c r="S123" s="32"/>
      <c r="U123" s="32"/>
      <c r="V123" s="32"/>
      <c r="W123" s="32"/>
      <c r="X123" s="32"/>
      <c r="Y123" s="32"/>
      <c r="Z123" s="32"/>
      <c r="AB123" s="32"/>
      <c r="AC123" s="32"/>
      <c r="AD123" s="32"/>
      <c r="AE123" s="32"/>
      <c r="AF123" s="32"/>
      <c r="AG123" s="32"/>
    </row>
    <row r="124" ht="14.25" customHeight="1">
      <c r="E124" s="33" t="str">
        <f t="shared" si="1"/>
        <v/>
      </c>
      <c r="F124" s="34" t="str">
        <f t="shared" si="2"/>
        <v/>
      </c>
      <c r="G124" s="34" t="str">
        <f t="shared" si="3"/>
        <v/>
      </c>
      <c r="H124" s="34" t="str">
        <f t="shared" si="4"/>
        <v/>
      </c>
      <c r="I124" s="34" t="str">
        <f t="shared" si="5"/>
        <v/>
      </c>
      <c r="J124" s="34" t="str">
        <f t="shared" si="6"/>
        <v/>
      </c>
      <c r="K124" s="32"/>
      <c r="L124" s="32"/>
      <c r="M124" s="32"/>
      <c r="N124" s="32"/>
      <c r="P124" s="32"/>
      <c r="Q124" s="32"/>
      <c r="R124" s="32"/>
      <c r="S124" s="32"/>
      <c r="U124" s="32"/>
      <c r="V124" s="32"/>
      <c r="W124" s="32"/>
      <c r="X124" s="32"/>
      <c r="Y124" s="32"/>
      <c r="Z124" s="32"/>
      <c r="AB124" s="32"/>
      <c r="AC124" s="32"/>
      <c r="AD124" s="32"/>
      <c r="AE124" s="32"/>
      <c r="AF124" s="32"/>
      <c r="AG124" s="32"/>
    </row>
    <row r="125" ht="14.25" customHeight="1">
      <c r="E125" s="33" t="str">
        <f t="shared" si="1"/>
        <v/>
      </c>
      <c r="F125" s="34" t="str">
        <f t="shared" si="2"/>
        <v/>
      </c>
      <c r="G125" s="34" t="str">
        <f t="shared" si="3"/>
        <v/>
      </c>
      <c r="H125" s="34" t="str">
        <f t="shared" si="4"/>
        <v/>
      </c>
      <c r="I125" s="34" t="str">
        <f t="shared" si="5"/>
        <v/>
      </c>
      <c r="J125" s="34" t="str">
        <f t="shared" si="6"/>
        <v/>
      </c>
      <c r="K125" s="32"/>
      <c r="L125" s="32"/>
      <c r="M125" s="32"/>
      <c r="N125" s="32"/>
      <c r="P125" s="32"/>
      <c r="Q125" s="32"/>
      <c r="R125" s="32"/>
      <c r="S125" s="32"/>
      <c r="U125" s="32"/>
      <c r="V125" s="32"/>
      <c r="W125" s="32"/>
      <c r="X125" s="32"/>
      <c r="Y125" s="32"/>
      <c r="Z125" s="32"/>
      <c r="AB125" s="32"/>
      <c r="AC125" s="32"/>
      <c r="AD125" s="32"/>
      <c r="AE125" s="32"/>
      <c r="AF125" s="32"/>
      <c r="AG125" s="32"/>
    </row>
    <row r="126" ht="14.25" customHeight="1">
      <c r="E126" s="33" t="str">
        <f t="shared" si="1"/>
        <v/>
      </c>
      <c r="F126" s="34" t="str">
        <f t="shared" si="2"/>
        <v/>
      </c>
      <c r="G126" s="34" t="str">
        <f t="shared" si="3"/>
        <v/>
      </c>
      <c r="H126" s="34" t="str">
        <f t="shared" si="4"/>
        <v/>
      </c>
      <c r="I126" s="34" t="str">
        <f t="shared" si="5"/>
        <v/>
      </c>
      <c r="J126" s="34" t="str">
        <f t="shared" si="6"/>
        <v/>
      </c>
      <c r="K126" s="32"/>
      <c r="L126" s="32"/>
      <c r="M126" s="32"/>
      <c r="N126" s="32"/>
      <c r="P126" s="32"/>
      <c r="Q126" s="32"/>
      <c r="R126" s="32"/>
      <c r="S126" s="32"/>
      <c r="U126" s="32"/>
      <c r="V126" s="32"/>
      <c r="W126" s="32"/>
      <c r="X126" s="32"/>
      <c r="Y126" s="32"/>
      <c r="Z126" s="32"/>
      <c r="AB126" s="32"/>
      <c r="AC126" s="32"/>
      <c r="AD126" s="32"/>
      <c r="AE126" s="32"/>
      <c r="AF126" s="32"/>
      <c r="AG126" s="32"/>
    </row>
    <row r="127" ht="14.25" customHeight="1">
      <c r="E127" s="33" t="str">
        <f t="shared" si="1"/>
        <v/>
      </c>
      <c r="F127" s="34" t="str">
        <f t="shared" si="2"/>
        <v/>
      </c>
      <c r="G127" s="34" t="str">
        <f t="shared" si="3"/>
        <v/>
      </c>
      <c r="H127" s="34" t="str">
        <f t="shared" si="4"/>
        <v/>
      </c>
      <c r="I127" s="34" t="str">
        <f t="shared" si="5"/>
        <v/>
      </c>
      <c r="J127" s="34" t="str">
        <f t="shared" si="6"/>
        <v/>
      </c>
      <c r="K127" s="32"/>
      <c r="L127" s="32"/>
      <c r="M127" s="32"/>
      <c r="N127" s="32"/>
      <c r="P127" s="32"/>
      <c r="Q127" s="32"/>
      <c r="R127" s="32"/>
      <c r="S127" s="32"/>
      <c r="U127" s="32"/>
      <c r="V127" s="32"/>
      <c r="W127" s="32"/>
      <c r="X127" s="32"/>
      <c r="Y127" s="32"/>
      <c r="Z127" s="32"/>
      <c r="AB127" s="32"/>
      <c r="AC127" s="32"/>
      <c r="AD127" s="32"/>
      <c r="AE127" s="32"/>
      <c r="AF127" s="32"/>
      <c r="AG127" s="32"/>
    </row>
    <row r="128" ht="14.25" customHeight="1">
      <c r="E128" s="33" t="str">
        <f t="shared" si="1"/>
        <v/>
      </c>
      <c r="F128" s="34" t="str">
        <f t="shared" si="2"/>
        <v/>
      </c>
      <c r="G128" s="34" t="str">
        <f t="shared" si="3"/>
        <v/>
      </c>
      <c r="H128" s="34" t="str">
        <f t="shared" si="4"/>
        <v/>
      </c>
      <c r="I128" s="34" t="str">
        <f t="shared" si="5"/>
        <v/>
      </c>
      <c r="J128" s="34" t="str">
        <f t="shared" si="6"/>
        <v/>
      </c>
      <c r="K128" s="32"/>
      <c r="L128" s="32"/>
      <c r="M128" s="32"/>
      <c r="N128" s="32"/>
      <c r="P128" s="32"/>
      <c r="Q128" s="32"/>
      <c r="R128" s="32"/>
      <c r="S128" s="32"/>
      <c r="U128" s="32"/>
      <c r="V128" s="32"/>
      <c r="W128" s="32"/>
      <c r="X128" s="32"/>
      <c r="Y128" s="32"/>
      <c r="Z128" s="32"/>
      <c r="AB128" s="32"/>
      <c r="AC128" s="32"/>
      <c r="AD128" s="32"/>
      <c r="AE128" s="32"/>
      <c r="AF128" s="32"/>
      <c r="AG128" s="32"/>
    </row>
    <row r="129" ht="14.25" customHeight="1">
      <c r="E129" s="33" t="str">
        <f t="shared" si="1"/>
        <v/>
      </c>
      <c r="F129" s="34" t="str">
        <f t="shared" si="2"/>
        <v/>
      </c>
      <c r="G129" s="34" t="str">
        <f t="shared" si="3"/>
        <v/>
      </c>
      <c r="H129" s="34" t="str">
        <f t="shared" si="4"/>
        <v/>
      </c>
      <c r="I129" s="34" t="str">
        <f t="shared" si="5"/>
        <v/>
      </c>
      <c r="J129" s="34" t="str">
        <f t="shared" si="6"/>
        <v/>
      </c>
      <c r="K129" s="32"/>
      <c r="L129" s="32"/>
      <c r="M129" s="32"/>
      <c r="N129" s="32"/>
      <c r="P129" s="32"/>
      <c r="Q129" s="32"/>
      <c r="R129" s="32"/>
      <c r="S129" s="32"/>
      <c r="U129" s="32"/>
      <c r="V129" s="32"/>
      <c r="W129" s="32"/>
      <c r="X129" s="32"/>
      <c r="Y129" s="32"/>
      <c r="Z129" s="32"/>
      <c r="AB129" s="32"/>
      <c r="AC129" s="32"/>
      <c r="AD129" s="32"/>
      <c r="AE129" s="32"/>
      <c r="AF129" s="32"/>
      <c r="AG129" s="32"/>
    </row>
    <row r="130" ht="14.25" customHeight="1">
      <c r="E130" s="33" t="str">
        <f t="shared" si="1"/>
        <v/>
      </c>
      <c r="F130" s="34" t="str">
        <f t="shared" si="2"/>
        <v/>
      </c>
      <c r="G130" s="34" t="str">
        <f t="shared" si="3"/>
        <v/>
      </c>
      <c r="H130" s="34" t="str">
        <f t="shared" si="4"/>
        <v/>
      </c>
      <c r="I130" s="34" t="str">
        <f t="shared" si="5"/>
        <v/>
      </c>
      <c r="J130" s="34" t="str">
        <f t="shared" si="6"/>
        <v/>
      </c>
      <c r="K130" s="32"/>
      <c r="L130" s="32"/>
      <c r="M130" s="32"/>
      <c r="N130" s="32"/>
      <c r="P130" s="32"/>
      <c r="Q130" s="32"/>
      <c r="R130" s="32"/>
      <c r="S130" s="32"/>
      <c r="U130" s="32"/>
      <c r="V130" s="32"/>
      <c r="W130" s="32"/>
      <c r="X130" s="32"/>
      <c r="Y130" s="32"/>
      <c r="Z130" s="32"/>
      <c r="AB130" s="32"/>
      <c r="AC130" s="32"/>
      <c r="AD130" s="32"/>
      <c r="AE130" s="32"/>
      <c r="AF130" s="32"/>
      <c r="AG130" s="32"/>
    </row>
    <row r="131" ht="14.25" customHeight="1">
      <c r="E131" s="33" t="str">
        <f t="shared" si="1"/>
        <v/>
      </c>
      <c r="F131" s="34" t="str">
        <f t="shared" si="2"/>
        <v/>
      </c>
      <c r="G131" s="34" t="str">
        <f t="shared" si="3"/>
        <v/>
      </c>
      <c r="H131" s="34" t="str">
        <f t="shared" si="4"/>
        <v/>
      </c>
      <c r="I131" s="34" t="str">
        <f t="shared" si="5"/>
        <v/>
      </c>
      <c r="J131" s="34" t="str">
        <f t="shared" si="6"/>
        <v/>
      </c>
      <c r="K131" s="32"/>
      <c r="L131" s="32"/>
      <c r="M131" s="32"/>
      <c r="N131" s="32"/>
      <c r="P131" s="32"/>
      <c r="Q131" s="32"/>
      <c r="R131" s="32"/>
      <c r="S131" s="32"/>
      <c r="U131" s="32"/>
      <c r="V131" s="32"/>
      <c r="W131" s="32"/>
      <c r="X131" s="32"/>
      <c r="Y131" s="32"/>
      <c r="Z131" s="32"/>
      <c r="AB131" s="32"/>
      <c r="AC131" s="32"/>
      <c r="AD131" s="32"/>
      <c r="AE131" s="32"/>
      <c r="AF131" s="32"/>
      <c r="AG131" s="32"/>
    </row>
    <row r="132" ht="14.25" customHeight="1">
      <c r="E132" s="33" t="str">
        <f t="shared" si="1"/>
        <v/>
      </c>
      <c r="F132" s="34" t="str">
        <f t="shared" si="2"/>
        <v/>
      </c>
      <c r="G132" s="34" t="str">
        <f t="shared" si="3"/>
        <v/>
      </c>
      <c r="H132" s="34" t="str">
        <f t="shared" si="4"/>
        <v/>
      </c>
      <c r="I132" s="34" t="str">
        <f t="shared" si="5"/>
        <v/>
      </c>
      <c r="J132" s="34" t="str">
        <f t="shared" si="6"/>
        <v/>
      </c>
      <c r="K132" s="32"/>
      <c r="L132" s="32"/>
      <c r="M132" s="32"/>
      <c r="N132" s="32"/>
      <c r="P132" s="32"/>
      <c r="Q132" s="32"/>
      <c r="R132" s="32"/>
      <c r="S132" s="32"/>
      <c r="U132" s="32"/>
      <c r="V132" s="32"/>
      <c r="W132" s="32"/>
      <c r="X132" s="32"/>
      <c r="Y132" s="32"/>
      <c r="Z132" s="32"/>
      <c r="AB132" s="32"/>
      <c r="AC132" s="32"/>
      <c r="AD132" s="32"/>
      <c r="AE132" s="32"/>
      <c r="AF132" s="32"/>
      <c r="AG132" s="32"/>
    </row>
    <row r="133" ht="14.25" customHeight="1">
      <c r="E133" s="33" t="str">
        <f t="shared" si="1"/>
        <v/>
      </c>
      <c r="F133" s="34" t="str">
        <f t="shared" si="2"/>
        <v/>
      </c>
      <c r="G133" s="34" t="str">
        <f t="shared" si="3"/>
        <v/>
      </c>
      <c r="H133" s="34" t="str">
        <f t="shared" si="4"/>
        <v/>
      </c>
      <c r="I133" s="34" t="str">
        <f t="shared" si="5"/>
        <v/>
      </c>
      <c r="J133" s="34" t="str">
        <f t="shared" si="6"/>
        <v/>
      </c>
      <c r="K133" s="32"/>
      <c r="L133" s="32"/>
      <c r="M133" s="32"/>
      <c r="N133" s="32"/>
      <c r="P133" s="32"/>
      <c r="Q133" s="32"/>
      <c r="R133" s="32"/>
      <c r="S133" s="32"/>
      <c r="U133" s="32"/>
      <c r="V133" s="32"/>
      <c r="W133" s="32"/>
      <c r="X133" s="32"/>
      <c r="Y133" s="32"/>
      <c r="Z133" s="32"/>
      <c r="AB133" s="32"/>
      <c r="AC133" s="32"/>
      <c r="AD133" s="32"/>
      <c r="AE133" s="32"/>
      <c r="AF133" s="32"/>
      <c r="AG133" s="32"/>
    </row>
    <row r="134" ht="14.25" customHeight="1">
      <c r="E134" s="33" t="str">
        <f t="shared" si="1"/>
        <v/>
      </c>
      <c r="F134" s="34" t="str">
        <f t="shared" si="2"/>
        <v/>
      </c>
      <c r="G134" s="34" t="str">
        <f t="shared" si="3"/>
        <v/>
      </c>
      <c r="H134" s="34" t="str">
        <f t="shared" si="4"/>
        <v/>
      </c>
      <c r="I134" s="34" t="str">
        <f t="shared" si="5"/>
        <v/>
      </c>
      <c r="J134" s="34" t="str">
        <f t="shared" si="6"/>
        <v/>
      </c>
      <c r="K134" s="32"/>
      <c r="L134" s="32"/>
      <c r="M134" s="32"/>
      <c r="N134" s="32"/>
      <c r="P134" s="32"/>
      <c r="Q134" s="32"/>
      <c r="R134" s="32"/>
      <c r="S134" s="32"/>
      <c r="U134" s="32"/>
      <c r="V134" s="32"/>
      <c r="W134" s="32"/>
      <c r="X134" s="32"/>
      <c r="Y134" s="32"/>
      <c r="Z134" s="32"/>
      <c r="AB134" s="32"/>
      <c r="AC134" s="32"/>
      <c r="AD134" s="32"/>
      <c r="AE134" s="32"/>
      <c r="AF134" s="32"/>
      <c r="AG134" s="32"/>
    </row>
    <row r="135" ht="14.25" customHeight="1">
      <c r="E135" s="33" t="str">
        <f t="shared" si="1"/>
        <v/>
      </c>
      <c r="F135" s="34" t="str">
        <f t="shared" si="2"/>
        <v/>
      </c>
      <c r="G135" s="34" t="str">
        <f t="shared" si="3"/>
        <v/>
      </c>
      <c r="H135" s="34" t="str">
        <f t="shared" si="4"/>
        <v/>
      </c>
      <c r="I135" s="34" t="str">
        <f t="shared" si="5"/>
        <v/>
      </c>
      <c r="J135" s="34" t="str">
        <f t="shared" si="6"/>
        <v/>
      </c>
      <c r="K135" s="32"/>
      <c r="L135" s="32"/>
      <c r="M135" s="32"/>
      <c r="N135" s="32"/>
      <c r="P135" s="32"/>
      <c r="Q135" s="32"/>
      <c r="R135" s="32"/>
      <c r="S135" s="32"/>
      <c r="U135" s="32"/>
      <c r="V135" s="32"/>
      <c r="W135" s="32"/>
      <c r="X135" s="32"/>
      <c r="Y135" s="32"/>
      <c r="Z135" s="32"/>
      <c r="AB135" s="32"/>
      <c r="AC135" s="32"/>
      <c r="AD135" s="32"/>
      <c r="AE135" s="32"/>
      <c r="AF135" s="32"/>
      <c r="AG135" s="32"/>
    </row>
    <row r="136" ht="14.25" customHeight="1">
      <c r="E136" s="33" t="str">
        <f t="shared" si="1"/>
        <v/>
      </c>
      <c r="F136" s="34" t="str">
        <f t="shared" si="2"/>
        <v/>
      </c>
      <c r="G136" s="34" t="str">
        <f t="shared" si="3"/>
        <v/>
      </c>
      <c r="H136" s="34" t="str">
        <f t="shared" si="4"/>
        <v/>
      </c>
      <c r="I136" s="34" t="str">
        <f t="shared" si="5"/>
        <v/>
      </c>
      <c r="J136" s="34" t="str">
        <f t="shared" si="6"/>
        <v/>
      </c>
      <c r="K136" s="32"/>
      <c r="L136" s="32"/>
      <c r="M136" s="32"/>
      <c r="N136" s="32"/>
      <c r="P136" s="32"/>
      <c r="Q136" s="32"/>
      <c r="R136" s="32"/>
      <c r="S136" s="32"/>
      <c r="U136" s="32"/>
      <c r="V136" s="32"/>
      <c r="W136" s="32"/>
      <c r="X136" s="32"/>
      <c r="Y136" s="32"/>
      <c r="Z136" s="32"/>
      <c r="AB136" s="32"/>
      <c r="AC136" s="32"/>
      <c r="AD136" s="32"/>
      <c r="AE136" s="32"/>
      <c r="AF136" s="32"/>
      <c r="AG136" s="32"/>
    </row>
    <row r="137" ht="14.25" customHeight="1">
      <c r="E137" s="33" t="str">
        <f t="shared" si="1"/>
        <v/>
      </c>
      <c r="F137" s="34" t="str">
        <f t="shared" si="2"/>
        <v/>
      </c>
      <c r="G137" s="34" t="str">
        <f t="shared" si="3"/>
        <v/>
      </c>
      <c r="H137" s="34" t="str">
        <f t="shared" si="4"/>
        <v/>
      </c>
      <c r="I137" s="34" t="str">
        <f t="shared" si="5"/>
        <v/>
      </c>
      <c r="J137" s="34" t="str">
        <f t="shared" si="6"/>
        <v/>
      </c>
      <c r="K137" s="32"/>
      <c r="L137" s="32"/>
      <c r="M137" s="32"/>
      <c r="N137" s="32"/>
      <c r="P137" s="32"/>
      <c r="Q137" s="32"/>
      <c r="R137" s="32"/>
      <c r="S137" s="32"/>
      <c r="U137" s="32"/>
      <c r="V137" s="32"/>
      <c r="W137" s="32"/>
      <c r="X137" s="32"/>
      <c r="Y137" s="32"/>
      <c r="Z137" s="32"/>
      <c r="AB137" s="32"/>
      <c r="AC137" s="32"/>
      <c r="AD137" s="32"/>
      <c r="AE137" s="32"/>
      <c r="AF137" s="32"/>
      <c r="AG137" s="32"/>
    </row>
    <row r="138" ht="14.25" customHeight="1">
      <c r="E138" s="33" t="str">
        <f t="shared" si="1"/>
        <v/>
      </c>
      <c r="F138" s="34" t="str">
        <f t="shared" si="2"/>
        <v/>
      </c>
      <c r="G138" s="34" t="str">
        <f t="shared" si="3"/>
        <v/>
      </c>
      <c r="H138" s="34" t="str">
        <f t="shared" si="4"/>
        <v/>
      </c>
      <c r="I138" s="34" t="str">
        <f t="shared" si="5"/>
        <v/>
      </c>
      <c r="J138" s="34" t="str">
        <f t="shared" si="6"/>
        <v/>
      </c>
      <c r="K138" s="32"/>
      <c r="L138" s="32"/>
      <c r="M138" s="32"/>
      <c r="N138" s="32"/>
      <c r="P138" s="32"/>
      <c r="Q138" s="32"/>
      <c r="R138" s="32"/>
      <c r="S138" s="32"/>
      <c r="U138" s="32"/>
      <c r="V138" s="32"/>
      <c r="W138" s="32"/>
      <c r="X138" s="32"/>
      <c r="Y138" s="32"/>
      <c r="Z138" s="32"/>
      <c r="AB138" s="32"/>
      <c r="AC138" s="32"/>
      <c r="AD138" s="32"/>
      <c r="AE138" s="32"/>
      <c r="AF138" s="32"/>
      <c r="AG138" s="32"/>
    </row>
    <row r="139" ht="14.25" customHeight="1">
      <c r="E139" s="33" t="str">
        <f t="shared" si="1"/>
        <v/>
      </c>
      <c r="F139" s="34" t="str">
        <f t="shared" si="2"/>
        <v/>
      </c>
      <c r="G139" s="34" t="str">
        <f t="shared" si="3"/>
        <v/>
      </c>
      <c r="H139" s="34" t="str">
        <f t="shared" si="4"/>
        <v/>
      </c>
      <c r="I139" s="34" t="str">
        <f t="shared" si="5"/>
        <v/>
      </c>
      <c r="J139" s="34" t="str">
        <f t="shared" si="6"/>
        <v/>
      </c>
      <c r="K139" s="32"/>
      <c r="L139" s="32"/>
      <c r="M139" s="32"/>
      <c r="N139" s="32"/>
      <c r="P139" s="32"/>
      <c r="Q139" s="32"/>
      <c r="R139" s="32"/>
      <c r="S139" s="32"/>
      <c r="U139" s="32"/>
      <c r="V139" s="32"/>
      <c r="W139" s="32"/>
      <c r="X139" s="32"/>
      <c r="Y139" s="32"/>
      <c r="Z139" s="32"/>
      <c r="AB139" s="32"/>
      <c r="AC139" s="32"/>
      <c r="AD139" s="32"/>
      <c r="AE139" s="32"/>
      <c r="AF139" s="32"/>
      <c r="AG139" s="32"/>
    </row>
    <row r="140" ht="14.25" customHeight="1">
      <c r="E140" s="33" t="str">
        <f t="shared" si="1"/>
        <v/>
      </c>
      <c r="F140" s="34" t="str">
        <f t="shared" si="2"/>
        <v/>
      </c>
      <c r="G140" s="34" t="str">
        <f t="shared" si="3"/>
        <v/>
      </c>
      <c r="H140" s="34" t="str">
        <f t="shared" si="4"/>
        <v/>
      </c>
      <c r="I140" s="34" t="str">
        <f t="shared" si="5"/>
        <v/>
      </c>
      <c r="J140" s="34" t="str">
        <f t="shared" si="6"/>
        <v/>
      </c>
      <c r="K140" s="32"/>
      <c r="L140" s="32"/>
      <c r="M140" s="32"/>
      <c r="N140" s="32"/>
      <c r="P140" s="32"/>
      <c r="Q140" s="32"/>
      <c r="R140" s="32"/>
      <c r="S140" s="32"/>
      <c r="U140" s="32"/>
      <c r="V140" s="32"/>
      <c r="W140" s="32"/>
      <c r="X140" s="32"/>
      <c r="Y140" s="32"/>
      <c r="Z140" s="32"/>
      <c r="AB140" s="32"/>
      <c r="AC140" s="32"/>
      <c r="AD140" s="32"/>
      <c r="AE140" s="32"/>
      <c r="AF140" s="32"/>
      <c r="AG140" s="32"/>
    </row>
    <row r="141" ht="14.25" customHeight="1">
      <c r="E141" s="33" t="str">
        <f t="shared" si="1"/>
        <v/>
      </c>
      <c r="F141" s="34" t="str">
        <f t="shared" si="2"/>
        <v/>
      </c>
      <c r="G141" s="34" t="str">
        <f t="shared" si="3"/>
        <v/>
      </c>
      <c r="H141" s="34" t="str">
        <f t="shared" si="4"/>
        <v/>
      </c>
      <c r="I141" s="34" t="str">
        <f t="shared" si="5"/>
        <v/>
      </c>
      <c r="J141" s="34" t="str">
        <f t="shared" si="6"/>
        <v/>
      </c>
      <c r="K141" s="32"/>
      <c r="L141" s="32"/>
      <c r="M141" s="32"/>
      <c r="N141" s="32"/>
      <c r="P141" s="32"/>
      <c r="Q141" s="32"/>
      <c r="R141" s="32"/>
      <c r="S141" s="32"/>
      <c r="U141" s="32"/>
      <c r="V141" s="32"/>
      <c r="W141" s="32"/>
      <c r="X141" s="32"/>
      <c r="Y141" s="32"/>
      <c r="Z141" s="32"/>
      <c r="AB141" s="32"/>
      <c r="AC141" s="32"/>
      <c r="AD141" s="32"/>
      <c r="AE141" s="32"/>
      <c r="AF141" s="32"/>
      <c r="AG141" s="32"/>
    </row>
    <row r="142" ht="14.25" customHeight="1">
      <c r="E142" s="33" t="str">
        <f t="shared" si="1"/>
        <v/>
      </c>
      <c r="F142" s="34" t="str">
        <f t="shared" si="2"/>
        <v/>
      </c>
      <c r="G142" s="34" t="str">
        <f t="shared" si="3"/>
        <v/>
      </c>
      <c r="H142" s="34" t="str">
        <f t="shared" si="4"/>
        <v/>
      </c>
      <c r="I142" s="34" t="str">
        <f t="shared" si="5"/>
        <v/>
      </c>
      <c r="J142" s="34" t="str">
        <f t="shared" si="6"/>
        <v/>
      </c>
      <c r="K142" s="32"/>
      <c r="L142" s="32"/>
      <c r="M142" s="32"/>
      <c r="N142" s="32"/>
      <c r="P142" s="32"/>
      <c r="Q142" s="32"/>
      <c r="R142" s="32"/>
      <c r="S142" s="32"/>
      <c r="U142" s="32"/>
      <c r="V142" s="32"/>
      <c r="W142" s="32"/>
      <c r="X142" s="32"/>
      <c r="Y142" s="32"/>
      <c r="Z142" s="32"/>
      <c r="AB142" s="32"/>
      <c r="AC142" s="32"/>
      <c r="AD142" s="32"/>
      <c r="AE142" s="32"/>
      <c r="AF142" s="32"/>
      <c r="AG142" s="32"/>
    </row>
    <row r="143" ht="14.25" customHeight="1">
      <c r="E143" s="33" t="str">
        <f t="shared" si="1"/>
        <v/>
      </c>
      <c r="F143" s="34" t="str">
        <f t="shared" si="2"/>
        <v/>
      </c>
      <c r="G143" s="34" t="str">
        <f t="shared" si="3"/>
        <v/>
      </c>
      <c r="H143" s="34" t="str">
        <f t="shared" si="4"/>
        <v/>
      </c>
      <c r="I143" s="34" t="str">
        <f t="shared" si="5"/>
        <v/>
      </c>
      <c r="J143" s="34" t="str">
        <f t="shared" si="6"/>
        <v/>
      </c>
      <c r="K143" s="32"/>
      <c r="L143" s="32"/>
      <c r="M143" s="32"/>
      <c r="N143" s="32"/>
      <c r="P143" s="32"/>
      <c r="Q143" s="32"/>
      <c r="R143" s="32"/>
      <c r="S143" s="32"/>
      <c r="U143" s="32"/>
      <c r="V143" s="32"/>
      <c r="W143" s="32"/>
      <c r="X143" s="32"/>
      <c r="Y143" s="32"/>
      <c r="Z143" s="32"/>
      <c r="AB143" s="32"/>
      <c r="AC143" s="32"/>
      <c r="AD143" s="32"/>
      <c r="AE143" s="32"/>
      <c r="AF143" s="32"/>
      <c r="AG143" s="32"/>
    </row>
    <row r="144" ht="14.25" customHeight="1">
      <c r="E144" s="33" t="str">
        <f t="shared" si="1"/>
        <v/>
      </c>
      <c r="F144" s="34" t="str">
        <f t="shared" si="2"/>
        <v/>
      </c>
      <c r="G144" s="34" t="str">
        <f t="shared" si="3"/>
        <v/>
      </c>
      <c r="H144" s="34" t="str">
        <f t="shared" si="4"/>
        <v/>
      </c>
      <c r="I144" s="34" t="str">
        <f t="shared" si="5"/>
        <v/>
      </c>
      <c r="J144" s="34" t="str">
        <f t="shared" si="6"/>
        <v/>
      </c>
      <c r="K144" s="32"/>
      <c r="L144" s="32"/>
      <c r="M144" s="32"/>
      <c r="N144" s="32"/>
      <c r="P144" s="32"/>
      <c r="Q144" s="32"/>
      <c r="R144" s="32"/>
      <c r="S144" s="32"/>
      <c r="U144" s="32"/>
      <c r="V144" s="32"/>
      <c r="W144" s="32"/>
      <c r="X144" s="32"/>
      <c r="Y144" s="32"/>
      <c r="Z144" s="32"/>
      <c r="AB144" s="32"/>
      <c r="AC144" s="32"/>
      <c r="AD144" s="32"/>
      <c r="AE144" s="32"/>
      <c r="AF144" s="32"/>
      <c r="AG144" s="32"/>
    </row>
    <row r="145" ht="14.25" customHeight="1">
      <c r="E145" s="33" t="str">
        <f t="shared" si="1"/>
        <v/>
      </c>
      <c r="F145" s="34" t="str">
        <f t="shared" si="2"/>
        <v/>
      </c>
      <c r="G145" s="34" t="str">
        <f t="shared" si="3"/>
        <v/>
      </c>
      <c r="H145" s="34" t="str">
        <f t="shared" si="4"/>
        <v/>
      </c>
      <c r="I145" s="34" t="str">
        <f t="shared" si="5"/>
        <v/>
      </c>
      <c r="J145" s="34" t="str">
        <f t="shared" si="6"/>
        <v/>
      </c>
      <c r="K145" s="32"/>
      <c r="L145" s="32"/>
      <c r="M145" s="32"/>
      <c r="N145" s="32"/>
      <c r="P145" s="32"/>
      <c r="Q145" s="32"/>
      <c r="R145" s="32"/>
      <c r="S145" s="32"/>
      <c r="U145" s="32"/>
      <c r="V145" s="32"/>
      <c r="W145" s="32"/>
      <c r="X145" s="32"/>
      <c r="Y145" s="32"/>
      <c r="Z145" s="32"/>
      <c r="AB145" s="32"/>
      <c r="AC145" s="32"/>
      <c r="AD145" s="32"/>
      <c r="AE145" s="32"/>
      <c r="AF145" s="32"/>
      <c r="AG145" s="32"/>
    </row>
    <row r="146" ht="14.25" customHeight="1">
      <c r="E146" s="33" t="str">
        <f t="shared" si="1"/>
        <v/>
      </c>
      <c r="F146" s="34" t="str">
        <f t="shared" si="2"/>
        <v/>
      </c>
      <c r="G146" s="34" t="str">
        <f t="shared" si="3"/>
        <v/>
      </c>
      <c r="H146" s="34" t="str">
        <f t="shared" si="4"/>
        <v/>
      </c>
      <c r="I146" s="34" t="str">
        <f t="shared" si="5"/>
        <v/>
      </c>
      <c r="J146" s="34" t="str">
        <f t="shared" si="6"/>
        <v/>
      </c>
      <c r="K146" s="32"/>
      <c r="L146" s="32"/>
      <c r="M146" s="32"/>
      <c r="N146" s="32"/>
      <c r="P146" s="32"/>
      <c r="Q146" s="32"/>
      <c r="R146" s="32"/>
      <c r="S146" s="32"/>
      <c r="U146" s="32"/>
      <c r="V146" s="32"/>
      <c r="W146" s="32"/>
      <c r="X146" s="32"/>
      <c r="Y146" s="32"/>
      <c r="Z146" s="32"/>
      <c r="AB146" s="32"/>
      <c r="AC146" s="32"/>
      <c r="AD146" s="32"/>
      <c r="AE146" s="32"/>
      <c r="AF146" s="32"/>
      <c r="AG146" s="32"/>
    </row>
    <row r="147" ht="14.25" customHeight="1">
      <c r="E147" s="33" t="str">
        <f t="shared" si="1"/>
        <v/>
      </c>
      <c r="F147" s="34" t="str">
        <f t="shared" si="2"/>
        <v/>
      </c>
      <c r="G147" s="34" t="str">
        <f t="shared" si="3"/>
        <v/>
      </c>
      <c r="H147" s="34" t="str">
        <f t="shared" si="4"/>
        <v/>
      </c>
      <c r="I147" s="34" t="str">
        <f t="shared" si="5"/>
        <v/>
      </c>
      <c r="J147" s="34" t="str">
        <f t="shared" si="6"/>
        <v/>
      </c>
      <c r="K147" s="32"/>
      <c r="L147" s="32"/>
      <c r="M147" s="32"/>
      <c r="N147" s="32"/>
      <c r="P147" s="32"/>
      <c r="Q147" s="32"/>
      <c r="R147" s="32"/>
      <c r="S147" s="32"/>
      <c r="U147" s="32"/>
      <c r="V147" s="32"/>
      <c r="W147" s="32"/>
      <c r="X147" s="32"/>
      <c r="Y147" s="32"/>
      <c r="Z147" s="32"/>
      <c r="AB147" s="32"/>
      <c r="AC147" s="32"/>
      <c r="AD147" s="32"/>
      <c r="AE147" s="32"/>
      <c r="AF147" s="32"/>
      <c r="AG147" s="32"/>
    </row>
    <row r="148" ht="14.25" customHeight="1">
      <c r="E148" s="33" t="str">
        <f t="shared" si="1"/>
        <v/>
      </c>
      <c r="F148" s="34" t="str">
        <f t="shared" si="2"/>
        <v/>
      </c>
      <c r="G148" s="34" t="str">
        <f t="shared" si="3"/>
        <v/>
      </c>
      <c r="H148" s="34" t="str">
        <f t="shared" si="4"/>
        <v/>
      </c>
      <c r="I148" s="34" t="str">
        <f t="shared" si="5"/>
        <v/>
      </c>
      <c r="J148" s="34" t="str">
        <f t="shared" si="6"/>
        <v/>
      </c>
      <c r="K148" s="32"/>
      <c r="L148" s="32"/>
      <c r="M148" s="32"/>
      <c r="N148" s="32"/>
      <c r="P148" s="32"/>
      <c r="Q148" s="32"/>
      <c r="R148" s="32"/>
      <c r="S148" s="32"/>
      <c r="U148" s="32"/>
      <c r="V148" s="32"/>
      <c r="W148" s="32"/>
      <c r="X148" s="32"/>
      <c r="Y148" s="32"/>
      <c r="Z148" s="32"/>
      <c r="AB148" s="32"/>
      <c r="AC148" s="32"/>
      <c r="AD148" s="32"/>
      <c r="AE148" s="32"/>
      <c r="AF148" s="32"/>
      <c r="AG148" s="32"/>
    </row>
    <row r="149" ht="14.25" customHeight="1">
      <c r="E149" s="33" t="str">
        <f t="shared" si="1"/>
        <v/>
      </c>
      <c r="F149" s="34" t="str">
        <f t="shared" si="2"/>
        <v/>
      </c>
      <c r="G149" s="34" t="str">
        <f t="shared" si="3"/>
        <v/>
      </c>
      <c r="H149" s="34" t="str">
        <f t="shared" si="4"/>
        <v/>
      </c>
      <c r="I149" s="34" t="str">
        <f t="shared" si="5"/>
        <v/>
      </c>
      <c r="J149" s="34" t="str">
        <f t="shared" si="6"/>
        <v/>
      </c>
      <c r="K149" s="32"/>
      <c r="L149" s="32"/>
      <c r="M149" s="32"/>
      <c r="N149" s="32"/>
      <c r="P149" s="32"/>
      <c r="Q149" s="32"/>
      <c r="R149" s="32"/>
      <c r="S149" s="32"/>
      <c r="U149" s="32"/>
      <c r="V149" s="32"/>
      <c r="W149" s="32"/>
      <c r="X149" s="32"/>
      <c r="Y149" s="32"/>
      <c r="Z149" s="32"/>
      <c r="AB149" s="32"/>
      <c r="AC149" s="32"/>
      <c r="AD149" s="32"/>
      <c r="AE149" s="32"/>
      <c r="AF149" s="32"/>
      <c r="AG149" s="32"/>
    </row>
    <row r="150" ht="14.25" customHeight="1">
      <c r="E150" s="33" t="str">
        <f t="shared" si="1"/>
        <v/>
      </c>
      <c r="F150" s="34" t="str">
        <f t="shared" si="2"/>
        <v/>
      </c>
      <c r="G150" s="34" t="str">
        <f t="shared" si="3"/>
        <v/>
      </c>
      <c r="H150" s="34" t="str">
        <f t="shared" si="4"/>
        <v/>
      </c>
      <c r="I150" s="34" t="str">
        <f t="shared" si="5"/>
        <v/>
      </c>
      <c r="J150" s="34" t="str">
        <f t="shared" si="6"/>
        <v/>
      </c>
      <c r="K150" s="32"/>
      <c r="L150" s="32"/>
      <c r="M150" s="32"/>
      <c r="N150" s="32"/>
      <c r="P150" s="32"/>
      <c r="Q150" s="32"/>
      <c r="R150" s="32"/>
      <c r="S150" s="32"/>
      <c r="U150" s="32"/>
      <c r="V150" s="32"/>
      <c r="W150" s="32"/>
      <c r="X150" s="32"/>
      <c r="Y150" s="32"/>
      <c r="Z150" s="32"/>
      <c r="AB150" s="32"/>
      <c r="AC150" s="32"/>
      <c r="AD150" s="32"/>
      <c r="AE150" s="32"/>
      <c r="AF150" s="32"/>
      <c r="AG150" s="32"/>
    </row>
    <row r="151" ht="14.25" customHeight="1">
      <c r="E151" s="33" t="str">
        <f t="shared" si="1"/>
        <v/>
      </c>
      <c r="F151" s="34" t="str">
        <f t="shared" si="2"/>
        <v/>
      </c>
      <c r="G151" s="34" t="str">
        <f t="shared" si="3"/>
        <v/>
      </c>
      <c r="H151" s="34" t="str">
        <f t="shared" si="4"/>
        <v/>
      </c>
      <c r="I151" s="34" t="str">
        <f t="shared" si="5"/>
        <v/>
      </c>
      <c r="J151" s="34" t="str">
        <f t="shared" si="6"/>
        <v/>
      </c>
      <c r="K151" s="32"/>
      <c r="L151" s="32"/>
      <c r="M151" s="32"/>
      <c r="N151" s="32"/>
      <c r="P151" s="32"/>
      <c r="Q151" s="32"/>
      <c r="R151" s="32"/>
      <c r="S151" s="32"/>
      <c r="U151" s="32"/>
      <c r="V151" s="32"/>
      <c r="W151" s="32"/>
      <c r="X151" s="32"/>
      <c r="Y151" s="32"/>
      <c r="Z151" s="32"/>
      <c r="AB151" s="32"/>
      <c r="AC151" s="32"/>
      <c r="AD151" s="32"/>
      <c r="AE151" s="32"/>
      <c r="AF151" s="32"/>
      <c r="AG151" s="32"/>
    </row>
    <row r="152" ht="14.25" customHeight="1">
      <c r="E152" s="33" t="str">
        <f t="shared" si="1"/>
        <v/>
      </c>
      <c r="F152" s="34" t="str">
        <f t="shared" si="2"/>
        <v/>
      </c>
      <c r="G152" s="34" t="str">
        <f t="shared" si="3"/>
        <v/>
      </c>
      <c r="H152" s="34" t="str">
        <f t="shared" si="4"/>
        <v/>
      </c>
      <c r="I152" s="34" t="str">
        <f t="shared" si="5"/>
        <v/>
      </c>
      <c r="J152" s="34" t="str">
        <f t="shared" si="6"/>
        <v/>
      </c>
      <c r="K152" s="32"/>
      <c r="L152" s="32"/>
      <c r="M152" s="32"/>
      <c r="N152" s="32"/>
      <c r="P152" s="32"/>
      <c r="Q152" s="32"/>
      <c r="R152" s="32"/>
      <c r="S152" s="32"/>
      <c r="U152" s="32"/>
      <c r="V152" s="32"/>
      <c r="W152" s="32"/>
      <c r="X152" s="32"/>
      <c r="Y152" s="32"/>
      <c r="Z152" s="32"/>
      <c r="AB152" s="32"/>
      <c r="AC152" s="32"/>
      <c r="AD152" s="32"/>
      <c r="AE152" s="32"/>
      <c r="AF152" s="32"/>
      <c r="AG152" s="32"/>
    </row>
    <row r="153" ht="14.25" customHeight="1">
      <c r="E153" s="33" t="str">
        <f t="shared" si="1"/>
        <v/>
      </c>
      <c r="F153" s="34" t="str">
        <f t="shared" si="2"/>
        <v/>
      </c>
      <c r="G153" s="34" t="str">
        <f t="shared" si="3"/>
        <v/>
      </c>
      <c r="H153" s="34" t="str">
        <f t="shared" si="4"/>
        <v/>
      </c>
      <c r="I153" s="34" t="str">
        <f t="shared" si="5"/>
        <v/>
      </c>
      <c r="J153" s="34" t="str">
        <f t="shared" si="6"/>
        <v/>
      </c>
      <c r="K153" s="32"/>
      <c r="L153" s="32"/>
      <c r="M153" s="32"/>
      <c r="N153" s="32"/>
      <c r="P153" s="32"/>
      <c r="Q153" s="32"/>
      <c r="R153" s="32"/>
      <c r="S153" s="32"/>
      <c r="U153" s="32"/>
      <c r="V153" s="32"/>
      <c r="W153" s="32"/>
      <c r="X153" s="32"/>
      <c r="Y153" s="32"/>
      <c r="Z153" s="32"/>
      <c r="AB153" s="32"/>
      <c r="AC153" s="32"/>
      <c r="AD153" s="32"/>
      <c r="AE153" s="32"/>
      <c r="AF153" s="32"/>
      <c r="AG153" s="32"/>
    </row>
    <row r="154" ht="14.25" customHeight="1">
      <c r="E154" s="33" t="str">
        <f t="shared" si="1"/>
        <v/>
      </c>
      <c r="F154" s="34" t="str">
        <f t="shared" si="2"/>
        <v/>
      </c>
      <c r="G154" s="34" t="str">
        <f t="shared" si="3"/>
        <v/>
      </c>
      <c r="H154" s="34" t="str">
        <f t="shared" si="4"/>
        <v/>
      </c>
      <c r="I154" s="34" t="str">
        <f t="shared" si="5"/>
        <v/>
      </c>
      <c r="J154" s="34" t="str">
        <f t="shared" si="6"/>
        <v/>
      </c>
      <c r="K154" s="32"/>
      <c r="L154" s="32"/>
      <c r="M154" s="32"/>
      <c r="N154" s="32"/>
      <c r="P154" s="32"/>
      <c r="Q154" s="32"/>
      <c r="R154" s="32"/>
      <c r="S154" s="32"/>
      <c r="U154" s="32"/>
      <c r="V154" s="32"/>
      <c r="W154" s="32"/>
      <c r="X154" s="32"/>
      <c r="Y154" s="32"/>
      <c r="Z154" s="32"/>
      <c r="AB154" s="32"/>
      <c r="AC154" s="32"/>
      <c r="AD154" s="32"/>
      <c r="AE154" s="32"/>
      <c r="AF154" s="32"/>
      <c r="AG154" s="32"/>
    </row>
    <row r="155" ht="14.25" customHeight="1">
      <c r="E155" s="33" t="str">
        <f t="shared" si="1"/>
        <v/>
      </c>
      <c r="F155" s="34" t="str">
        <f t="shared" si="2"/>
        <v/>
      </c>
      <c r="G155" s="34" t="str">
        <f t="shared" si="3"/>
        <v/>
      </c>
      <c r="H155" s="34" t="str">
        <f t="shared" si="4"/>
        <v/>
      </c>
      <c r="I155" s="34" t="str">
        <f t="shared" si="5"/>
        <v/>
      </c>
      <c r="J155" s="34" t="str">
        <f t="shared" si="6"/>
        <v/>
      </c>
      <c r="K155" s="32"/>
      <c r="L155" s="32"/>
      <c r="M155" s="32"/>
      <c r="N155" s="32"/>
      <c r="P155" s="32"/>
      <c r="Q155" s="32"/>
      <c r="R155" s="32"/>
      <c r="S155" s="32"/>
      <c r="U155" s="32"/>
      <c r="V155" s="32"/>
      <c r="W155" s="32"/>
      <c r="X155" s="32"/>
      <c r="Y155" s="32"/>
      <c r="Z155" s="32"/>
      <c r="AB155" s="32"/>
      <c r="AC155" s="32"/>
      <c r="AD155" s="32"/>
      <c r="AE155" s="32"/>
      <c r="AF155" s="32"/>
      <c r="AG155" s="32"/>
    </row>
    <row r="156" ht="14.25" customHeight="1">
      <c r="E156" s="33" t="str">
        <f t="shared" si="1"/>
        <v/>
      </c>
      <c r="F156" s="34" t="str">
        <f t="shared" si="2"/>
        <v/>
      </c>
      <c r="G156" s="34" t="str">
        <f t="shared" si="3"/>
        <v/>
      </c>
      <c r="H156" s="34" t="str">
        <f t="shared" si="4"/>
        <v/>
      </c>
      <c r="I156" s="34" t="str">
        <f t="shared" si="5"/>
        <v/>
      </c>
      <c r="J156" s="34" t="str">
        <f t="shared" si="6"/>
        <v/>
      </c>
      <c r="K156" s="32"/>
      <c r="L156" s="32"/>
      <c r="M156" s="32"/>
      <c r="N156" s="32"/>
      <c r="P156" s="32"/>
      <c r="Q156" s="32"/>
      <c r="R156" s="32"/>
      <c r="S156" s="32"/>
      <c r="U156" s="32"/>
      <c r="V156" s="32"/>
      <c r="W156" s="32"/>
      <c r="X156" s="32"/>
      <c r="Y156" s="32"/>
      <c r="Z156" s="32"/>
      <c r="AB156" s="32"/>
      <c r="AC156" s="32"/>
      <c r="AD156" s="32"/>
      <c r="AE156" s="32"/>
      <c r="AF156" s="32"/>
      <c r="AG156" s="32"/>
    </row>
    <row r="157" ht="14.25" customHeight="1">
      <c r="E157" s="33" t="str">
        <f t="shared" si="1"/>
        <v/>
      </c>
      <c r="F157" s="34" t="str">
        <f t="shared" si="2"/>
        <v/>
      </c>
      <c r="G157" s="34" t="str">
        <f t="shared" si="3"/>
        <v/>
      </c>
      <c r="H157" s="34" t="str">
        <f t="shared" si="4"/>
        <v/>
      </c>
      <c r="I157" s="34" t="str">
        <f t="shared" si="5"/>
        <v/>
      </c>
      <c r="J157" s="34" t="str">
        <f t="shared" si="6"/>
        <v/>
      </c>
      <c r="K157" s="32"/>
      <c r="L157" s="32"/>
      <c r="M157" s="32"/>
      <c r="N157" s="32"/>
      <c r="P157" s="32"/>
      <c r="Q157" s="32"/>
      <c r="R157" s="32"/>
      <c r="S157" s="32"/>
      <c r="U157" s="32"/>
      <c r="V157" s="32"/>
      <c r="W157" s="32"/>
      <c r="X157" s="32"/>
      <c r="Y157" s="32"/>
      <c r="Z157" s="32"/>
      <c r="AB157" s="32"/>
      <c r="AC157" s="32"/>
      <c r="AD157" s="32"/>
      <c r="AE157" s="32"/>
      <c r="AF157" s="32"/>
      <c r="AG157" s="32"/>
    </row>
    <row r="158" ht="14.25" customHeight="1">
      <c r="E158" s="33" t="str">
        <f t="shared" si="1"/>
        <v/>
      </c>
      <c r="F158" s="34" t="str">
        <f t="shared" si="2"/>
        <v/>
      </c>
      <c r="G158" s="34" t="str">
        <f t="shared" si="3"/>
        <v/>
      </c>
      <c r="H158" s="34" t="str">
        <f t="shared" si="4"/>
        <v/>
      </c>
      <c r="I158" s="34" t="str">
        <f t="shared" si="5"/>
        <v/>
      </c>
      <c r="J158" s="34" t="str">
        <f t="shared" si="6"/>
        <v/>
      </c>
      <c r="K158" s="32"/>
      <c r="L158" s="32"/>
      <c r="M158" s="32"/>
      <c r="N158" s="32"/>
      <c r="P158" s="32"/>
      <c r="Q158" s="32"/>
      <c r="R158" s="32"/>
      <c r="S158" s="32"/>
      <c r="U158" s="32"/>
      <c r="V158" s="32"/>
      <c r="W158" s="32"/>
      <c r="X158" s="32"/>
      <c r="Y158" s="32"/>
      <c r="Z158" s="32"/>
      <c r="AB158" s="32"/>
      <c r="AC158" s="32"/>
      <c r="AD158" s="32"/>
      <c r="AE158" s="32"/>
      <c r="AF158" s="32"/>
      <c r="AG158" s="32"/>
    </row>
    <row r="159" ht="14.25" customHeight="1">
      <c r="E159" s="33" t="str">
        <f t="shared" si="1"/>
        <v/>
      </c>
      <c r="F159" s="34" t="str">
        <f t="shared" si="2"/>
        <v/>
      </c>
      <c r="G159" s="34" t="str">
        <f t="shared" si="3"/>
        <v/>
      </c>
      <c r="H159" s="34" t="str">
        <f t="shared" si="4"/>
        <v/>
      </c>
      <c r="I159" s="34" t="str">
        <f t="shared" si="5"/>
        <v/>
      </c>
      <c r="J159" s="34" t="str">
        <f t="shared" si="6"/>
        <v/>
      </c>
      <c r="K159" s="32"/>
      <c r="L159" s="32"/>
      <c r="M159" s="32"/>
      <c r="N159" s="32"/>
      <c r="P159" s="32"/>
      <c r="Q159" s="32"/>
      <c r="R159" s="32"/>
      <c r="S159" s="32"/>
      <c r="U159" s="32"/>
      <c r="V159" s="32"/>
      <c r="W159" s="32"/>
      <c r="X159" s="32"/>
      <c r="Y159" s="32"/>
      <c r="Z159" s="32"/>
      <c r="AB159" s="32"/>
      <c r="AC159" s="32"/>
      <c r="AD159" s="32"/>
      <c r="AE159" s="32"/>
      <c r="AF159" s="32"/>
      <c r="AG159" s="32"/>
    </row>
    <row r="160" ht="14.25" customHeight="1">
      <c r="E160" s="33" t="str">
        <f t="shared" si="1"/>
        <v/>
      </c>
      <c r="F160" s="34" t="str">
        <f t="shared" si="2"/>
        <v/>
      </c>
      <c r="G160" s="34" t="str">
        <f t="shared" si="3"/>
        <v/>
      </c>
      <c r="H160" s="34" t="str">
        <f t="shared" si="4"/>
        <v/>
      </c>
      <c r="I160" s="34" t="str">
        <f t="shared" si="5"/>
        <v/>
      </c>
      <c r="J160" s="34" t="str">
        <f t="shared" si="6"/>
        <v/>
      </c>
      <c r="K160" s="32"/>
      <c r="L160" s="32"/>
      <c r="M160" s="32"/>
      <c r="N160" s="32"/>
      <c r="P160" s="32"/>
      <c r="Q160" s="32"/>
      <c r="R160" s="32"/>
      <c r="S160" s="32"/>
      <c r="U160" s="32"/>
      <c r="V160" s="32"/>
      <c r="W160" s="32"/>
      <c r="X160" s="32"/>
      <c r="Y160" s="32"/>
      <c r="Z160" s="32"/>
      <c r="AB160" s="32"/>
      <c r="AC160" s="32"/>
      <c r="AD160" s="32"/>
      <c r="AE160" s="32"/>
      <c r="AF160" s="32"/>
      <c r="AG160" s="32"/>
    </row>
    <row r="161" ht="14.25" customHeight="1">
      <c r="E161" s="33" t="str">
        <f t="shared" si="1"/>
        <v/>
      </c>
      <c r="F161" s="34" t="str">
        <f t="shared" si="2"/>
        <v/>
      </c>
      <c r="G161" s="34" t="str">
        <f t="shared" si="3"/>
        <v/>
      </c>
      <c r="H161" s="34" t="str">
        <f t="shared" si="4"/>
        <v/>
      </c>
      <c r="I161" s="34" t="str">
        <f t="shared" si="5"/>
        <v/>
      </c>
      <c r="J161" s="34" t="str">
        <f t="shared" si="6"/>
        <v/>
      </c>
      <c r="K161" s="32"/>
      <c r="L161" s="32"/>
      <c r="M161" s="32"/>
      <c r="N161" s="32"/>
      <c r="P161" s="32"/>
      <c r="Q161" s="32"/>
      <c r="R161" s="32"/>
      <c r="S161" s="32"/>
      <c r="U161" s="32"/>
      <c r="V161" s="32"/>
      <c r="W161" s="32"/>
      <c r="X161" s="32"/>
      <c r="Y161" s="32"/>
      <c r="Z161" s="32"/>
      <c r="AB161" s="32"/>
      <c r="AC161" s="32"/>
      <c r="AD161" s="32"/>
      <c r="AE161" s="32"/>
      <c r="AF161" s="32"/>
      <c r="AG161" s="32"/>
    </row>
    <row r="162" ht="14.25" customHeight="1">
      <c r="E162" s="33" t="str">
        <f t="shared" si="1"/>
        <v/>
      </c>
      <c r="F162" s="34" t="str">
        <f t="shared" si="2"/>
        <v/>
      </c>
      <c r="G162" s="34" t="str">
        <f t="shared" si="3"/>
        <v/>
      </c>
      <c r="H162" s="34" t="str">
        <f t="shared" si="4"/>
        <v/>
      </c>
      <c r="I162" s="34" t="str">
        <f t="shared" si="5"/>
        <v/>
      </c>
      <c r="J162" s="34" t="str">
        <f t="shared" si="6"/>
        <v/>
      </c>
      <c r="K162" s="32"/>
      <c r="L162" s="32"/>
      <c r="M162" s="32"/>
      <c r="N162" s="32"/>
      <c r="P162" s="32"/>
      <c r="Q162" s="32"/>
      <c r="R162" s="32"/>
      <c r="S162" s="32"/>
      <c r="U162" s="32"/>
      <c r="V162" s="32"/>
      <c r="W162" s="32"/>
      <c r="X162" s="32"/>
      <c r="Y162" s="32"/>
      <c r="Z162" s="32"/>
      <c r="AB162" s="32"/>
      <c r="AC162" s="32"/>
      <c r="AD162" s="32"/>
      <c r="AE162" s="32"/>
      <c r="AF162" s="32"/>
      <c r="AG162" s="32"/>
    </row>
    <row r="163" ht="14.25" customHeight="1">
      <c r="E163" s="33" t="str">
        <f t="shared" si="1"/>
        <v/>
      </c>
      <c r="F163" s="34" t="str">
        <f t="shared" si="2"/>
        <v/>
      </c>
      <c r="G163" s="34" t="str">
        <f t="shared" si="3"/>
        <v/>
      </c>
      <c r="H163" s="34" t="str">
        <f t="shared" si="4"/>
        <v/>
      </c>
      <c r="I163" s="34" t="str">
        <f t="shared" si="5"/>
        <v/>
      </c>
      <c r="J163" s="34" t="str">
        <f t="shared" si="6"/>
        <v/>
      </c>
      <c r="K163" s="32"/>
      <c r="L163" s="32"/>
      <c r="M163" s="32"/>
      <c r="N163" s="32"/>
      <c r="P163" s="32"/>
      <c r="Q163" s="32"/>
      <c r="R163" s="32"/>
      <c r="S163" s="32"/>
      <c r="U163" s="32"/>
      <c r="V163" s="32"/>
      <c r="W163" s="32"/>
      <c r="X163" s="32"/>
      <c r="Y163" s="32"/>
      <c r="Z163" s="32"/>
      <c r="AB163" s="32"/>
      <c r="AC163" s="32"/>
      <c r="AD163" s="32"/>
      <c r="AE163" s="32"/>
      <c r="AF163" s="32"/>
      <c r="AG163" s="32"/>
    </row>
    <row r="164" ht="14.25" customHeight="1">
      <c r="E164" s="33" t="str">
        <f t="shared" si="1"/>
        <v/>
      </c>
      <c r="F164" s="34" t="str">
        <f t="shared" si="2"/>
        <v/>
      </c>
      <c r="G164" s="34" t="str">
        <f t="shared" si="3"/>
        <v/>
      </c>
      <c r="H164" s="34" t="str">
        <f t="shared" si="4"/>
        <v/>
      </c>
      <c r="I164" s="34" t="str">
        <f t="shared" si="5"/>
        <v/>
      </c>
      <c r="J164" s="34" t="str">
        <f t="shared" si="6"/>
        <v/>
      </c>
      <c r="K164" s="32"/>
      <c r="L164" s="32"/>
      <c r="M164" s="32"/>
      <c r="N164" s="32"/>
      <c r="P164" s="32"/>
      <c r="Q164" s="32"/>
      <c r="R164" s="32"/>
      <c r="S164" s="32"/>
      <c r="U164" s="32"/>
      <c r="V164" s="32"/>
      <c r="W164" s="32"/>
      <c r="X164" s="32"/>
      <c r="Y164" s="32"/>
      <c r="Z164" s="32"/>
      <c r="AB164" s="32"/>
      <c r="AC164" s="32"/>
      <c r="AD164" s="32"/>
      <c r="AE164" s="32"/>
      <c r="AF164" s="32"/>
      <c r="AG164" s="32"/>
    </row>
    <row r="165" ht="14.25" customHeight="1">
      <c r="E165" s="33" t="str">
        <f t="shared" si="1"/>
        <v/>
      </c>
      <c r="F165" s="34" t="str">
        <f t="shared" si="2"/>
        <v/>
      </c>
      <c r="G165" s="34" t="str">
        <f t="shared" si="3"/>
        <v/>
      </c>
      <c r="H165" s="34" t="str">
        <f t="shared" si="4"/>
        <v/>
      </c>
      <c r="I165" s="34" t="str">
        <f t="shared" si="5"/>
        <v/>
      </c>
      <c r="J165" s="34" t="str">
        <f t="shared" si="6"/>
        <v/>
      </c>
      <c r="K165" s="32"/>
      <c r="L165" s="32"/>
      <c r="M165" s="32"/>
      <c r="N165" s="32"/>
      <c r="P165" s="32"/>
      <c r="Q165" s="32"/>
      <c r="R165" s="32"/>
      <c r="S165" s="32"/>
      <c r="U165" s="32"/>
      <c r="V165" s="32"/>
      <c r="W165" s="32"/>
      <c r="X165" s="32"/>
      <c r="Y165" s="32"/>
      <c r="Z165" s="32"/>
      <c r="AB165" s="32"/>
      <c r="AC165" s="32"/>
      <c r="AD165" s="32"/>
      <c r="AE165" s="32"/>
      <c r="AF165" s="32"/>
      <c r="AG165" s="32"/>
    </row>
    <row r="166" ht="14.25" customHeight="1">
      <c r="E166" s="33" t="str">
        <f t="shared" si="1"/>
        <v/>
      </c>
      <c r="F166" s="34" t="str">
        <f t="shared" si="2"/>
        <v/>
      </c>
      <c r="G166" s="34" t="str">
        <f t="shared" si="3"/>
        <v/>
      </c>
      <c r="H166" s="34" t="str">
        <f t="shared" si="4"/>
        <v/>
      </c>
      <c r="I166" s="34" t="str">
        <f t="shared" si="5"/>
        <v/>
      </c>
      <c r="J166" s="34" t="str">
        <f t="shared" si="6"/>
        <v/>
      </c>
      <c r="K166" s="32"/>
      <c r="L166" s="32"/>
      <c r="M166" s="32"/>
      <c r="N166" s="32"/>
      <c r="P166" s="32"/>
      <c r="Q166" s="32"/>
      <c r="R166" s="32"/>
      <c r="S166" s="32"/>
      <c r="U166" s="32"/>
      <c r="V166" s="32"/>
      <c r="W166" s="32"/>
      <c r="X166" s="32"/>
      <c r="Y166" s="32"/>
      <c r="Z166" s="32"/>
      <c r="AB166" s="32"/>
      <c r="AC166" s="32"/>
      <c r="AD166" s="32"/>
      <c r="AE166" s="32"/>
      <c r="AF166" s="32"/>
      <c r="AG166" s="32"/>
    </row>
    <row r="167" ht="14.25" customHeight="1">
      <c r="E167" s="33" t="str">
        <f t="shared" si="1"/>
        <v/>
      </c>
      <c r="F167" s="34" t="str">
        <f t="shared" si="2"/>
        <v/>
      </c>
      <c r="G167" s="34" t="str">
        <f t="shared" si="3"/>
        <v/>
      </c>
      <c r="H167" s="34" t="str">
        <f t="shared" si="4"/>
        <v/>
      </c>
      <c r="I167" s="34" t="str">
        <f t="shared" si="5"/>
        <v/>
      </c>
      <c r="J167" s="34" t="str">
        <f t="shared" si="6"/>
        <v/>
      </c>
      <c r="K167" s="32"/>
      <c r="L167" s="32"/>
      <c r="M167" s="32"/>
      <c r="N167" s="32"/>
      <c r="P167" s="32"/>
      <c r="Q167" s="32"/>
      <c r="R167" s="32"/>
      <c r="S167" s="32"/>
      <c r="U167" s="32"/>
      <c r="V167" s="32"/>
      <c r="W167" s="32"/>
      <c r="X167" s="32"/>
      <c r="Y167" s="32"/>
      <c r="Z167" s="32"/>
      <c r="AB167" s="32"/>
      <c r="AC167" s="32"/>
      <c r="AD167" s="32"/>
      <c r="AE167" s="32"/>
      <c r="AF167" s="32"/>
      <c r="AG167" s="32"/>
    </row>
    <row r="168" ht="14.25" customHeight="1">
      <c r="E168" s="33" t="str">
        <f t="shared" si="1"/>
        <v/>
      </c>
      <c r="F168" s="34" t="str">
        <f t="shared" si="2"/>
        <v/>
      </c>
      <c r="G168" s="34" t="str">
        <f t="shared" si="3"/>
        <v/>
      </c>
      <c r="H168" s="34" t="str">
        <f t="shared" si="4"/>
        <v/>
      </c>
      <c r="I168" s="34" t="str">
        <f t="shared" si="5"/>
        <v/>
      </c>
      <c r="J168" s="34" t="str">
        <f t="shared" si="6"/>
        <v/>
      </c>
      <c r="K168" s="32"/>
      <c r="L168" s="32"/>
      <c r="M168" s="32"/>
      <c r="N168" s="32"/>
      <c r="P168" s="32"/>
      <c r="Q168" s="32"/>
      <c r="R168" s="32"/>
      <c r="S168" s="32"/>
      <c r="U168" s="32"/>
      <c r="V168" s="32"/>
      <c r="W168" s="32"/>
      <c r="X168" s="32"/>
      <c r="Y168" s="32"/>
      <c r="Z168" s="32"/>
      <c r="AB168" s="32"/>
      <c r="AC168" s="32"/>
      <c r="AD168" s="32"/>
      <c r="AE168" s="32"/>
      <c r="AF168" s="32"/>
      <c r="AG168" s="32"/>
    </row>
    <row r="169" ht="14.25" customHeight="1">
      <c r="E169" s="33" t="str">
        <f t="shared" si="1"/>
        <v/>
      </c>
      <c r="F169" s="34" t="str">
        <f t="shared" si="2"/>
        <v/>
      </c>
      <c r="G169" s="34" t="str">
        <f t="shared" si="3"/>
        <v/>
      </c>
      <c r="H169" s="34" t="str">
        <f t="shared" si="4"/>
        <v/>
      </c>
      <c r="I169" s="34" t="str">
        <f t="shared" si="5"/>
        <v/>
      </c>
      <c r="J169" s="34" t="str">
        <f t="shared" si="6"/>
        <v/>
      </c>
      <c r="K169" s="32"/>
      <c r="L169" s="32"/>
      <c r="M169" s="32"/>
      <c r="N169" s="32"/>
      <c r="P169" s="32"/>
      <c r="Q169" s="32"/>
      <c r="R169" s="32"/>
      <c r="S169" s="32"/>
      <c r="U169" s="32"/>
      <c r="V169" s="32"/>
      <c r="W169" s="32"/>
      <c r="X169" s="32"/>
      <c r="Y169" s="32"/>
      <c r="Z169" s="32"/>
      <c r="AB169" s="32"/>
      <c r="AC169" s="32"/>
      <c r="AD169" s="32"/>
      <c r="AE169" s="32"/>
      <c r="AF169" s="32"/>
      <c r="AG169" s="32"/>
    </row>
    <row r="170" ht="14.25" customHeight="1">
      <c r="E170" s="33" t="str">
        <f t="shared" si="1"/>
        <v/>
      </c>
      <c r="F170" s="34" t="str">
        <f t="shared" si="2"/>
        <v/>
      </c>
      <c r="G170" s="34" t="str">
        <f t="shared" si="3"/>
        <v/>
      </c>
      <c r="H170" s="34" t="str">
        <f t="shared" si="4"/>
        <v/>
      </c>
      <c r="I170" s="34" t="str">
        <f t="shared" si="5"/>
        <v/>
      </c>
      <c r="J170" s="34" t="str">
        <f t="shared" si="6"/>
        <v/>
      </c>
      <c r="K170" s="32"/>
      <c r="L170" s="32"/>
      <c r="M170" s="32"/>
      <c r="N170" s="32"/>
      <c r="P170" s="32"/>
      <c r="Q170" s="32"/>
      <c r="R170" s="32"/>
      <c r="S170" s="32"/>
      <c r="U170" s="32"/>
      <c r="V170" s="32"/>
      <c r="W170" s="32"/>
      <c r="X170" s="32"/>
      <c r="Y170" s="32"/>
      <c r="Z170" s="32"/>
      <c r="AB170" s="32"/>
      <c r="AC170" s="32"/>
      <c r="AD170" s="32"/>
      <c r="AE170" s="32"/>
      <c r="AF170" s="32"/>
      <c r="AG170" s="32"/>
    </row>
    <row r="171" ht="14.25" customHeight="1">
      <c r="E171" s="33" t="str">
        <f t="shared" si="1"/>
        <v/>
      </c>
      <c r="F171" s="34" t="str">
        <f t="shared" si="2"/>
        <v/>
      </c>
      <c r="G171" s="34" t="str">
        <f t="shared" si="3"/>
        <v/>
      </c>
      <c r="H171" s="34" t="str">
        <f t="shared" si="4"/>
        <v/>
      </c>
      <c r="I171" s="34" t="str">
        <f t="shared" si="5"/>
        <v/>
      </c>
      <c r="J171" s="34" t="str">
        <f t="shared" si="6"/>
        <v/>
      </c>
      <c r="K171" s="32"/>
      <c r="L171" s="32"/>
      <c r="M171" s="32"/>
      <c r="N171" s="32"/>
      <c r="P171" s="32"/>
      <c r="Q171" s="32"/>
      <c r="R171" s="32"/>
      <c r="S171" s="32"/>
      <c r="U171" s="32"/>
      <c r="V171" s="32"/>
      <c r="W171" s="32"/>
      <c r="X171" s="32"/>
      <c r="Y171" s="32"/>
      <c r="Z171" s="32"/>
      <c r="AB171" s="32"/>
      <c r="AC171" s="32"/>
      <c r="AD171" s="32"/>
      <c r="AE171" s="32"/>
      <c r="AF171" s="32"/>
      <c r="AG171" s="32"/>
    </row>
    <row r="172" ht="14.25" customHeight="1">
      <c r="E172" s="33" t="str">
        <f t="shared" si="1"/>
        <v/>
      </c>
      <c r="F172" s="34" t="str">
        <f t="shared" si="2"/>
        <v/>
      </c>
      <c r="G172" s="34" t="str">
        <f t="shared" si="3"/>
        <v/>
      </c>
      <c r="H172" s="34" t="str">
        <f t="shared" si="4"/>
        <v/>
      </c>
      <c r="I172" s="34" t="str">
        <f t="shared" si="5"/>
        <v/>
      </c>
      <c r="J172" s="34" t="str">
        <f t="shared" si="6"/>
        <v/>
      </c>
      <c r="K172" s="32"/>
      <c r="L172" s="32"/>
      <c r="M172" s="32"/>
      <c r="N172" s="32"/>
      <c r="P172" s="32"/>
      <c r="Q172" s="32"/>
      <c r="R172" s="32"/>
      <c r="S172" s="32"/>
      <c r="U172" s="32"/>
      <c r="V172" s="32"/>
      <c r="W172" s="32"/>
      <c r="X172" s="32"/>
      <c r="Y172" s="32"/>
      <c r="Z172" s="32"/>
      <c r="AB172" s="32"/>
      <c r="AC172" s="32"/>
      <c r="AD172" s="32"/>
      <c r="AE172" s="32"/>
      <c r="AF172" s="32"/>
      <c r="AG172" s="32"/>
    </row>
    <row r="173" ht="14.25" customHeight="1">
      <c r="E173" s="33" t="str">
        <f t="shared" si="1"/>
        <v/>
      </c>
      <c r="F173" s="34" t="str">
        <f t="shared" si="2"/>
        <v/>
      </c>
      <c r="G173" s="34" t="str">
        <f t="shared" si="3"/>
        <v/>
      </c>
      <c r="H173" s="34" t="str">
        <f t="shared" si="4"/>
        <v/>
      </c>
      <c r="I173" s="34" t="str">
        <f t="shared" si="5"/>
        <v/>
      </c>
      <c r="J173" s="34" t="str">
        <f t="shared" si="6"/>
        <v/>
      </c>
      <c r="K173" s="32"/>
      <c r="L173" s="32"/>
      <c r="M173" s="32"/>
      <c r="N173" s="32"/>
      <c r="P173" s="32"/>
      <c r="Q173" s="32"/>
      <c r="R173" s="32"/>
      <c r="S173" s="32"/>
      <c r="U173" s="32"/>
      <c r="V173" s="32"/>
      <c r="W173" s="32"/>
      <c r="X173" s="32"/>
      <c r="Y173" s="32"/>
      <c r="Z173" s="32"/>
      <c r="AB173" s="32"/>
      <c r="AC173" s="32"/>
      <c r="AD173" s="32"/>
      <c r="AE173" s="32"/>
      <c r="AF173" s="32"/>
      <c r="AG173" s="32"/>
    </row>
    <row r="174" ht="14.25" customHeight="1">
      <c r="E174" s="33" t="str">
        <f t="shared" si="1"/>
        <v/>
      </c>
      <c r="F174" s="34" t="str">
        <f t="shared" si="2"/>
        <v/>
      </c>
      <c r="G174" s="34" t="str">
        <f t="shared" si="3"/>
        <v/>
      </c>
      <c r="H174" s="34" t="str">
        <f t="shared" si="4"/>
        <v/>
      </c>
      <c r="I174" s="34" t="str">
        <f t="shared" si="5"/>
        <v/>
      </c>
      <c r="J174" s="34" t="str">
        <f t="shared" si="6"/>
        <v/>
      </c>
      <c r="K174" s="32"/>
      <c r="L174" s="32"/>
      <c r="M174" s="32"/>
      <c r="N174" s="32"/>
      <c r="P174" s="32"/>
      <c r="Q174" s="32"/>
      <c r="R174" s="32"/>
      <c r="S174" s="32"/>
      <c r="U174" s="32"/>
      <c r="V174" s="32"/>
      <c r="W174" s="32"/>
      <c r="X174" s="32"/>
      <c r="Y174" s="32"/>
      <c r="Z174" s="32"/>
      <c r="AB174" s="32"/>
      <c r="AC174" s="32"/>
      <c r="AD174" s="32"/>
      <c r="AE174" s="32"/>
      <c r="AF174" s="32"/>
      <c r="AG174" s="32"/>
    </row>
    <row r="175" ht="14.25" customHeight="1">
      <c r="E175" s="33" t="str">
        <f t="shared" si="1"/>
        <v/>
      </c>
      <c r="F175" s="34" t="str">
        <f t="shared" si="2"/>
        <v/>
      </c>
      <c r="G175" s="34" t="str">
        <f t="shared" si="3"/>
        <v/>
      </c>
      <c r="H175" s="34" t="str">
        <f t="shared" si="4"/>
        <v/>
      </c>
      <c r="I175" s="34" t="str">
        <f t="shared" si="5"/>
        <v/>
      </c>
      <c r="J175" s="34" t="str">
        <f t="shared" si="6"/>
        <v/>
      </c>
      <c r="K175" s="32"/>
      <c r="L175" s="32"/>
      <c r="M175" s="32"/>
      <c r="N175" s="32"/>
      <c r="P175" s="32"/>
      <c r="Q175" s="32"/>
      <c r="R175" s="32"/>
      <c r="S175" s="32"/>
      <c r="U175" s="32"/>
      <c r="V175" s="32"/>
      <c r="W175" s="32"/>
      <c r="X175" s="32"/>
      <c r="Y175" s="32"/>
      <c r="Z175" s="32"/>
      <c r="AB175" s="32"/>
      <c r="AC175" s="32"/>
      <c r="AD175" s="32"/>
      <c r="AE175" s="32"/>
      <c r="AF175" s="32"/>
      <c r="AG175" s="32"/>
    </row>
    <row r="176" ht="14.25" customHeight="1">
      <c r="E176" s="33" t="str">
        <f t="shared" si="1"/>
        <v/>
      </c>
      <c r="F176" s="34" t="str">
        <f t="shared" si="2"/>
        <v/>
      </c>
      <c r="G176" s="34" t="str">
        <f t="shared" si="3"/>
        <v/>
      </c>
      <c r="H176" s="34" t="str">
        <f t="shared" si="4"/>
        <v/>
      </c>
      <c r="I176" s="34" t="str">
        <f t="shared" si="5"/>
        <v/>
      </c>
      <c r="J176" s="34" t="str">
        <f t="shared" si="6"/>
        <v/>
      </c>
      <c r="K176" s="32"/>
      <c r="L176" s="32"/>
      <c r="M176" s="32"/>
      <c r="N176" s="32"/>
      <c r="P176" s="32"/>
      <c r="Q176" s="32"/>
      <c r="R176" s="32"/>
      <c r="S176" s="32"/>
      <c r="U176" s="32"/>
      <c r="V176" s="32"/>
      <c r="W176" s="32"/>
      <c r="X176" s="32"/>
      <c r="Y176" s="32"/>
      <c r="Z176" s="32"/>
      <c r="AB176" s="32"/>
      <c r="AC176" s="32"/>
      <c r="AD176" s="32"/>
      <c r="AE176" s="32"/>
      <c r="AF176" s="32"/>
      <c r="AG176" s="32"/>
    </row>
    <row r="177" ht="14.25" customHeight="1">
      <c r="E177" s="33" t="str">
        <f t="shared" si="1"/>
        <v/>
      </c>
      <c r="F177" s="34" t="str">
        <f t="shared" si="2"/>
        <v/>
      </c>
      <c r="G177" s="34" t="str">
        <f t="shared" si="3"/>
        <v/>
      </c>
      <c r="H177" s="34" t="str">
        <f t="shared" si="4"/>
        <v/>
      </c>
      <c r="I177" s="34" t="str">
        <f t="shared" si="5"/>
        <v/>
      </c>
      <c r="J177" s="34" t="str">
        <f t="shared" si="6"/>
        <v/>
      </c>
      <c r="K177" s="32"/>
      <c r="L177" s="32"/>
      <c r="M177" s="32"/>
      <c r="N177" s="32"/>
      <c r="P177" s="32"/>
      <c r="Q177" s="32"/>
      <c r="R177" s="32"/>
      <c r="S177" s="32"/>
      <c r="U177" s="32"/>
      <c r="V177" s="32"/>
      <c r="W177" s="32"/>
      <c r="X177" s="32"/>
      <c r="Y177" s="32"/>
      <c r="Z177" s="32"/>
      <c r="AB177" s="32"/>
      <c r="AC177" s="32"/>
      <c r="AD177" s="32"/>
      <c r="AE177" s="32"/>
      <c r="AF177" s="32"/>
      <c r="AG177" s="32"/>
    </row>
    <row r="178" ht="14.25" customHeight="1">
      <c r="E178" s="33" t="str">
        <f t="shared" si="1"/>
        <v/>
      </c>
      <c r="F178" s="34" t="str">
        <f t="shared" si="2"/>
        <v/>
      </c>
      <c r="G178" s="34" t="str">
        <f t="shared" si="3"/>
        <v/>
      </c>
      <c r="H178" s="34" t="str">
        <f t="shared" si="4"/>
        <v/>
      </c>
      <c r="I178" s="34" t="str">
        <f t="shared" si="5"/>
        <v/>
      </c>
      <c r="J178" s="34" t="str">
        <f t="shared" si="6"/>
        <v/>
      </c>
      <c r="K178" s="32"/>
      <c r="L178" s="32"/>
      <c r="M178" s="32"/>
      <c r="N178" s="32"/>
      <c r="P178" s="32"/>
      <c r="Q178" s="32"/>
      <c r="R178" s="32"/>
      <c r="S178" s="32"/>
      <c r="U178" s="32"/>
      <c r="V178" s="32"/>
      <c r="W178" s="32"/>
      <c r="X178" s="32"/>
      <c r="Y178" s="32"/>
      <c r="Z178" s="32"/>
      <c r="AB178" s="32"/>
      <c r="AC178" s="32"/>
      <c r="AD178" s="32"/>
      <c r="AE178" s="32"/>
      <c r="AF178" s="32"/>
      <c r="AG178" s="32"/>
    </row>
    <row r="179" ht="14.25" customHeight="1">
      <c r="E179" s="33" t="str">
        <f t="shared" si="1"/>
        <v/>
      </c>
      <c r="F179" s="34" t="str">
        <f t="shared" si="2"/>
        <v/>
      </c>
      <c r="G179" s="34" t="str">
        <f t="shared" si="3"/>
        <v/>
      </c>
      <c r="H179" s="34" t="str">
        <f t="shared" si="4"/>
        <v/>
      </c>
      <c r="I179" s="34" t="str">
        <f t="shared" si="5"/>
        <v/>
      </c>
      <c r="J179" s="34" t="str">
        <f t="shared" si="6"/>
        <v/>
      </c>
      <c r="K179" s="32"/>
      <c r="L179" s="32"/>
      <c r="M179" s="32"/>
      <c r="N179" s="32"/>
      <c r="P179" s="32"/>
      <c r="Q179" s="32"/>
      <c r="R179" s="32"/>
      <c r="S179" s="32"/>
      <c r="U179" s="32"/>
      <c r="V179" s="32"/>
      <c r="W179" s="32"/>
      <c r="X179" s="32"/>
      <c r="Y179" s="32"/>
      <c r="Z179" s="32"/>
      <c r="AB179" s="32"/>
      <c r="AC179" s="32"/>
      <c r="AD179" s="32"/>
      <c r="AE179" s="32"/>
      <c r="AF179" s="32"/>
      <c r="AG179" s="32"/>
    </row>
    <row r="180" ht="14.25" customHeight="1">
      <c r="E180" s="33" t="str">
        <f t="shared" si="1"/>
        <v/>
      </c>
      <c r="F180" s="34" t="str">
        <f t="shared" si="2"/>
        <v/>
      </c>
      <c r="G180" s="34" t="str">
        <f t="shared" si="3"/>
        <v/>
      </c>
      <c r="H180" s="34" t="str">
        <f t="shared" si="4"/>
        <v/>
      </c>
      <c r="I180" s="34" t="str">
        <f t="shared" si="5"/>
        <v/>
      </c>
      <c r="J180" s="34" t="str">
        <f t="shared" si="6"/>
        <v/>
      </c>
      <c r="K180" s="32"/>
      <c r="L180" s="32"/>
      <c r="M180" s="32"/>
      <c r="N180" s="32"/>
      <c r="P180" s="32"/>
      <c r="Q180" s="32"/>
      <c r="R180" s="32"/>
      <c r="S180" s="32"/>
      <c r="U180" s="32"/>
      <c r="V180" s="32"/>
      <c r="W180" s="32"/>
      <c r="X180" s="32"/>
      <c r="Y180" s="32"/>
      <c r="Z180" s="32"/>
      <c r="AB180" s="32"/>
      <c r="AC180" s="32"/>
      <c r="AD180" s="32"/>
      <c r="AE180" s="32"/>
      <c r="AF180" s="32"/>
      <c r="AG180" s="32"/>
    </row>
    <row r="181" ht="14.25" customHeight="1">
      <c r="E181" s="33" t="str">
        <f t="shared" si="1"/>
        <v/>
      </c>
      <c r="F181" s="34" t="str">
        <f t="shared" si="2"/>
        <v/>
      </c>
      <c r="G181" s="34" t="str">
        <f t="shared" si="3"/>
        <v/>
      </c>
      <c r="H181" s="34" t="str">
        <f t="shared" si="4"/>
        <v/>
      </c>
      <c r="I181" s="34" t="str">
        <f t="shared" si="5"/>
        <v/>
      </c>
      <c r="J181" s="34" t="str">
        <f t="shared" si="6"/>
        <v/>
      </c>
      <c r="K181" s="32"/>
      <c r="L181" s="32"/>
      <c r="M181" s="32"/>
      <c r="N181" s="32"/>
      <c r="P181" s="32"/>
      <c r="Q181" s="32"/>
      <c r="R181" s="32"/>
      <c r="S181" s="32"/>
      <c r="U181" s="32"/>
      <c r="V181" s="32"/>
      <c r="W181" s="32"/>
      <c r="X181" s="32"/>
      <c r="Y181" s="32"/>
      <c r="Z181" s="32"/>
      <c r="AB181" s="32"/>
      <c r="AC181" s="32"/>
      <c r="AD181" s="32"/>
      <c r="AE181" s="32"/>
      <c r="AF181" s="32"/>
      <c r="AG181" s="32"/>
    </row>
    <row r="182" ht="14.25" customHeight="1">
      <c r="E182" s="33" t="str">
        <f t="shared" si="1"/>
        <v/>
      </c>
      <c r="F182" s="34" t="str">
        <f t="shared" si="2"/>
        <v/>
      </c>
      <c r="G182" s="34" t="str">
        <f t="shared" si="3"/>
        <v/>
      </c>
      <c r="H182" s="34" t="str">
        <f t="shared" si="4"/>
        <v/>
      </c>
      <c r="I182" s="34" t="str">
        <f t="shared" si="5"/>
        <v/>
      </c>
      <c r="J182" s="34" t="str">
        <f t="shared" si="6"/>
        <v/>
      </c>
      <c r="K182" s="32"/>
      <c r="L182" s="32"/>
      <c r="M182" s="32"/>
      <c r="N182" s="32"/>
      <c r="P182" s="32"/>
      <c r="Q182" s="32"/>
      <c r="R182" s="32"/>
      <c r="S182" s="32"/>
      <c r="U182" s="32"/>
      <c r="V182" s="32"/>
      <c r="W182" s="32"/>
      <c r="X182" s="32"/>
      <c r="Y182" s="32"/>
      <c r="Z182" s="32"/>
      <c r="AB182" s="32"/>
      <c r="AC182" s="32"/>
      <c r="AD182" s="32"/>
      <c r="AE182" s="32"/>
      <c r="AF182" s="32"/>
      <c r="AG182" s="32"/>
    </row>
    <row r="183" ht="14.25" customHeight="1">
      <c r="E183" s="33" t="str">
        <f t="shared" si="1"/>
        <v/>
      </c>
      <c r="F183" s="34" t="str">
        <f t="shared" si="2"/>
        <v/>
      </c>
      <c r="G183" s="34" t="str">
        <f t="shared" si="3"/>
        <v/>
      </c>
      <c r="H183" s="34" t="str">
        <f t="shared" si="4"/>
        <v/>
      </c>
      <c r="I183" s="34" t="str">
        <f t="shared" si="5"/>
        <v/>
      </c>
      <c r="J183" s="34" t="str">
        <f t="shared" si="6"/>
        <v/>
      </c>
      <c r="K183" s="32"/>
      <c r="L183" s="32"/>
      <c r="M183" s="32"/>
      <c r="N183" s="32"/>
      <c r="P183" s="32"/>
      <c r="Q183" s="32"/>
      <c r="R183" s="32"/>
      <c r="S183" s="32"/>
      <c r="U183" s="32"/>
      <c r="V183" s="32"/>
      <c r="W183" s="32"/>
      <c r="X183" s="32"/>
      <c r="Y183" s="32"/>
      <c r="Z183" s="32"/>
      <c r="AB183" s="32"/>
      <c r="AC183" s="32"/>
      <c r="AD183" s="32"/>
      <c r="AE183" s="32"/>
      <c r="AF183" s="32"/>
      <c r="AG183" s="32"/>
    </row>
    <row r="184" ht="14.25" customHeight="1">
      <c r="E184" s="33" t="str">
        <f t="shared" si="1"/>
        <v/>
      </c>
      <c r="F184" s="34" t="str">
        <f t="shared" si="2"/>
        <v/>
      </c>
      <c r="G184" s="34" t="str">
        <f t="shared" si="3"/>
        <v/>
      </c>
      <c r="H184" s="34" t="str">
        <f t="shared" si="4"/>
        <v/>
      </c>
      <c r="I184" s="34" t="str">
        <f t="shared" si="5"/>
        <v/>
      </c>
      <c r="J184" s="34" t="str">
        <f t="shared" si="6"/>
        <v/>
      </c>
      <c r="K184" s="32"/>
      <c r="L184" s="32"/>
      <c r="M184" s="32"/>
      <c r="N184" s="32"/>
      <c r="P184" s="32"/>
      <c r="Q184" s="32"/>
      <c r="R184" s="32"/>
      <c r="S184" s="32"/>
      <c r="U184" s="32"/>
      <c r="V184" s="32"/>
      <c r="W184" s="32"/>
      <c r="X184" s="32"/>
      <c r="Y184" s="32"/>
      <c r="Z184" s="32"/>
      <c r="AB184" s="32"/>
      <c r="AC184" s="32"/>
      <c r="AD184" s="32"/>
      <c r="AE184" s="32"/>
      <c r="AF184" s="32"/>
      <c r="AG184" s="32"/>
    </row>
    <row r="185" ht="14.25" customHeight="1">
      <c r="E185" s="33" t="str">
        <f t="shared" si="1"/>
        <v/>
      </c>
      <c r="F185" s="34" t="str">
        <f t="shared" si="2"/>
        <v/>
      </c>
      <c r="G185" s="34" t="str">
        <f t="shared" si="3"/>
        <v/>
      </c>
      <c r="H185" s="34" t="str">
        <f t="shared" si="4"/>
        <v/>
      </c>
      <c r="I185" s="34" t="str">
        <f t="shared" si="5"/>
        <v/>
      </c>
      <c r="J185" s="34" t="str">
        <f t="shared" si="6"/>
        <v/>
      </c>
      <c r="K185" s="32"/>
      <c r="L185" s="32"/>
      <c r="M185" s="32"/>
      <c r="N185" s="32"/>
      <c r="P185" s="32"/>
      <c r="Q185" s="32"/>
      <c r="R185" s="32"/>
      <c r="S185" s="32"/>
      <c r="U185" s="32"/>
      <c r="V185" s="32"/>
      <c r="W185" s="32"/>
      <c r="X185" s="32"/>
      <c r="Y185" s="32"/>
      <c r="Z185" s="32"/>
      <c r="AB185" s="32"/>
      <c r="AC185" s="32"/>
      <c r="AD185" s="32"/>
      <c r="AE185" s="32"/>
      <c r="AF185" s="32"/>
      <c r="AG185" s="32"/>
    </row>
    <row r="186" ht="14.25" customHeight="1">
      <c r="E186" s="33" t="str">
        <f t="shared" si="1"/>
        <v/>
      </c>
      <c r="F186" s="34" t="str">
        <f t="shared" si="2"/>
        <v/>
      </c>
      <c r="G186" s="34" t="str">
        <f t="shared" si="3"/>
        <v/>
      </c>
      <c r="H186" s="34" t="str">
        <f t="shared" si="4"/>
        <v/>
      </c>
      <c r="I186" s="34" t="str">
        <f t="shared" si="5"/>
        <v/>
      </c>
      <c r="J186" s="34" t="str">
        <f t="shared" si="6"/>
        <v/>
      </c>
      <c r="K186" s="32"/>
      <c r="L186" s="32"/>
      <c r="M186" s="32"/>
      <c r="N186" s="32"/>
      <c r="P186" s="32"/>
      <c r="Q186" s="32"/>
      <c r="R186" s="32"/>
      <c r="S186" s="32"/>
      <c r="U186" s="32"/>
      <c r="V186" s="32"/>
      <c r="W186" s="32"/>
      <c r="X186" s="32"/>
      <c r="Y186" s="32"/>
      <c r="Z186" s="32"/>
      <c r="AB186" s="32"/>
      <c r="AC186" s="32"/>
      <c r="AD186" s="32"/>
      <c r="AE186" s="32"/>
      <c r="AF186" s="32"/>
      <c r="AG186" s="32"/>
    </row>
    <row r="187" ht="14.25" customHeight="1">
      <c r="E187" s="33" t="str">
        <f t="shared" si="1"/>
        <v/>
      </c>
      <c r="F187" s="34" t="str">
        <f t="shared" si="2"/>
        <v/>
      </c>
      <c r="G187" s="34" t="str">
        <f t="shared" si="3"/>
        <v/>
      </c>
      <c r="H187" s="34" t="str">
        <f t="shared" si="4"/>
        <v/>
      </c>
      <c r="I187" s="34" t="str">
        <f t="shared" si="5"/>
        <v/>
      </c>
      <c r="J187" s="34" t="str">
        <f t="shared" si="6"/>
        <v/>
      </c>
      <c r="K187" s="32"/>
      <c r="L187" s="32"/>
      <c r="M187" s="32"/>
      <c r="N187" s="32"/>
      <c r="P187" s="32"/>
      <c r="Q187" s="32"/>
      <c r="R187" s="32"/>
      <c r="S187" s="32"/>
      <c r="U187" s="32"/>
      <c r="V187" s="32"/>
      <c r="W187" s="32"/>
      <c r="X187" s="32"/>
      <c r="Y187" s="32"/>
      <c r="Z187" s="32"/>
      <c r="AB187" s="32"/>
      <c r="AC187" s="32"/>
      <c r="AD187" s="32"/>
      <c r="AE187" s="32"/>
      <c r="AF187" s="32"/>
      <c r="AG187" s="32"/>
    </row>
    <row r="188" ht="14.25" customHeight="1">
      <c r="E188" s="33" t="str">
        <f t="shared" si="1"/>
        <v/>
      </c>
      <c r="F188" s="34" t="str">
        <f t="shared" si="2"/>
        <v/>
      </c>
      <c r="G188" s="34" t="str">
        <f t="shared" si="3"/>
        <v/>
      </c>
      <c r="H188" s="34" t="str">
        <f t="shared" si="4"/>
        <v/>
      </c>
      <c r="I188" s="34" t="str">
        <f t="shared" si="5"/>
        <v/>
      </c>
      <c r="J188" s="34" t="str">
        <f t="shared" si="6"/>
        <v/>
      </c>
      <c r="K188" s="32"/>
      <c r="L188" s="32"/>
      <c r="M188" s="32"/>
      <c r="N188" s="32"/>
      <c r="P188" s="32"/>
      <c r="Q188" s="32"/>
      <c r="R188" s="32"/>
      <c r="S188" s="32"/>
      <c r="U188" s="32"/>
      <c r="V188" s="32"/>
      <c r="W188" s="32"/>
      <c r="X188" s="32"/>
      <c r="Y188" s="32"/>
      <c r="Z188" s="32"/>
      <c r="AB188" s="32"/>
      <c r="AC188" s="32"/>
      <c r="AD188" s="32"/>
      <c r="AE188" s="32"/>
      <c r="AF188" s="32"/>
      <c r="AG188" s="32"/>
    </row>
    <row r="189" ht="14.25" customHeight="1">
      <c r="E189" s="33" t="str">
        <f t="shared" si="1"/>
        <v/>
      </c>
      <c r="F189" s="34" t="str">
        <f t="shared" si="2"/>
        <v/>
      </c>
      <c r="G189" s="34" t="str">
        <f t="shared" si="3"/>
        <v/>
      </c>
      <c r="H189" s="34" t="str">
        <f t="shared" si="4"/>
        <v/>
      </c>
      <c r="I189" s="34" t="str">
        <f t="shared" si="5"/>
        <v/>
      </c>
      <c r="J189" s="34" t="str">
        <f t="shared" si="6"/>
        <v/>
      </c>
      <c r="K189" s="32"/>
      <c r="L189" s="32"/>
      <c r="M189" s="32"/>
      <c r="N189" s="32"/>
      <c r="P189" s="32"/>
      <c r="Q189" s="32"/>
      <c r="R189" s="32"/>
      <c r="S189" s="32"/>
      <c r="U189" s="32"/>
      <c r="V189" s="32"/>
      <c r="W189" s="32"/>
      <c r="X189" s="32"/>
      <c r="Y189" s="32"/>
      <c r="Z189" s="32"/>
      <c r="AB189" s="32"/>
      <c r="AC189" s="32"/>
      <c r="AD189" s="32"/>
      <c r="AE189" s="32"/>
      <c r="AF189" s="32"/>
      <c r="AG189" s="32"/>
    </row>
    <row r="190" ht="14.25" customHeight="1">
      <c r="E190" s="33" t="str">
        <f t="shared" si="1"/>
        <v/>
      </c>
      <c r="F190" s="34" t="str">
        <f t="shared" si="2"/>
        <v/>
      </c>
      <c r="G190" s="34" t="str">
        <f t="shared" si="3"/>
        <v/>
      </c>
      <c r="H190" s="34" t="str">
        <f t="shared" si="4"/>
        <v/>
      </c>
      <c r="I190" s="34" t="str">
        <f t="shared" si="5"/>
        <v/>
      </c>
      <c r="J190" s="34" t="str">
        <f t="shared" si="6"/>
        <v/>
      </c>
      <c r="K190" s="32"/>
      <c r="L190" s="32"/>
      <c r="M190" s="32"/>
      <c r="N190" s="32"/>
      <c r="P190" s="32"/>
      <c r="Q190" s="32"/>
      <c r="R190" s="32"/>
      <c r="S190" s="32"/>
      <c r="U190" s="32"/>
      <c r="V190" s="32"/>
      <c r="W190" s="32"/>
      <c r="X190" s="32"/>
      <c r="Y190" s="32"/>
      <c r="Z190" s="32"/>
      <c r="AB190" s="32"/>
      <c r="AC190" s="32"/>
      <c r="AD190" s="32"/>
      <c r="AE190" s="32"/>
      <c r="AF190" s="32"/>
      <c r="AG190" s="32"/>
    </row>
    <row r="191" ht="14.25" customHeight="1">
      <c r="E191" s="33" t="str">
        <f t="shared" si="1"/>
        <v/>
      </c>
      <c r="F191" s="34" t="str">
        <f t="shared" si="2"/>
        <v/>
      </c>
      <c r="G191" s="34" t="str">
        <f t="shared" si="3"/>
        <v/>
      </c>
      <c r="H191" s="34" t="str">
        <f t="shared" si="4"/>
        <v/>
      </c>
      <c r="I191" s="34" t="str">
        <f t="shared" si="5"/>
        <v/>
      </c>
      <c r="J191" s="34" t="str">
        <f t="shared" si="6"/>
        <v/>
      </c>
      <c r="K191" s="32"/>
      <c r="L191" s="32"/>
      <c r="M191" s="32"/>
      <c r="N191" s="32"/>
      <c r="P191" s="32"/>
      <c r="Q191" s="32"/>
      <c r="R191" s="32"/>
      <c r="S191" s="32"/>
      <c r="U191" s="32"/>
      <c r="V191" s="32"/>
      <c r="W191" s="32"/>
      <c r="X191" s="32"/>
      <c r="Y191" s="32"/>
      <c r="Z191" s="32"/>
      <c r="AB191" s="32"/>
      <c r="AC191" s="32"/>
      <c r="AD191" s="32"/>
      <c r="AE191" s="32"/>
      <c r="AF191" s="32"/>
      <c r="AG191" s="32"/>
    </row>
    <row r="192" ht="14.25" customHeight="1">
      <c r="E192" s="33" t="str">
        <f t="shared" si="1"/>
        <v/>
      </c>
      <c r="F192" s="34" t="str">
        <f t="shared" si="2"/>
        <v/>
      </c>
      <c r="G192" s="34" t="str">
        <f t="shared" si="3"/>
        <v/>
      </c>
      <c r="H192" s="34" t="str">
        <f t="shared" si="4"/>
        <v/>
      </c>
      <c r="I192" s="34" t="str">
        <f t="shared" si="5"/>
        <v/>
      </c>
      <c r="J192" s="34" t="str">
        <f t="shared" si="6"/>
        <v/>
      </c>
      <c r="K192" s="32"/>
      <c r="L192" s="32"/>
      <c r="M192" s="32"/>
      <c r="N192" s="32"/>
      <c r="P192" s="32"/>
      <c r="Q192" s="32"/>
      <c r="R192" s="32"/>
      <c r="S192" s="32"/>
      <c r="U192" s="32"/>
      <c r="V192" s="32"/>
      <c r="W192" s="32"/>
      <c r="X192" s="32"/>
      <c r="Y192" s="32"/>
      <c r="Z192" s="32"/>
      <c r="AB192" s="32"/>
      <c r="AC192" s="32"/>
      <c r="AD192" s="32"/>
      <c r="AE192" s="32"/>
      <c r="AF192" s="32"/>
      <c r="AG192" s="32"/>
    </row>
    <row r="193" ht="14.25" customHeight="1">
      <c r="E193" s="33" t="str">
        <f t="shared" si="1"/>
        <v/>
      </c>
      <c r="F193" s="34" t="str">
        <f t="shared" si="2"/>
        <v/>
      </c>
      <c r="G193" s="34" t="str">
        <f t="shared" si="3"/>
        <v/>
      </c>
      <c r="H193" s="34" t="str">
        <f t="shared" si="4"/>
        <v/>
      </c>
      <c r="I193" s="34" t="str">
        <f t="shared" si="5"/>
        <v/>
      </c>
      <c r="J193" s="34" t="str">
        <f t="shared" si="6"/>
        <v/>
      </c>
      <c r="K193" s="32"/>
      <c r="L193" s="32"/>
      <c r="M193" s="32"/>
      <c r="N193" s="32"/>
      <c r="P193" s="32"/>
      <c r="Q193" s="32"/>
      <c r="R193" s="32"/>
      <c r="S193" s="32"/>
      <c r="U193" s="32"/>
      <c r="V193" s="32"/>
      <c r="W193" s="32"/>
      <c r="X193" s="32"/>
      <c r="Y193" s="32"/>
      <c r="Z193" s="32"/>
      <c r="AB193" s="32"/>
      <c r="AC193" s="32"/>
      <c r="AD193" s="32"/>
      <c r="AE193" s="32"/>
      <c r="AF193" s="32"/>
      <c r="AG193" s="32"/>
    </row>
    <row r="194" ht="14.25" customHeight="1">
      <c r="E194" s="33" t="str">
        <f t="shared" si="1"/>
        <v/>
      </c>
      <c r="F194" s="34" t="str">
        <f t="shared" si="2"/>
        <v/>
      </c>
      <c r="G194" s="34" t="str">
        <f t="shared" si="3"/>
        <v/>
      </c>
      <c r="H194" s="34" t="str">
        <f t="shared" si="4"/>
        <v/>
      </c>
      <c r="I194" s="34" t="str">
        <f t="shared" si="5"/>
        <v/>
      </c>
      <c r="J194" s="34" t="str">
        <f t="shared" si="6"/>
        <v/>
      </c>
      <c r="K194" s="32"/>
      <c r="L194" s="32"/>
      <c r="M194" s="32"/>
      <c r="N194" s="32"/>
      <c r="P194" s="32"/>
      <c r="Q194" s="32"/>
      <c r="R194" s="32"/>
      <c r="S194" s="32"/>
      <c r="U194" s="32"/>
      <c r="V194" s="32"/>
      <c r="W194" s="32"/>
      <c r="X194" s="32"/>
      <c r="Y194" s="32"/>
      <c r="Z194" s="32"/>
      <c r="AB194" s="32"/>
      <c r="AC194" s="32"/>
      <c r="AD194" s="32"/>
      <c r="AE194" s="32"/>
      <c r="AF194" s="32"/>
      <c r="AG194" s="32"/>
    </row>
    <row r="195" ht="14.25" customHeight="1">
      <c r="E195" s="33" t="str">
        <f t="shared" si="1"/>
        <v/>
      </c>
      <c r="F195" s="34" t="str">
        <f t="shared" si="2"/>
        <v/>
      </c>
      <c r="G195" s="34" t="str">
        <f t="shared" si="3"/>
        <v/>
      </c>
      <c r="H195" s="34" t="str">
        <f t="shared" si="4"/>
        <v/>
      </c>
      <c r="I195" s="34" t="str">
        <f t="shared" si="5"/>
        <v/>
      </c>
      <c r="J195" s="34" t="str">
        <f t="shared" si="6"/>
        <v/>
      </c>
      <c r="K195" s="32"/>
      <c r="L195" s="32"/>
      <c r="M195" s="32"/>
      <c r="N195" s="32"/>
      <c r="P195" s="32"/>
      <c r="Q195" s="32"/>
      <c r="R195" s="32"/>
      <c r="S195" s="32"/>
      <c r="U195" s="32"/>
      <c r="V195" s="32"/>
      <c r="W195" s="32"/>
      <c r="X195" s="32"/>
      <c r="Y195" s="32"/>
      <c r="Z195" s="32"/>
      <c r="AB195" s="32"/>
      <c r="AC195" s="32"/>
      <c r="AD195" s="32"/>
      <c r="AE195" s="32"/>
      <c r="AF195" s="32"/>
      <c r="AG195" s="32"/>
    </row>
    <row r="196" ht="14.25" customHeight="1">
      <c r="E196" s="33" t="str">
        <f t="shared" si="1"/>
        <v/>
      </c>
      <c r="F196" s="34" t="str">
        <f t="shared" si="2"/>
        <v/>
      </c>
      <c r="G196" s="34" t="str">
        <f t="shared" si="3"/>
        <v/>
      </c>
      <c r="H196" s="34" t="str">
        <f t="shared" si="4"/>
        <v/>
      </c>
      <c r="I196" s="34" t="str">
        <f t="shared" si="5"/>
        <v/>
      </c>
      <c r="J196" s="34" t="str">
        <f t="shared" si="6"/>
        <v/>
      </c>
      <c r="K196" s="32"/>
      <c r="L196" s="32"/>
      <c r="M196" s="32"/>
      <c r="N196" s="32"/>
      <c r="P196" s="32"/>
      <c r="Q196" s="32"/>
      <c r="R196" s="32"/>
      <c r="S196" s="32"/>
      <c r="U196" s="32"/>
      <c r="V196" s="32"/>
      <c r="W196" s="32"/>
      <c r="X196" s="32"/>
      <c r="Y196" s="32"/>
      <c r="Z196" s="32"/>
      <c r="AB196" s="32"/>
      <c r="AC196" s="32"/>
      <c r="AD196" s="32"/>
      <c r="AE196" s="32"/>
      <c r="AF196" s="32"/>
      <c r="AG196" s="32"/>
    </row>
    <row r="197" ht="14.25" customHeight="1">
      <c r="E197" s="33" t="str">
        <f t="shared" si="1"/>
        <v/>
      </c>
      <c r="F197" s="34" t="str">
        <f t="shared" si="2"/>
        <v/>
      </c>
      <c r="G197" s="34" t="str">
        <f t="shared" si="3"/>
        <v/>
      </c>
      <c r="H197" s="34" t="str">
        <f t="shared" si="4"/>
        <v/>
      </c>
      <c r="I197" s="34" t="str">
        <f t="shared" si="5"/>
        <v/>
      </c>
      <c r="J197" s="34" t="str">
        <f t="shared" si="6"/>
        <v/>
      </c>
      <c r="K197" s="32"/>
      <c r="L197" s="32"/>
      <c r="M197" s="32"/>
      <c r="N197" s="32"/>
      <c r="P197" s="32"/>
      <c r="Q197" s="32"/>
      <c r="R197" s="32"/>
      <c r="S197" s="32"/>
      <c r="U197" s="32"/>
      <c r="V197" s="32"/>
      <c r="W197" s="32"/>
      <c r="X197" s="32"/>
      <c r="Y197" s="32"/>
      <c r="Z197" s="32"/>
      <c r="AB197" s="32"/>
      <c r="AC197" s="32"/>
      <c r="AD197" s="32"/>
      <c r="AE197" s="32"/>
      <c r="AF197" s="32"/>
      <c r="AG197" s="32"/>
    </row>
    <row r="198" ht="14.25" customHeight="1">
      <c r="E198" s="33" t="str">
        <f t="shared" si="1"/>
        <v/>
      </c>
      <c r="F198" s="34" t="str">
        <f t="shared" si="2"/>
        <v/>
      </c>
      <c r="G198" s="34" t="str">
        <f t="shared" si="3"/>
        <v/>
      </c>
      <c r="H198" s="34" t="str">
        <f t="shared" si="4"/>
        <v/>
      </c>
      <c r="I198" s="34" t="str">
        <f t="shared" si="5"/>
        <v/>
      </c>
      <c r="J198" s="34" t="str">
        <f t="shared" si="6"/>
        <v/>
      </c>
      <c r="K198" s="32"/>
      <c r="L198" s="32"/>
      <c r="M198" s="32"/>
      <c r="N198" s="32"/>
      <c r="P198" s="32"/>
      <c r="Q198" s="32"/>
      <c r="R198" s="32"/>
      <c r="S198" s="32"/>
      <c r="U198" s="32"/>
      <c r="V198" s="32"/>
      <c r="W198" s="32"/>
      <c r="X198" s="32"/>
      <c r="Y198" s="32"/>
      <c r="Z198" s="32"/>
      <c r="AB198" s="32"/>
      <c r="AC198" s="32"/>
      <c r="AD198" s="32"/>
      <c r="AE198" s="32"/>
      <c r="AF198" s="32"/>
      <c r="AG198" s="32"/>
    </row>
    <row r="199" ht="14.25" customHeight="1">
      <c r="E199" s="33" t="str">
        <f t="shared" si="1"/>
        <v/>
      </c>
      <c r="F199" s="34" t="str">
        <f t="shared" si="2"/>
        <v/>
      </c>
      <c r="G199" s="34" t="str">
        <f t="shared" si="3"/>
        <v/>
      </c>
      <c r="H199" s="34" t="str">
        <f t="shared" si="4"/>
        <v/>
      </c>
      <c r="I199" s="34" t="str">
        <f t="shared" si="5"/>
        <v/>
      </c>
      <c r="J199" s="34" t="str">
        <f t="shared" si="6"/>
        <v/>
      </c>
      <c r="K199" s="32"/>
      <c r="L199" s="32"/>
      <c r="M199" s="32"/>
      <c r="N199" s="32"/>
      <c r="P199" s="32"/>
      <c r="Q199" s="32"/>
      <c r="R199" s="32"/>
      <c r="S199" s="32"/>
      <c r="U199" s="32"/>
      <c r="V199" s="32"/>
      <c r="W199" s="32"/>
      <c r="X199" s="32"/>
      <c r="Y199" s="32"/>
      <c r="Z199" s="32"/>
      <c r="AB199" s="32"/>
      <c r="AC199" s="32"/>
      <c r="AD199" s="32"/>
      <c r="AE199" s="32"/>
      <c r="AF199" s="32"/>
      <c r="AG199" s="32"/>
    </row>
    <row r="200" ht="14.25" customHeight="1">
      <c r="E200" s="33" t="str">
        <f t="shared" si="1"/>
        <v/>
      </c>
      <c r="F200" s="34" t="str">
        <f t="shared" si="2"/>
        <v/>
      </c>
      <c r="G200" s="34" t="str">
        <f t="shared" si="3"/>
        <v/>
      </c>
      <c r="H200" s="34" t="str">
        <f t="shared" si="4"/>
        <v/>
      </c>
      <c r="I200" s="34" t="str">
        <f t="shared" si="5"/>
        <v/>
      </c>
      <c r="J200" s="34" t="str">
        <f t="shared" si="6"/>
        <v/>
      </c>
      <c r="K200" s="32"/>
      <c r="L200" s="32"/>
      <c r="M200" s="32"/>
      <c r="N200" s="32"/>
      <c r="P200" s="32"/>
      <c r="Q200" s="32"/>
      <c r="R200" s="32"/>
      <c r="S200" s="32"/>
      <c r="U200" s="32"/>
      <c r="V200" s="32"/>
      <c r="W200" s="32"/>
      <c r="X200" s="32"/>
      <c r="Y200" s="32"/>
      <c r="Z200" s="32"/>
      <c r="AB200" s="32"/>
      <c r="AC200" s="32"/>
      <c r="AD200" s="32"/>
      <c r="AE200" s="32"/>
      <c r="AF200" s="32"/>
      <c r="AG200" s="32"/>
    </row>
    <row r="201" ht="14.25" customHeight="1">
      <c r="E201" s="33" t="str">
        <f t="shared" si="1"/>
        <v/>
      </c>
      <c r="F201" s="34" t="str">
        <f t="shared" si="2"/>
        <v/>
      </c>
      <c r="G201" s="34" t="str">
        <f t="shared" si="3"/>
        <v/>
      </c>
      <c r="H201" s="34" t="str">
        <f t="shared" si="4"/>
        <v/>
      </c>
      <c r="I201" s="34" t="str">
        <f t="shared" si="5"/>
        <v/>
      </c>
      <c r="J201" s="34" t="str">
        <f t="shared" si="6"/>
        <v/>
      </c>
      <c r="K201" s="32"/>
      <c r="L201" s="32"/>
      <c r="M201" s="32"/>
      <c r="N201" s="32"/>
      <c r="P201" s="32"/>
      <c r="Q201" s="32"/>
      <c r="R201" s="32"/>
      <c r="S201" s="32"/>
      <c r="U201" s="32"/>
      <c r="V201" s="32"/>
      <c r="W201" s="32"/>
      <c r="X201" s="32"/>
      <c r="Y201" s="32"/>
      <c r="Z201" s="32"/>
      <c r="AB201" s="32"/>
      <c r="AC201" s="32"/>
      <c r="AD201" s="32"/>
      <c r="AE201" s="32"/>
      <c r="AF201" s="32"/>
      <c r="AG201" s="32"/>
    </row>
    <row r="202" ht="14.25" customHeight="1">
      <c r="E202" s="33" t="str">
        <f t="shared" si="1"/>
        <v/>
      </c>
      <c r="F202" s="34" t="str">
        <f t="shared" si="2"/>
        <v/>
      </c>
      <c r="G202" s="34" t="str">
        <f t="shared" si="3"/>
        <v/>
      </c>
      <c r="H202" s="34" t="str">
        <f t="shared" si="4"/>
        <v/>
      </c>
      <c r="I202" s="34" t="str">
        <f t="shared" si="5"/>
        <v/>
      </c>
      <c r="J202" s="34" t="str">
        <f t="shared" si="6"/>
        <v/>
      </c>
      <c r="K202" s="32"/>
      <c r="L202" s="32"/>
      <c r="M202" s="32"/>
      <c r="N202" s="32"/>
      <c r="P202" s="32"/>
      <c r="Q202" s="32"/>
      <c r="R202" s="32"/>
      <c r="S202" s="32"/>
      <c r="U202" s="32"/>
      <c r="V202" s="32"/>
      <c r="W202" s="32"/>
      <c r="X202" s="32"/>
      <c r="Y202" s="32"/>
      <c r="Z202" s="32"/>
      <c r="AB202" s="32"/>
      <c r="AC202" s="32"/>
      <c r="AD202" s="32"/>
      <c r="AE202" s="32"/>
      <c r="AF202" s="32"/>
      <c r="AG202" s="32"/>
    </row>
    <row r="203" ht="14.25" customHeight="1">
      <c r="E203" s="33" t="str">
        <f t="shared" si="1"/>
        <v/>
      </c>
      <c r="F203" s="34" t="str">
        <f t="shared" si="2"/>
        <v/>
      </c>
      <c r="G203" s="34" t="str">
        <f t="shared" si="3"/>
        <v/>
      </c>
      <c r="H203" s="34" t="str">
        <f t="shared" si="4"/>
        <v/>
      </c>
      <c r="I203" s="34" t="str">
        <f t="shared" si="5"/>
        <v/>
      </c>
      <c r="J203" s="34" t="str">
        <f t="shared" si="6"/>
        <v/>
      </c>
      <c r="K203" s="32"/>
      <c r="L203" s="32"/>
      <c r="M203" s="32"/>
      <c r="N203" s="32"/>
      <c r="P203" s="32"/>
      <c r="Q203" s="32"/>
      <c r="R203" s="32"/>
      <c r="S203" s="32"/>
      <c r="U203" s="32"/>
      <c r="V203" s="32"/>
      <c r="W203" s="32"/>
      <c r="X203" s="32"/>
      <c r="Y203" s="32"/>
      <c r="Z203" s="32"/>
      <c r="AB203" s="32"/>
      <c r="AC203" s="32"/>
      <c r="AD203" s="32"/>
      <c r="AE203" s="32"/>
      <c r="AF203" s="32"/>
      <c r="AG203" s="32"/>
    </row>
    <row r="204" ht="14.25" customHeight="1">
      <c r="E204" s="33" t="str">
        <f t="shared" si="1"/>
        <v/>
      </c>
      <c r="F204" s="34" t="str">
        <f t="shared" si="2"/>
        <v/>
      </c>
      <c r="G204" s="34" t="str">
        <f t="shared" si="3"/>
        <v/>
      </c>
      <c r="H204" s="34" t="str">
        <f t="shared" si="4"/>
        <v/>
      </c>
      <c r="I204" s="34" t="str">
        <f t="shared" si="5"/>
        <v/>
      </c>
      <c r="J204" s="34" t="str">
        <f t="shared" si="6"/>
        <v/>
      </c>
      <c r="K204" s="32"/>
      <c r="L204" s="32"/>
      <c r="M204" s="32"/>
      <c r="N204" s="32"/>
      <c r="P204" s="32"/>
      <c r="Q204" s="32"/>
      <c r="R204" s="32"/>
      <c r="S204" s="32"/>
      <c r="U204" s="32"/>
      <c r="V204" s="32"/>
      <c r="W204" s="32"/>
      <c r="X204" s="32"/>
      <c r="Y204" s="32"/>
      <c r="Z204" s="32"/>
      <c r="AB204" s="32"/>
      <c r="AC204" s="32"/>
      <c r="AD204" s="32"/>
      <c r="AE204" s="32"/>
      <c r="AF204" s="32"/>
      <c r="AG204" s="32"/>
    </row>
    <row r="205" ht="14.25" customHeight="1">
      <c r="E205" s="33" t="str">
        <f t="shared" si="1"/>
        <v/>
      </c>
      <c r="F205" s="34" t="str">
        <f t="shared" si="2"/>
        <v/>
      </c>
      <c r="G205" s="34" t="str">
        <f t="shared" si="3"/>
        <v/>
      </c>
      <c r="H205" s="34" t="str">
        <f t="shared" si="4"/>
        <v/>
      </c>
      <c r="I205" s="34" t="str">
        <f t="shared" si="5"/>
        <v/>
      </c>
      <c r="J205" s="34" t="str">
        <f t="shared" si="6"/>
        <v/>
      </c>
      <c r="K205" s="32"/>
      <c r="L205" s="32"/>
      <c r="M205" s="32"/>
      <c r="N205" s="32"/>
      <c r="P205" s="32"/>
      <c r="Q205" s="32"/>
      <c r="R205" s="32"/>
      <c r="S205" s="32"/>
      <c r="U205" s="32"/>
      <c r="V205" s="32"/>
      <c r="W205" s="32"/>
      <c r="X205" s="32"/>
      <c r="Y205" s="32"/>
      <c r="Z205" s="32"/>
      <c r="AB205" s="32"/>
      <c r="AC205" s="32"/>
      <c r="AD205" s="32"/>
      <c r="AE205" s="32"/>
      <c r="AF205" s="32"/>
      <c r="AG205" s="32"/>
    </row>
    <row r="206" ht="14.25" customHeight="1">
      <c r="E206" s="33" t="str">
        <f t="shared" si="1"/>
        <v/>
      </c>
      <c r="F206" s="34" t="str">
        <f t="shared" si="2"/>
        <v/>
      </c>
      <c r="G206" s="34" t="str">
        <f t="shared" si="3"/>
        <v/>
      </c>
      <c r="H206" s="34" t="str">
        <f t="shared" si="4"/>
        <v/>
      </c>
      <c r="I206" s="34" t="str">
        <f t="shared" si="5"/>
        <v/>
      </c>
      <c r="J206" s="34" t="str">
        <f t="shared" si="6"/>
        <v/>
      </c>
      <c r="K206" s="32"/>
      <c r="L206" s="32"/>
      <c r="M206" s="32"/>
      <c r="N206" s="32"/>
      <c r="P206" s="32"/>
      <c r="Q206" s="32"/>
      <c r="R206" s="32"/>
      <c r="S206" s="32"/>
      <c r="U206" s="32"/>
      <c r="V206" s="32"/>
      <c r="W206" s="32"/>
      <c r="X206" s="32"/>
      <c r="Y206" s="32"/>
      <c r="Z206" s="32"/>
      <c r="AB206" s="32"/>
      <c r="AC206" s="32"/>
      <c r="AD206" s="32"/>
      <c r="AE206" s="32"/>
      <c r="AF206" s="32"/>
      <c r="AG206" s="32"/>
    </row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5:$AI$206">
    <sortState ref="A5:AI206">
      <sortCondition ref="B5:B206"/>
    </sortState>
  </autoFilter>
  <mergeCells count="6">
    <mergeCell ref="B2:J2"/>
    <mergeCell ref="K4:O4"/>
    <mergeCell ref="P4:T4"/>
    <mergeCell ref="U4:AA4"/>
    <mergeCell ref="AB4:AE4"/>
    <mergeCell ref="AF4:AH4"/>
  </mergeCells>
  <conditionalFormatting sqref="E7:E206">
    <cfRule type="cellIs" dxfId="0" priority="1" operator="greaterThanOrEqual">
      <formula>7</formula>
    </cfRule>
  </conditionalFormatting>
  <conditionalFormatting sqref="E7:E206">
    <cfRule type="cellIs" dxfId="1" priority="2" operator="lessThan">
      <formula>5</formula>
    </cfRule>
  </conditionalFormatting>
  <dataValidations>
    <dataValidation type="list" allowBlank="1" showInputMessage="1" showErrorMessage="1" prompt="Só 0 ou 1 - Item binário: enviou = 1, não enviou = 0." sqref="AB7:AD206">
      <formula1>"0,1"</formula1>
    </dataValidation>
    <dataValidation type="list" allowBlank="1" showInputMessage="1" showErrorMessage="1" prompt="Só 0, 1, 2 ou 3 - Esta escala não aceita decimais. Consulte a aba 'Base avaliação' e escolha o nível que a entrega atende." sqref="K7:N206 P7:S206 U7:Z206 AE7:AG206">
      <formula1>"0,1,2,3"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5.0"/>
    <col customWidth="1" min="2" max="2" width="34.0"/>
    <col customWidth="1" min="3" max="4" width="9.0"/>
    <col customWidth="1" min="5" max="5" width="11.0"/>
    <col customWidth="1" min="6" max="7" width="12.0"/>
    <col customWidth="1" min="8" max="8" width="9.0"/>
    <col customWidth="1" min="9" max="9" width="30.0"/>
    <col customWidth="1" min="10" max="10" width="12.0"/>
    <col customWidth="1" min="11" max="11" width="10.0"/>
    <col customWidth="1" min="12" max="12" width="44.0"/>
    <col customWidth="1" min="13" max="13" width="9.0"/>
    <col customWidth="1" min="14" max="14" width="22.0"/>
    <col customWidth="1" min="15" max="15" width="15.0"/>
    <col customWidth="1" min="16" max="27" width="8.71"/>
  </cols>
  <sheetData>
    <row r="1" ht="14.25" customHeight="1"/>
    <row r="2" ht="25.5" customHeight="1">
      <c r="B2" s="7" t="s">
        <v>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"/>
    </row>
    <row r="3" ht="21.75" customHeight="1">
      <c r="B3" s="14" t="str">
        <f>IF(COUNTA($B$5:$B$64)=0,"Cole os nomes dos candidatos na coluna B para começar.","Avaliações completas: "&amp;COUNTIF($D$5:$D$64,"&gt;=2")&amp;" de "&amp;COUNTA($B$5:$B$64)&amp;" candidatos  ("&amp;TEXT(COUNTIF($D$5:$D$64,"&gt;=2")/COUNTA($B$5:$B$64),"0%")&amp;")     •     Ainda com 1 avaliador só: "&amp;COUNTIF($D$5:$D$64,1)&amp;"     •     Sem nenhuma nota: "&amp;COUNTIF($D$5:$D$64,0))</f>
        <v>Avaliações completas: 0 de 21 candidatos  (0%)     •     Ainda com 1 avaliador só: 0     •     Sem nenhuma nota: 21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"/>
    </row>
    <row r="4" ht="30.0" customHeight="1">
      <c r="A4" s="21" t="s">
        <v>69</v>
      </c>
      <c r="B4" s="21" t="s">
        <v>71</v>
      </c>
      <c r="C4" s="24" t="s">
        <v>79</v>
      </c>
      <c r="D4" s="21" t="s">
        <v>82</v>
      </c>
      <c r="E4" s="21" t="s">
        <v>74</v>
      </c>
      <c r="F4" s="21" t="s">
        <v>84</v>
      </c>
      <c r="G4" s="21" t="s">
        <v>89</v>
      </c>
      <c r="H4" s="21" t="s">
        <v>91</v>
      </c>
      <c r="I4" s="21" t="s">
        <v>93</v>
      </c>
      <c r="J4" s="21" t="s">
        <v>96</v>
      </c>
      <c r="K4" s="21" t="s">
        <v>98</v>
      </c>
      <c r="L4" s="21" t="s">
        <v>100</v>
      </c>
      <c r="M4" s="21" t="s">
        <v>104</v>
      </c>
      <c r="N4" s="21" t="s">
        <v>106</v>
      </c>
      <c r="O4" s="21" t="s">
        <v>108</v>
      </c>
    </row>
    <row r="5" ht="14.25" customHeight="1">
      <c r="A5" s="29">
        <f t="shared" ref="A5:A64" si="1">IF($B5="","",ROW()-4)</f>
        <v>1</v>
      </c>
      <c r="B5" s="30" t="s">
        <v>122</v>
      </c>
      <c r="C5" s="30" t="s">
        <v>124</v>
      </c>
      <c r="D5" s="32">
        <f>IF($B5="","",COUNTIFS('Avaliação'!$C$7:$C$206,$B5,'Avaliação'!$E$7:$E$206,"&gt;=0"))</f>
        <v>0</v>
      </c>
      <c r="E5" s="33" t="str">
        <f>IF($B5="","",IFERROR(ROUND(AVERAGEIF('Avaliação'!$C$7:$C$206,$B5,'Avaliação'!$E$7:$E$206),2),""))</f>
        <v/>
      </c>
      <c r="F5" s="32" t="str">
        <f t="array" ref="F5">IF($B5="","",IFERROR(INDEX('Avaliação'!$E$7:$E$206,MATCH($B5,'Avaliação'!$C$7:$C$206,0)),""))</f>
        <v/>
      </c>
      <c r="G5" s="32" t="str">
        <f>IF($B5="","",IF($D5&lt;&gt;2,"",IF($F5="","",ROUND(SUMIF('Avaliação'!$C$7:$C$206,$B5,'Avaliação'!$E$7:$E$206)-$F5,2))))</f>
        <v/>
      </c>
      <c r="H5" s="32" t="str">
        <f t="shared" ref="H5:H64" si="2">IF($B5="","",IF(OR($F5="",$G5=""),"",ROUND(ABS($F5-$G5),2)))</f>
        <v/>
      </c>
      <c r="I5" s="29" t="str">
        <f t="shared" ref="I5:I64" si="3">IF($B5="","",IF($D5&lt;2,"⚠ falta 2º avaliador",IF($D5&gt;2,"⚠ mais de 2 avaliações — conferir",IF(AND(ISNUMBER($H5),$H5&gt;1),"⚠ divergência &gt; 1,0 — média suspensa, calibrar","OK"))))</f>
        <v>⚠ falta 2º avaliador</v>
      </c>
      <c r="J5" s="29"/>
      <c r="K5" s="32"/>
      <c r="L5" s="35"/>
      <c r="M5" s="32" t="str">
        <f t="shared" ref="M5:M64" si="4">IF($E5="","",COUNTIF($E$5:$E$64,"&gt;"&amp;$E5)+1)</f>
        <v/>
      </c>
      <c r="N5" s="32" t="str">
        <f>IF($B5="","",IF(Entrevista!$H5="","",Entrevista!$H5))</f>
        <v/>
      </c>
      <c r="O5" s="29" t="str">
        <f>IF($B5="","",IF(Entrevista!$L5="","",Entrevista!$L5))</f>
        <v/>
      </c>
    </row>
    <row r="6" ht="14.25" customHeight="1">
      <c r="A6" s="29">
        <f t="shared" si="1"/>
        <v>2</v>
      </c>
      <c r="B6" s="30" t="s">
        <v>156</v>
      </c>
      <c r="C6" s="30" t="s">
        <v>157</v>
      </c>
      <c r="D6" s="32">
        <f>IF($B6="","",COUNTIFS('Avaliação'!$C$7:$C$206,$B6,'Avaliação'!$E$7:$E$206,"&gt;=0"))</f>
        <v>0</v>
      </c>
      <c r="E6" s="33" t="str">
        <f>IF($B6="","",IFERROR(ROUND(AVERAGEIF('Avaliação'!$C$7:$C$206,$B6,'Avaliação'!$E$7:$E$206),2),""))</f>
        <v/>
      </c>
      <c r="F6" s="32" t="str">
        <f t="array" ref="F6">IF($B6="","",IFERROR(INDEX('Avaliação'!$E$7:$E$206,MATCH($B6,'Avaliação'!$C$7:$C$206,0)),""))</f>
        <v/>
      </c>
      <c r="G6" s="32" t="str">
        <f>IF($B6="","",IF($D6&lt;&gt;2,"",IF($F6="","",ROUND(SUMIF('Avaliação'!$C$7:$C$206,$B6,'Avaliação'!$E$7:$E$206)-$F6,2))))</f>
        <v/>
      </c>
      <c r="H6" s="32" t="str">
        <f t="shared" si="2"/>
        <v/>
      </c>
      <c r="I6" s="29" t="str">
        <f t="shared" si="3"/>
        <v>⚠ falta 2º avaliador</v>
      </c>
      <c r="J6" s="29"/>
      <c r="K6" s="32"/>
      <c r="L6" s="35"/>
      <c r="M6" s="32" t="str">
        <f t="shared" si="4"/>
        <v/>
      </c>
      <c r="N6" s="32" t="str">
        <f>IF($B6="","",IF(Entrevista!$H6="","",Entrevista!$H6))</f>
        <v/>
      </c>
      <c r="O6" s="29" t="str">
        <f>IF($B6="","",IF(Entrevista!$L6="","",Entrevista!$L6))</f>
        <v/>
      </c>
    </row>
    <row r="7" ht="14.25" customHeight="1">
      <c r="A7" s="29">
        <f t="shared" si="1"/>
        <v>3</v>
      </c>
      <c r="B7" s="30" t="s">
        <v>185</v>
      </c>
      <c r="C7" s="30" t="s">
        <v>186</v>
      </c>
      <c r="D7" s="32">
        <f>IF($B7="","",COUNTIFS('Avaliação'!$C$7:$C$206,$B7,'Avaliação'!$E$7:$E$206,"&gt;=0"))</f>
        <v>0</v>
      </c>
      <c r="E7" s="33" t="str">
        <f>IF($B7="","",IFERROR(ROUND(AVERAGEIF('Avaliação'!$C$7:$C$206,$B7,'Avaliação'!$E$7:$E$206),2),""))</f>
        <v/>
      </c>
      <c r="F7" s="32" t="str">
        <f t="array" ref="F7">IF($B7="","",IFERROR(INDEX('Avaliação'!$E$7:$E$206,MATCH($B7,'Avaliação'!$C$7:$C$206,0)),""))</f>
        <v/>
      </c>
      <c r="G7" s="32" t="str">
        <f>IF($B7="","",IF($D7&lt;&gt;2,"",IF($F7="","",ROUND(SUMIF('Avaliação'!$C$7:$C$206,$B7,'Avaliação'!$E$7:$E$206)-$F7,2))))</f>
        <v/>
      </c>
      <c r="H7" s="32" t="str">
        <f t="shared" si="2"/>
        <v/>
      </c>
      <c r="I7" s="29" t="str">
        <f t="shared" si="3"/>
        <v>⚠ falta 2º avaliador</v>
      </c>
      <c r="J7" s="29"/>
      <c r="K7" s="32"/>
      <c r="L7" s="35"/>
      <c r="M7" s="32" t="str">
        <f t="shared" si="4"/>
        <v/>
      </c>
      <c r="N7" s="32" t="str">
        <f>IF($B7="","",IF(Entrevista!$H7="","",Entrevista!$H7))</f>
        <v/>
      </c>
      <c r="O7" s="29" t="str">
        <f>IF($B7="","",IF(Entrevista!$L7="","",Entrevista!$L7))</f>
        <v/>
      </c>
    </row>
    <row r="8" ht="14.25" customHeight="1">
      <c r="A8" s="29">
        <f t="shared" si="1"/>
        <v>4</v>
      </c>
      <c r="B8" s="30" t="s">
        <v>198</v>
      </c>
      <c r="C8" s="30" t="s">
        <v>200</v>
      </c>
      <c r="D8" s="32">
        <f>IF($B8="","",COUNTIFS('Avaliação'!$C$7:$C$206,$B8,'Avaliação'!$E$7:$E$206,"&gt;=0"))</f>
        <v>0</v>
      </c>
      <c r="E8" s="33" t="str">
        <f>IF($B8="","",IFERROR(ROUND(AVERAGEIF('Avaliação'!$C$7:$C$206,$B8,'Avaliação'!$E$7:$E$206),2),""))</f>
        <v/>
      </c>
      <c r="F8" s="32" t="str">
        <f t="array" ref="F8">IF($B8="","",IFERROR(INDEX('Avaliação'!$E$7:$E$206,MATCH($B8,'Avaliação'!$C$7:$C$206,0)),""))</f>
        <v/>
      </c>
      <c r="G8" s="32" t="str">
        <f>IF($B8="","",IF($D8&lt;&gt;2,"",IF($F8="","",ROUND(SUMIF('Avaliação'!$C$7:$C$206,$B8,'Avaliação'!$E$7:$E$206)-$F8,2))))</f>
        <v/>
      </c>
      <c r="H8" s="32" t="str">
        <f t="shared" si="2"/>
        <v/>
      </c>
      <c r="I8" s="29" t="str">
        <f t="shared" si="3"/>
        <v>⚠ falta 2º avaliador</v>
      </c>
      <c r="J8" s="29"/>
      <c r="K8" s="32"/>
      <c r="L8" s="35"/>
      <c r="M8" s="32" t="str">
        <f t="shared" si="4"/>
        <v/>
      </c>
      <c r="N8" s="32" t="str">
        <f>IF($B8="","",IF(Entrevista!$H8="","",Entrevista!$H8))</f>
        <v/>
      </c>
      <c r="O8" s="29" t="str">
        <f>IF($B8="","",IF(Entrevista!$L8="","",Entrevista!$L8))</f>
        <v/>
      </c>
    </row>
    <row r="9" ht="14.25" customHeight="1">
      <c r="A9" s="29">
        <f t="shared" si="1"/>
        <v>5</v>
      </c>
      <c r="B9" s="30" t="s">
        <v>207</v>
      </c>
      <c r="C9" s="30" t="s">
        <v>208</v>
      </c>
      <c r="D9" s="32">
        <f>IF($B9="","",COUNTIFS('Avaliação'!$C$7:$C$206,$B9,'Avaliação'!$E$7:$E$206,"&gt;=0"))</f>
        <v>0</v>
      </c>
      <c r="E9" s="33" t="str">
        <f>IF($B9="","",IFERROR(ROUND(AVERAGEIF('Avaliação'!$C$7:$C$206,$B9,'Avaliação'!$E$7:$E$206),2),""))</f>
        <v/>
      </c>
      <c r="F9" s="32" t="str">
        <f t="array" ref="F9">IF($B9="","",IFERROR(INDEX('Avaliação'!$E$7:$E$206,MATCH($B9,'Avaliação'!$C$7:$C$206,0)),""))</f>
        <v/>
      </c>
      <c r="G9" s="32" t="str">
        <f>IF($B9="","",IF($D9&lt;&gt;2,"",IF($F9="","",ROUND(SUMIF('Avaliação'!$C$7:$C$206,$B9,'Avaliação'!$E$7:$E$206)-$F9,2))))</f>
        <v/>
      </c>
      <c r="H9" s="32" t="str">
        <f t="shared" si="2"/>
        <v/>
      </c>
      <c r="I9" s="29" t="str">
        <f t="shared" si="3"/>
        <v>⚠ falta 2º avaliador</v>
      </c>
      <c r="J9" s="29"/>
      <c r="K9" s="32"/>
      <c r="L9" s="35"/>
      <c r="M9" s="32" t="str">
        <f t="shared" si="4"/>
        <v/>
      </c>
      <c r="N9" s="32" t="str">
        <f>IF($B9="","",IF(Entrevista!$H9="","",Entrevista!$H9))</f>
        <v/>
      </c>
      <c r="O9" s="29" t="str">
        <f>IF($B9="","",IF(Entrevista!$L9="","",Entrevista!$L9))</f>
        <v/>
      </c>
    </row>
    <row r="10" ht="14.25" customHeight="1">
      <c r="A10" s="29">
        <f t="shared" si="1"/>
        <v>6</v>
      </c>
      <c r="B10" s="30" t="s">
        <v>217</v>
      </c>
      <c r="C10" s="30" t="s">
        <v>219</v>
      </c>
      <c r="D10" s="32">
        <f>IF($B10="","",COUNTIFS('Avaliação'!$C$7:$C$206,$B10,'Avaliação'!$E$7:$E$206,"&gt;=0"))</f>
        <v>0</v>
      </c>
      <c r="E10" s="33" t="str">
        <f>IF($B10="","",IFERROR(ROUND(AVERAGEIF('Avaliação'!$C$7:$C$206,$B10,'Avaliação'!$E$7:$E$206),2),""))</f>
        <v/>
      </c>
      <c r="F10" s="32" t="str">
        <f t="array" ref="F10">IF($B10="","",IFERROR(INDEX('Avaliação'!$E$7:$E$206,MATCH($B10,'Avaliação'!$C$7:$C$206,0)),""))</f>
        <v/>
      </c>
      <c r="G10" s="32" t="str">
        <f>IF($B10="","",IF($D10&lt;&gt;2,"",IF($F10="","",ROUND(SUMIF('Avaliação'!$C$7:$C$206,$B10,'Avaliação'!$E$7:$E$206)-$F10,2))))</f>
        <v/>
      </c>
      <c r="H10" s="32" t="str">
        <f t="shared" si="2"/>
        <v/>
      </c>
      <c r="I10" s="29" t="str">
        <f t="shared" si="3"/>
        <v>⚠ falta 2º avaliador</v>
      </c>
      <c r="J10" s="29"/>
      <c r="K10" s="32"/>
      <c r="L10" s="35"/>
      <c r="M10" s="32" t="str">
        <f t="shared" si="4"/>
        <v/>
      </c>
      <c r="N10" s="32" t="str">
        <f>IF($B10="","",IF(Entrevista!$H10="","",Entrevista!$H10))</f>
        <v/>
      </c>
      <c r="O10" s="29" t="str">
        <f>IF($B10="","",IF(Entrevista!$L10="","",Entrevista!$L10))</f>
        <v/>
      </c>
    </row>
    <row r="11" ht="14.25" customHeight="1">
      <c r="A11" s="29">
        <f t="shared" si="1"/>
        <v>7</v>
      </c>
      <c r="B11" s="30" t="s">
        <v>229</v>
      </c>
      <c r="C11" s="30" t="s">
        <v>230</v>
      </c>
      <c r="D11" s="32">
        <f>IF($B11="","",COUNTIFS('Avaliação'!$C$7:$C$206,$B11,'Avaliação'!$E$7:$E$206,"&gt;=0"))</f>
        <v>0</v>
      </c>
      <c r="E11" s="33" t="str">
        <f>IF($B11="","",IFERROR(ROUND(AVERAGEIF('Avaliação'!$C$7:$C$206,$B11,'Avaliação'!$E$7:$E$206),2),""))</f>
        <v/>
      </c>
      <c r="F11" s="32" t="str">
        <f t="array" ref="F11">IF($B11="","",IFERROR(INDEX('Avaliação'!$E$7:$E$206,MATCH($B11,'Avaliação'!$C$7:$C$206,0)),""))</f>
        <v/>
      </c>
      <c r="G11" s="32" t="str">
        <f>IF($B11="","",IF($D11&lt;&gt;2,"",IF($F11="","",ROUND(SUMIF('Avaliação'!$C$7:$C$206,$B11,'Avaliação'!$E$7:$E$206)-$F11,2))))</f>
        <v/>
      </c>
      <c r="H11" s="32" t="str">
        <f t="shared" si="2"/>
        <v/>
      </c>
      <c r="I11" s="29" t="str">
        <f t="shared" si="3"/>
        <v>⚠ falta 2º avaliador</v>
      </c>
      <c r="J11" s="29"/>
      <c r="K11" s="32"/>
      <c r="L11" s="35"/>
      <c r="M11" s="32" t="str">
        <f t="shared" si="4"/>
        <v/>
      </c>
      <c r="N11" s="32" t="str">
        <f>IF($B11="","",IF(Entrevista!$H11="","",Entrevista!$H11))</f>
        <v/>
      </c>
      <c r="O11" s="29" t="str">
        <f>IF($B11="","",IF(Entrevista!$L11="","",Entrevista!$L11))</f>
        <v/>
      </c>
    </row>
    <row r="12" ht="14.25" customHeight="1">
      <c r="A12" s="29">
        <f t="shared" si="1"/>
        <v>8</v>
      </c>
      <c r="B12" s="30" t="s">
        <v>239</v>
      </c>
      <c r="C12" s="30" t="s">
        <v>240</v>
      </c>
      <c r="D12" s="32">
        <f>IF($B12="","",COUNTIFS('Avaliação'!$C$7:$C$206,$B12,'Avaliação'!$E$7:$E$206,"&gt;=0"))</f>
        <v>0</v>
      </c>
      <c r="E12" s="33" t="str">
        <f>IF($B12="","",IFERROR(ROUND(AVERAGEIF('Avaliação'!$C$7:$C$206,$B12,'Avaliação'!$E$7:$E$206),2),""))</f>
        <v/>
      </c>
      <c r="F12" s="32" t="str">
        <f t="array" ref="F12">IF($B12="","",IFERROR(INDEX('Avaliação'!$E$7:$E$206,MATCH($B12,'Avaliação'!$C$7:$C$206,0)),""))</f>
        <v/>
      </c>
      <c r="G12" s="32" t="str">
        <f>IF($B12="","",IF($D12&lt;&gt;2,"",IF($F12="","",ROUND(SUMIF('Avaliação'!$C$7:$C$206,$B12,'Avaliação'!$E$7:$E$206)-$F12,2))))</f>
        <v/>
      </c>
      <c r="H12" s="32" t="str">
        <f t="shared" si="2"/>
        <v/>
      </c>
      <c r="I12" s="29" t="str">
        <f t="shared" si="3"/>
        <v>⚠ falta 2º avaliador</v>
      </c>
      <c r="J12" s="29"/>
      <c r="K12" s="32"/>
      <c r="L12" s="35"/>
      <c r="M12" s="32" t="str">
        <f t="shared" si="4"/>
        <v/>
      </c>
      <c r="N12" s="32" t="str">
        <f>IF($B12="","",IF(Entrevista!$H12="","",Entrevista!$H12))</f>
        <v/>
      </c>
      <c r="O12" s="29" t="str">
        <f>IF($B12="","",IF(Entrevista!$L12="","",Entrevista!$L12))</f>
        <v/>
      </c>
    </row>
    <row r="13" ht="14.25" customHeight="1">
      <c r="A13" s="29">
        <f t="shared" si="1"/>
        <v>9</v>
      </c>
      <c r="B13" s="30" t="s">
        <v>250</v>
      </c>
      <c r="C13" s="30" t="s">
        <v>251</v>
      </c>
      <c r="D13" s="32">
        <f>IF($B13="","",COUNTIFS('Avaliação'!$C$7:$C$206,$B13,'Avaliação'!$E$7:$E$206,"&gt;=0"))</f>
        <v>0</v>
      </c>
      <c r="E13" s="33" t="str">
        <f>IF($B13="","",IFERROR(ROUND(AVERAGEIF('Avaliação'!$C$7:$C$206,$B13,'Avaliação'!$E$7:$E$206),2),""))</f>
        <v/>
      </c>
      <c r="F13" s="32" t="str">
        <f t="array" ref="F13">IF($B13="","",IFERROR(INDEX('Avaliação'!$E$7:$E$206,MATCH($B13,'Avaliação'!$C$7:$C$206,0)),""))</f>
        <v/>
      </c>
      <c r="G13" s="32" t="str">
        <f>IF($B13="","",IF($D13&lt;&gt;2,"",IF($F13="","",ROUND(SUMIF('Avaliação'!$C$7:$C$206,$B13,'Avaliação'!$E$7:$E$206)-$F13,2))))</f>
        <v/>
      </c>
      <c r="H13" s="32" t="str">
        <f t="shared" si="2"/>
        <v/>
      </c>
      <c r="I13" s="29" t="str">
        <f t="shared" si="3"/>
        <v>⚠ falta 2º avaliador</v>
      </c>
      <c r="J13" s="29"/>
      <c r="K13" s="32"/>
      <c r="L13" s="35"/>
      <c r="M13" s="32" t="str">
        <f t="shared" si="4"/>
        <v/>
      </c>
      <c r="N13" s="32" t="str">
        <f>IF($B13="","",IF(Entrevista!$H13="","",Entrevista!$H13))</f>
        <v/>
      </c>
      <c r="O13" s="29" t="str">
        <f>IF($B13="","",IF(Entrevista!$L13="","",Entrevista!$L13))</f>
        <v/>
      </c>
    </row>
    <row r="14" ht="14.25" customHeight="1">
      <c r="A14" s="29">
        <f t="shared" si="1"/>
        <v>10</v>
      </c>
      <c r="B14" s="30" t="s">
        <v>262</v>
      </c>
      <c r="C14" s="30" t="s">
        <v>264</v>
      </c>
      <c r="D14" s="32">
        <f>IF($B14="","",COUNTIFS('Avaliação'!$C$7:$C$206,$B14,'Avaliação'!$E$7:$E$206,"&gt;=0"))</f>
        <v>0</v>
      </c>
      <c r="E14" s="33" t="str">
        <f>IF($B14="","",IFERROR(ROUND(AVERAGEIF('Avaliação'!$C$7:$C$206,$B14,'Avaliação'!$E$7:$E$206),2),""))</f>
        <v/>
      </c>
      <c r="F14" s="32" t="str">
        <f t="array" ref="F14">IF($B14="","",IFERROR(INDEX('Avaliação'!$E$7:$E$206,MATCH($B14,'Avaliação'!$C$7:$C$206,0)),""))</f>
        <v/>
      </c>
      <c r="G14" s="32" t="str">
        <f>IF($B14="","",IF($D14&lt;&gt;2,"",IF($F14="","",ROUND(SUMIF('Avaliação'!$C$7:$C$206,$B14,'Avaliação'!$E$7:$E$206)-$F14,2))))</f>
        <v/>
      </c>
      <c r="H14" s="32" t="str">
        <f t="shared" si="2"/>
        <v/>
      </c>
      <c r="I14" s="29" t="str">
        <f t="shared" si="3"/>
        <v>⚠ falta 2º avaliador</v>
      </c>
      <c r="J14" s="29"/>
      <c r="K14" s="32"/>
      <c r="L14" s="35"/>
      <c r="M14" s="32" t="str">
        <f t="shared" si="4"/>
        <v/>
      </c>
      <c r="N14" s="32" t="str">
        <f>IF($B14="","",IF(Entrevista!$H14="","",Entrevista!$H14))</f>
        <v/>
      </c>
      <c r="O14" s="29" t="str">
        <f>IF($B14="","",IF(Entrevista!$L14="","",Entrevista!$L14))</f>
        <v/>
      </c>
    </row>
    <row r="15" ht="14.25" customHeight="1">
      <c r="A15" s="29">
        <f t="shared" si="1"/>
        <v>11</v>
      </c>
      <c r="B15" s="30" t="s">
        <v>274</v>
      </c>
      <c r="C15" s="30" t="s">
        <v>276</v>
      </c>
      <c r="D15" s="32">
        <f>IF($B15="","",COUNTIFS('Avaliação'!$C$7:$C$206,$B15,'Avaliação'!$E$7:$E$206,"&gt;=0"))</f>
        <v>0</v>
      </c>
      <c r="E15" s="33" t="str">
        <f>IF($B15="","",IFERROR(ROUND(AVERAGEIF('Avaliação'!$C$7:$C$206,$B15,'Avaliação'!$E$7:$E$206),2),""))</f>
        <v/>
      </c>
      <c r="F15" s="32" t="str">
        <f t="array" ref="F15">IF($B15="","",IFERROR(INDEX('Avaliação'!$E$7:$E$206,MATCH($B15,'Avaliação'!$C$7:$C$206,0)),""))</f>
        <v/>
      </c>
      <c r="G15" s="32" t="str">
        <f>IF($B15="","",IF($D15&lt;&gt;2,"",IF($F15="","",ROUND(SUMIF('Avaliação'!$C$7:$C$206,$B15,'Avaliação'!$E$7:$E$206)-$F15,2))))</f>
        <v/>
      </c>
      <c r="H15" s="32" t="str">
        <f t="shared" si="2"/>
        <v/>
      </c>
      <c r="I15" s="29" t="str">
        <f t="shared" si="3"/>
        <v>⚠ falta 2º avaliador</v>
      </c>
      <c r="J15" s="29"/>
      <c r="K15" s="32"/>
      <c r="L15" s="35"/>
      <c r="M15" s="32" t="str">
        <f t="shared" si="4"/>
        <v/>
      </c>
      <c r="N15" s="32" t="str">
        <f>IF($B15="","",IF(Entrevista!$H15="","",Entrevista!$H15))</f>
        <v/>
      </c>
      <c r="O15" s="29" t="str">
        <f>IF($B15="","",IF(Entrevista!$L15="","",Entrevista!$L15))</f>
        <v/>
      </c>
    </row>
    <row r="16" ht="14.25" customHeight="1">
      <c r="A16" s="29">
        <f t="shared" si="1"/>
        <v>12</v>
      </c>
      <c r="B16" s="30" t="s">
        <v>284</v>
      </c>
      <c r="C16" s="30" t="s">
        <v>285</v>
      </c>
      <c r="D16" s="32">
        <f>IF($B16="","",COUNTIFS('Avaliação'!$C$7:$C$206,$B16,'Avaliação'!$E$7:$E$206,"&gt;=0"))</f>
        <v>0</v>
      </c>
      <c r="E16" s="33" t="str">
        <f>IF($B16="","",IFERROR(ROUND(AVERAGEIF('Avaliação'!$C$7:$C$206,$B16,'Avaliação'!$E$7:$E$206),2),""))</f>
        <v/>
      </c>
      <c r="F16" s="32" t="str">
        <f t="array" ref="F16">IF($B16="","",IFERROR(INDEX('Avaliação'!$E$7:$E$206,MATCH($B16,'Avaliação'!$C$7:$C$206,0)),""))</f>
        <v/>
      </c>
      <c r="G16" s="32" t="str">
        <f>IF($B16="","",IF($D16&lt;&gt;2,"",IF($F16="","",ROUND(SUMIF('Avaliação'!$C$7:$C$206,$B16,'Avaliação'!$E$7:$E$206)-$F16,2))))</f>
        <v/>
      </c>
      <c r="H16" s="32" t="str">
        <f t="shared" si="2"/>
        <v/>
      </c>
      <c r="I16" s="29" t="str">
        <f t="shared" si="3"/>
        <v>⚠ falta 2º avaliador</v>
      </c>
      <c r="J16" s="29"/>
      <c r="K16" s="32"/>
      <c r="L16" s="35"/>
      <c r="M16" s="32" t="str">
        <f t="shared" si="4"/>
        <v/>
      </c>
      <c r="N16" s="32" t="str">
        <f>IF($B16="","",IF(Entrevista!$H16="","",Entrevista!$H16))</f>
        <v/>
      </c>
      <c r="O16" s="29" t="str">
        <f>IF($B16="","",IF(Entrevista!$L16="","",Entrevista!$L16))</f>
        <v/>
      </c>
    </row>
    <row r="17" ht="14.25" customHeight="1">
      <c r="A17" s="29">
        <f t="shared" si="1"/>
        <v>13</v>
      </c>
      <c r="B17" s="30" t="s">
        <v>290</v>
      </c>
      <c r="C17" s="30" t="s">
        <v>291</v>
      </c>
      <c r="D17" s="32">
        <f>IF($B17="","",COUNTIFS('Avaliação'!$C$7:$C$206,$B17,'Avaliação'!$E$7:$E$206,"&gt;=0"))</f>
        <v>0</v>
      </c>
      <c r="E17" s="33" t="str">
        <f>IF($B17="","",IFERROR(ROUND(AVERAGEIF('Avaliação'!$C$7:$C$206,$B17,'Avaliação'!$E$7:$E$206),2),""))</f>
        <v/>
      </c>
      <c r="F17" s="32" t="str">
        <f t="array" ref="F17">IF($B17="","",IFERROR(INDEX('Avaliação'!$E$7:$E$206,MATCH($B17,'Avaliação'!$C$7:$C$206,0)),""))</f>
        <v/>
      </c>
      <c r="G17" s="32" t="str">
        <f>IF($B17="","",IF($D17&lt;&gt;2,"",IF($F17="","",ROUND(SUMIF('Avaliação'!$C$7:$C$206,$B17,'Avaliação'!$E$7:$E$206)-$F17,2))))</f>
        <v/>
      </c>
      <c r="H17" s="32" t="str">
        <f t="shared" si="2"/>
        <v/>
      </c>
      <c r="I17" s="29" t="str">
        <f t="shared" si="3"/>
        <v>⚠ falta 2º avaliador</v>
      </c>
      <c r="J17" s="29"/>
      <c r="K17" s="32"/>
      <c r="L17" s="35"/>
      <c r="M17" s="32" t="str">
        <f t="shared" si="4"/>
        <v/>
      </c>
      <c r="N17" s="32" t="str">
        <f>IF($B17="","",IF(Entrevista!$H17="","",Entrevista!$H17))</f>
        <v/>
      </c>
      <c r="O17" s="29" t="str">
        <f>IF($B17="","",IF(Entrevista!$L17="","",Entrevista!$L17))</f>
        <v/>
      </c>
    </row>
    <row r="18" ht="14.25" customHeight="1">
      <c r="A18" s="29">
        <f t="shared" si="1"/>
        <v>14</v>
      </c>
      <c r="B18" s="30" t="s">
        <v>298</v>
      </c>
      <c r="C18" s="30" t="s">
        <v>299</v>
      </c>
      <c r="D18" s="32">
        <f>IF($B18="","",COUNTIFS('Avaliação'!$C$7:$C$206,$B18,'Avaliação'!$E$7:$E$206,"&gt;=0"))</f>
        <v>0</v>
      </c>
      <c r="E18" s="33" t="str">
        <f>IF($B18="","",IFERROR(ROUND(AVERAGEIF('Avaliação'!$C$7:$C$206,$B18,'Avaliação'!$E$7:$E$206),2),""))</f>
        <v/>
      </c>
      <c r="F18" s="32" t="str">
        <f t="array" ref="F18">IF($B18="","",IFERROR(INDEX('Avaliação'!$E$7:$E$206,MATCH($B18,'Avaliação'!$C$7:$C$206,0)),""))</f>
        <v/>
      </c>
      <c r="G18" s="32" t="str">
        <f>IF($B18="","",IF($D18&lt;&gt;2,"",IF($F18="","",ROUND(SUMIF('Avaliação'!$C$7:$C$206,$B18,'Avaliação'!$E$7:$E$206)-$F18,2))))</f>
        <v/>
      </c>
      <c r="H18" s="32" t="str">
        <f t="shared" si="2"/>
        <v/>
      </c>
      <c r="I18" s="29" t="str">
        <f t="shared" si="3"/>
        <v>⚠ falta 2º avaliador</v>
      </c>
      <c r="J18" s="29"/>
      <c r="K18" s="32"/>
      <c r="L18" s="35"/>
      <c r="M18" s="32" t="str">
        <f t="shared" si="4"/>
        <v/>
      </c>
      <c r="N18" s="32" t="str">
        <f>IF($B18="","",IF(Entrevista!$H18="","",Entrevista!$H18))</f>
        <v/>
      </c>
      <c r="O18" s="29" t="str">
        <f>IF($B18="","",IF(Entrevista!$L18="","",Entrevista!$L18))</f>
        <v/>
      </c>
    </row>
    <row r="19" ht="14.25" customHeight="1">
      <c r="A19" s="29">
        <f t="shared" si="1"/>
        <v>15</v>
      </c>
      <c r="B19" s="30" t="s">
        <v>303</v>
      </c>
      <c r="C19" s="30" t="s">
        <v>304</v>
      </c>
      <c r="D19" s="32">
        <f>IF($B19="","",COUNTIFS('Avaliação'!$C$7:$C$206,$B19,'Avaliação'!$E$7:$E$206,"&gt;=0"))</f>
        <v>0</v>
      </c>
      <c r="E19" s="33" t="str">
        <f>IF($B19="","",IFERROR(ROUND(AVERAGEIF('Avaliação'!$C$7:$C$206,$B19,'Avaliação'!$E$7:$E$206),2),""))</f>
        <v/>
      </c>
      <c r="F19" s="32" t="str">
        <f t="array" ref="F19">IF($B19="","",IFERROR(INDEX('Avaliação'!$E$7:$E$206,MATCH($B19,'Avaliação'!$C$7:$C$206,0)),""))</f>
        <v/>
      </c>
      <c r="G19" s="32" t="str">
        <f>IF($B19="","",IF($D19&lt;&gt;2,"",IF($F19="","",ROUND(SUMIF('Avaliação'!$C$7:$C$206,$B19,'Avaliação'!$E$7:$E$206)-$F19,2))))</f>
        <v/>
      </c>
      <c r="H19" s="32" t="str">
        <f t="shared" si="2"/>
        <v/>
      </c>
      <c r="I19" s="29" t="str">
        <f t="shared" si="3"/>
        <v>⚠ falta 2º avaliador</v>
      </c>
      <c r="J19" s="29"/>
      <c r="K19" s="32"/>
      <c r="L19" s="35"/>
      <c r="M19" s="32" t="str">
        <f t="shared" si="4"/>
        <v/>
      </c>
      <c r="N19" s="32" t="str">
        <f>IF($B19="","",IF(Entrevista!$H19="","",Entrevista!$H19))</f>
        <v/>
      </c>
      <c r="O19" s="29" t="str">
        <f>IF($B19="","",IF(Entrevista!$L19="","",Entrevista!$L19))</f>
        <v/>
      </c>
    </row>
    <row r="20" ht="14.25" customHeight="1">
      <c r="A20" s="29">
        <f t="shared" si="1"/>
        <v>16</v>
      </c>
      <c r="B20" s="30" t="s">
        <v>306</v>
      </c>
      <c r="C20" s="30" t="s">
        <v>307</v>
      </c>
      <c r="D20" s="32">
        <f>IF($B20="","",COUNTIFS('Avaliação'!$C$7:$C$206,$B20,'Avaliação'!$E$7:$E$206,"&gt;=0"))</f>
        <v>0</v>
      </c>
      <c r="E20" s="33" t="str">
        <f>IF($B20="","",IFERROR(ROUND(AVERAGEIF('Avaliação'!$C$7:$C$206,$B20,'Avaliação'!$E$7:$E$206),2),""))</f>
        <v/>
      </c>
      <c r="F20" s="32" t="str">
        <f t="array" ref="F20">IF($B20="","",IFERROR(INDEX('Avaliação'!$E$7:$E$206,MATCH($B20,'Avaliação'!$C$7:$C$206,0)),""))</f>
        <v/>
      </c>
      <c r="G20" s="32" t="str">
        <f>IF($B20="","",IF($D20&lt;&gt;2,"",IF($F20="","",ROUND(SUMIF('Avaliação'!$C$7:$C$206,$B20,'Avaliação'!$E$7:$E$206)-$F20,2))))</f>
        <v/>
      </c>
      <c r="H20" s="32" t="str">
        <f t="shared" si="2"/>
        <v/>
      </c>
      <c r="I20" s="29" t="str">
        <f t="shared" si="3"/>
        <v>⚠ falta 2º avaliador</v>
      </c>
      <c r="J20" s="29"/>
      <c r="K20" s="32"/>
      <c r="L20" s="35"/>
      <c r="M20" s="32" t="str">
        <f t="shared" si="4"/>
        <v/>
      </c>
      <c r="N20" s="32" t="str">
        <f>IF($B20="","",IF(Entrevista!$H20="","",Entrevista!$H20))</f>
        <v/>
      </c>
      <c r="O20" s="29" t="str">
        <f>IF($B20="","",IF(Entrevista!$L20="","",Entrevista!$L20))</f>
        <v/>
      </c>
    </row>
    <row r="21" ht="14.25" customHeight="1">
      <c r="A21" s="29">
        <f t="shared" si="1"/>
        <v>17</v>
      </c>
      <c r="B21" s="30" t="s">
        <v>309</v>
      </c>
      <c r="C21" s="30" t="s">
        <v>310</v>
      </c>
      <c r="D21" s="32">
        <f>IF($B21="","",COUNTIFS('Avaliação'!$C$7:$C$206,$B21,'Avaliação'!$E$7:$E$206,"&gt;=0"))</f>
        <v>0</v>
      </c>
      <c r="E21" s="33" t="str">
        <f>IF($B21="","",IFERROR(ROUND(AVERAGEIF('Avaliação'!$C$7:$C$206,$B21,'Avaliação'!$E$7:$E$206),2),""))</f>
        <v/>
      </c>
      <c r="F21" s="32" t="str">
        <f t="array" ref="F21">IF($B21="","",IFERROR(INDEX('Avaliação'!$E$7:$E$206,MATCH($B21,'Avaliação'!$C$7:$C$206,0)),""))</f>
        <v/>
      </c>
      <c r="G21" s="32" t="str">
        <f>IF($B21="","",IF($D21&lt;&gt;2,"",IF($F21="","",ROUND(SUMIF('Avaliação'!$C$7:$C$206,$B21,'Avaliação'!$E$7:$E$206)-$F21,2))))</f>
        <v/>
      </c>
      <c r="H21" s="32" t="str">
        <f t="shared" si="2"/>
        <v/>
      </c>
      <c r="I21" s="29" t="str">
        <f t="shared" si="3"/>
        <v>⚠ falta 2º avaliador</v>
      </c>
      <c r="J21" s="29"/>
      <c r="K21" s="32"/>
      <c r="L21" s="35"/>
      <c r="M21" s="32" t="str">
        <f t="shared" si="4"/>
        <v/>
      </c>
      <c r="N21" s="32" t="str">
        <f>IF($B21="","",IF(Entrevista!$H21="","",Entrevista!$H21))</f>
        <v/>
      </c>
      <c r="O21" s="29" t="str">
        <f>IF($B21="","",IF(Entrevista!$L21="","",Entrevista!$L21))</f>
        <v/>
      </c>
    </row>
    <row r="22" ht="14.25" customHeight="1">
      <c r="A22" s="29">
        <f t="shared" si="1"/>
        <v>18</v>
      </c>
      <c r="B22" s="30" t="s">
        <v>312</v>
      </c>
      <c r="C22" s="30" t="s">
        <v>313</v>
      </c>
      <c r="D22" s="32">
        <f>IF($B22="","",COUNTIFS('Avaliação'!$C$7:$C$206,$B22,'Avaliação'!$E$7:$E$206,"&gt;=0"))</f>
        <v>0</v>
      </c>
      <c r="E22" s="33" t="str">
        <f>IF($B22="","",IFERROR(ROUND(AVERAGEIF('Avaliação'!$C$7:$C$206,$B22,'Avaliação'!$E$7:$E$206),2),""))</f>
        <v/>
      </c>
      <c r="F22" s="32" t="str">
        <f t="array" ref="F22">IF($B22="","",IFERROR(INDEX('Avaliação'!$E$7:$E$206,MATCH($B22,'Avaliação'!$C$7:$C$206,0)),""))</f>
        <v/>
      </c>
      <c r="G22" s="32" t="str">
        <f>IF($B22="","",IF($D22&lt;&gt;2,"",IF($F22="","",ROUND(SUMIF('Avaliação'!$C$7:$C$206,$B22,'Avaliação'!$E$7:$E$206)-$F22,2))))</f>
        <v/>
      </c>
      <c r="H22" s="32" t="str">
        <f t="shared" si="2"/>
        <v/>
      </c>
      <c r="I22" s="29" t="str">
        <f t="shared" si="3"/>
        <v>⚠ falta 2º avaliador</v>
      </c>
      <c r="J22" s="29"/>
      <c r="K22" s="32"/>
      <c r="L22" s="35"/>
      <c r="M22" s="32" t="str">
        <f t="shared" si="4"/>
        <v/>
      </c>
      <c r="N22" s="32" t="str">
        <f>IF($B22="","",IF(Entrevista!$H22="","",Entrevista!$H22))</f>
        <v/>
      </c>
      <c r="O22" s="29" t="str">
        <f>IF($B22="","",IF(Entrevista!$L22="","",Entrevista!$L22))</f>
        <v/>
      </c>
    </row>
    <row r="23" ht="14.25" customHeight="1">
      <c r="A23" s="29">
        <f t="shared" si="1"/>
        <v>19</v>
      </c>
      <c r="B23" s="30" t="s">
        <v>315</v>
      </c>
      <c r="C23" s="30" t="s">
        <v>316</v>
      </c>
      <c r="D23" s="32">
        <f>IF($B23="","",COUNTIFS('Avaliação'!$C$7:$C$206,$B23,'Avaliação'!$E$7:$E$206,"&gt;=0"))</f>
        <v>0</v>
      </c>
      <c r="E23" s="33" t="str">
        <f>IF($B23="","",IFERROR(ROUND(AVERAGEIF('Avaliação'!$C$7:$C$206,$B23,'Avaliação'!$E$7:$E$206),2),""))</f>
        <v/>
      </c>
      <c r="F23" s="32" t="str">
        <f t="array" ref="F23">IF($B23="","",IFERROR(INDEX('Avaliação'!$E$7:$E$206,MATCH($B23,'Avaliação'!$C$7:$C$206,0)),""))</f>
        <v/>
      </c>
      <c r="G23" s="32" t="str">
        <f>IF($B23="","",IF($D23&lt;&gt;2,"",IF($F23="","",ROUND(SUMIF('Avaliação'!$C$7:$C$206,$B23,'Avaliação'!$E$7:$E$206)-$F23,2))))</f>
        <v/>
      </c>
      <c r="H23" s="32" t="str">
        <f t="shared" si="2"/>
        <v/>
      </c>
      <c r="I23" s="29" t="str">
        <f t="shared" si="3"/>
        <v>⚠ falta 2º avaliador</v>
      </c>
      <c r="J23" s="29"/>
      <c r="K23" s="32"/>
      <c r="L23" s="35"/>
      <c r="M23" s="32" t="str">
        <f t="shared" si="4"/>
        <v/>
      </c>
      <c r="N23" s="32" t="str">
        <f>IF($B23="","",IF(Entrevista!$H23="","",Entrevista!$H23))</f>
        <v/>
      </c>
      <c r="O23" s="29" t="str">
        <f>IF($B23="","",IF(Entrevista!$L23="","",Entrevista!$L23))</f>
        <v/>
      </c>
    </row>
    <row r="24" ht="14.25" customHeight="1">
      <c r="A24" s="29">
        <f t="shared" si="1"/>
        <v>20</v>
      </c>
      <c r="B24" s="30" t="s">
        <v>318</v>
      </c>
      <c r="C24" s="30" t="s">
        <v>319</v>
      </c>
      <c r="D24" s="32">
        <f>IF($B24="","",COUNTIFS('Avaliação'!$C$7:$C$206,$B24,'Avaliação'!$E$7:$E$206,"&gt;=0"))</f>
        <v>0</v>
      </c>
      <c r="E24" s="33" t="str">
        <f>IF($B24="","",IFERROR(ROUND(AVERAGEIF('Avaliação'!$C$7:$C$206,$B24,'Avaliação'!$E$7:$E$206),2),""))</f>
        <v/>
      </c>
      <c r="F24" s="32" t="str">
        <f t="array" ref="F24">IF($B24="","",IFERROR(INDEX('Avaliação'!$E$7:$E$206,MATCH($B24,'Avaliação'!$C$7:$C$206,0)),""))</f>
        <v/>
      </c>
      <c r="G24" s="32" t="str">
        <f>IF($B24="","",IF($D24&lt;&gt;2,"",IF($F24="","",ROUND(SUMIF('Avaliação'!$C$7:$C$206,$B24,'Avaliação'!$E$7:$E$206)-$F24,2))))</f>
        <v/>
      </c>
      <c r="H24" s="32" t="str">
        <f t="shared" si="2"/>
        <v/>
      </c>
      <c r="I24" s="29" t="str">
        <f t="shared" si="3"/>
        <v>⚠ falta 2º avaliador</v>
      </c>
      <c r="J24" s="29"/>
      <c r="K24" s="32"/>
      <c r="L24" s="35"/>
      <c r="M24" s="32" t="str">
        <f t="shared" si="4"/>
        <v/>
      </c>
      <c r="N24" s="32" t="str">
        <f>IF($B24="","",IF(Entrevista!$H24="","",Entrevista!$H24))</f>
        <v/>
      </c>
      <c r="O24" s="29" t="str">
        <f>IF($B24="","",IF(Entrevista!$L24="","",Entrevista!$L24))</f>
        <v/>
      </c>
    </row>
    <row r="25" ht="14.25" customHeight="1">
      <c r="A25" s="29">
        <f t="shared" si="1"/>
        <v>21</v>
      </c>
      <c r="B25" s="30" t="s">
        <v>321</v>
      </c>
      <c r="C25" s="30" t="s">
        <v>322</v>
      </c>
      <c r="D25" s="32">
        <f>IF($B25="","",COUNTIFS('Avaliação'!$C$7:$C$206,$B25,'Avaliação'!$E$7:$E$206,"&gt;=0"))</f>
        <v>0</v>
      </c>
      <c r="E25" s="33" t="str">
        <f>IF($B25="","",IFERROR(ROUND(AVERAGEIF('Avaliação'!$C$7:$C$206,$B25,'Avaliação'!$E$7:$E$206),2),""))</f>
        <v/>
      </c>
      <c r="F25" s="32" t="str">
        <f t="array" ref="F25">IF($B25="","",IFERROR(INDEX('Avaliação'!$E$7:$E$206,MATCH($B25,'Avaliação'!$C$7:$C$206,0)),""))</f>
        <v/>
      </c>
      <c r="G25" s="32" t="str">
        <f>IF($B25="","",IF($D25&lt;&gt;2,"",IF($F25="","",ROUND(SUMIF('Avaliação'!$C$7:$C$206,$B25,'Avaliação'!$E$7:$E$206)-$F25,2))))</f>
        <v/>
      </c>
      <c r="H25" s="32" t="str">
        <f t="shared" si="2"/>
        <v/>
      </c>
      <c r="I25" s="29" t="str">
        <f t="shared" si="3"/>
        <v>⚠ falta 2º avaliador</v>
      </c>
      <c r="J25" s="29"/>
      <c r="K25" s="32"/>
      <c r="L25" s="35"/>
      <c r="M25" s="32" t="str">
        <f t="shared" si="4"/>
        <v/>
      </c>
      <c r="N25" s="32" t="str">
        <f>IF($B25="","",IF(Entrevista!$H25="","",Entrevista!$H25))</f>
        <v/>
      </c>
      <c r="O25" s="29" t="str">
        <f>IF($B25="","",IF(Entrevista!$L25="","",Entrevista!$L25))</f>
        <v/>
      </c>
    </row>
    <row r="26" ht="14.25" customHeight="1">
      <c r="A26" s="29" t="str">
        <f t="shared" si="1"/>
        <v/>
      </c>
      <c r="C26" s="32"/>
      <c r="D26" s="32" t="str">
        <f>IF($B26="","",COUNTIFS('Avaliação'!$C$7:$C$206,$B26,'Avaliação'!$E$7:$E$206,"&gt;=0"))</f>
        <v/>
      </c>
      <c r="E26" s="33" t="str">
        <f>IF($B26="","",IFERROR(ROUND(AVERAGEIF('Avaliação'!$C$7:$C$206,$B26,'Avaliação'!$E$7:$E$206),2),""))</f>
        <v/>
      </c>
      <c r="F26" s="32" t="str">
        <f t="array" ref="F26">IF($B26="","",IFERROR(INDEX('Avaliação'!$E$7:$E$206,MATCH($B26,'Avaliação'!$C$7:$C$206,0)),""))</f>
        <v/>
      </c>
      <c r="G26" s="32" t="str">
        <f>IF($B26="","",IF($D26&lt;&gt;2,"",IF($F26="","",ROUND(SUMIF('Avaliação'!$C$7:$C$206,$B26,'Avaliação'!$E$7:$E$206)-$F26,2))))</f>
        <v/>
      </c>
      <c r="H26" s="32" t="str">
        <f t="shared" si="2"/>
        <v/>
      </c>
      <c r="I26" s="29" t="str">
        <f t="shared" si="3"/>
        <v/>
      </c>
      <c r="J26" s="29"/>
      <c r="K26" s="32"/>
      <c r="L26" s="35"/>
      <c r="M26" s="32" t="str">
        <f t="shared" si="4"/>
        <v/>
      </c>
      <c r="N26" s="32" t="str">
        <f>IF($B26="","",IF(Entrevista!$H26="","",Entrevista!$H26))</f>
        <v/>
      </c>
      <c r="O26" s="29" t="str">
        <f>IF($B26="","",IF(Entrevista!$L26="","",Entrevista!$L26))</f>
        <v/>
      </c>
    </row>
    <row r="27" ht="14.25" customHeight="1">
      <c r="A27" s="29" t="str">
        <f t="shared" si="1"/>
        <v/>
      </c>
      <c r="C27" s="32"/>
      <c r="D27" s="32" t="str">
        <f>IF($B27="","",COUNTIFS('Avaliação'!$C$7:$C$206,$B27,'Avaliação'!$E$7:$E$206,"&gt;=0"))</f>
        <v/>
      </c>
      <c r="E27" s="33" t="str">
        <f>IF($B27="","",IFERROR(ROUND(AVERAGEIF('Avaliação'!$C$7:$C$206,$B27,'Avaliação'!$E$7:$E$206),2),""))</f>
        <v/>
      </c>
      <c r="F27" s="32" t="str">
        <f t="array" ref="F27">IF($B27="","",IFERROR(INDEX('Avaliação'!$E$7:$E$206,MATCH($B27,'Avaliação'!$C$7:$C$206,0)),""))</f>
        <v/>
      </c>
      <c r="G27" s="32" t="str">
        <f>IF($B27="","",IF($D27&lt;&gt;2,"",IF($F27="","",ROUND(SUMIF('Avaliação'!$C$7:$C$206,$B27,'Avaliação'!$E$7:$E$206)-$F27,2))))</f>
        <v/>
      </c>
      <c r="H27" s="32" t="str">
        <f t="shared" si="2"/>
        <v/>
      </c>
      <c r="I27" s="29" t="str">
        <f t="shared" si="3"/>
        <v/>
      </c>
      <c r="J27" s="29"/>
      <c r="K27" s="32"/>
      <c r="L27" s="35"/>
      <c r="M27" s="32" t="str">
        <f t="shared" si="4"/>
        <v/>
      </c>
      <c r="N27" s="32" t="str">
        <f>IF($B27="","",IF(Entrevista!$H27="","",Entrevista!$H27))</f>
        <v/>
      </c>
      <c r="O27" s="29" t="str">
        <f>IF($B27="","",IF(Entrevista!$L27="","",Entrevista!$L27))</f>
        <v/>
      </c>
    </row>
    <row r="28" ht="14.25" customHeight="1">
      <c r="A28" s="29" t="str">
        <f t="shared" si="1"/>
        <v/>
      </c>
      <c r="C28" s="32"/>
      <c r="D28" s="32" t="str">
        <f>IF($B28="","",COUNTIFS('Avaliação'!$C$7:$C$206,$B28,'Avaliação'!$E$7:$E$206,"&gt;=0"))</f>
        <v/>
      </c>
      <c r="E28" s="33" t="str">
        <f>IF($B28="","",IFERROR(ROUND(AVERAGEIF('Avaliação'!$C$7:$C$206,$B28,'Avaliação'!$E$7:$E$206),2),""))</f>
        <v/>
      </c>
      <c r="F28" s="32" t="str">
        <f t="array" ref="F28">IF($B28="","",IFERROR(INDEX('Avaliação'!$E$7:$E$206,MATCH($B28,'Avaliação'!$C$7:$C$206,0)),""))</f>
        <v/>
      </c>
      <c r="G28" s="32" t="str">
        <f>IF($B28="","",IF($D28&lt;&gt;2,"",IF($F28="","",ROUND(SUMIF('Avaliação'!$C$7:$C$206,$B28,'Avaliação'!$E$7:$E$206)-$F28,2))))</f>
        <v/>
      </c>
      <c r="H28" s="32" t="str">
        <f t="shared" si="2"/>
        <v/>
      </c>
      <c r="I28" s="29" t="str">
        <f t="shared" si="3"/>
        <v/>
      </c>
      <c r="J28" s="29"/>
      <c r="K28" s="32"/>
      <c r="L28" s="35"/>
      <c r="M28" s="32" t="str">
        <f t="shared" si="4"/>
        <v/>
      </c>
      <c r="N28" s="32" t="str">
        <f>IF($B28="","",IF(Entrevista!$H28="","",Entrevista!$H28))</f>
        <v/>
      </c>
      <c r="O28" s="29" t="str">
        <f>IF($B28="","",IF(Entrevista!$L28="","",Entrevista!$L28))</f>
        <v/>
      </c>
    </row>
    <row r="29" ht="14.25" customHeight="1">
      <c r="A29" s="29" t="str">
        <f t="shared" si="1"/>
        <v/>
      </c>
      <c r="C29" s="32"/>
      <c r="D29" s="32" t="str">
        <f>IF($B29="","",COUNTIFS('Avaliação'!$C$7:$C$206,$B29,'Avaliação'!$E$7:$E$206,"&gt;=0"))</f>
        <v/>
      </c>
      <c r="E29" s="33" t="str">
        <f>IF($B29="","",IFERROR(ROUND(AVERAGEIF('Avaliação'!$C$7:$C$206,$B29,'Avaliação'!$E$7:$E$206),2),""))</f>
        <v/>
      </c>
      <c r="F29" s="32" t="str">
        <f t="array" ref="F29">IF($B29="","",IFERROR(INDEX('Avaliação'!$E$7:$E$206,MATCH($B29,'Avaliação'!$C$7:$C$206,0)),""))</f>
        <v/>
      </c>
      <c r="G29" s="32" t="str">
        <f>IF($B29="","",IF($D29&lt;&gt;2,"",IF($F29="","",ROUND(SUMIF('Avaliação'!$C$7:$C$206,$B29,'Avaliação'!$E$7:$E$206)-$F29,2))))</f>
        <v/>
      </c>
      <c r="H29" s="32" t="str">
        <f t="shared" si="2"/>
        <v/>
      </c>
      <c r="I29" s="29" t="str">
        <f t="shared" si="3"/>
        <v/>
      </c>
      <c r="J29" s="29"/>
      <c r="K29" s="32"/>
      <c r="L29" s="35"/>
      <c r="M29" s="32" t="str">
        <f t="shared" si="4"/>
        <v/>
      </c>
      <c r="N29" s="32" t="str">
        <f>IF($B29="","",IF(Entrevista!$H29="","",Entrevista!$H29))</f>
        <v/>
      </c>
      <c r="O29" s="29" t="str">
        <f>IF($B29="","",IF(Entrevista!$L29="","",Entrevista!$L29))</f>
        <v/>
      </c>
    </row>
    <row r="30" ht="14.25" customHeight="1">
      <c r="A30" s="29" t="str">
        <f t="shared" si="1"/>
        <v/>
      </c>
      <c r="C30" s="32"/>
      <c r="D30" s="32" t="str">
        <f>IF($B30="","",COUNTIFS('Avaliação'!$C$7:$C$206,$B30,'Avaliação'!$E$7:$E$206,"&gt;=0"))</f>
        <v/>
      </c>
      <c r="E30" s="33" t="str">
        <f>IF($B30="","",IFERROR(ROUND(AVERAGEIF('Avaliação'!$C$7:$C$206,$B30,'Avaliação'!$E$7:$E$206),2),""))</f>
        <v/>
      </c>
      <c r="F30" s="32" t="str">
        <f t="array" ref="F30">IF($B30="","",IFERROR(INDEX('Avaliação'!$E$7:$E$206,MATCH($B30,'Avaliação'!$C$7:$C$206,0)),""))</f>
        <v/>
      </c>
      <c r="G30" s="32" t="str">
        <f>IF($B30="","",IF($D30&lt;&gt;2,"",IF($F30="","",ROUND(SUMIF('Avaliação'!$C$7:$C$206,$B30,'Avaliação'!$E$7:$E$206)-$F30,2))))</f>
        <v/>
      </c>
      <c r="H30" s="32" t="str">
        <f t="shared" si="2"/>
        <v/>
      </c>
      <c r="I30" s="29" t="str">
        <f t="shared" si="3"/>
        <v/>
      </c>
      <c r="J30" s="29"/>
      <c r="K30" s="32"/>
      <c r="L30" s="35"/>
      <c r="M30" s="32" t="str">
        <f t="shared" si="4"/>
        <v/>
      </c>
      <c r="N30" s="32" t="str">
        <f>IF($B30="","",IF(Entrevista!$H30="","",Entrevista!$H30))</f>
        <v/>
      </c>
      <c r="O30" s="29" t="str">
        <f>IF($B30="","",IF(Entrevista!$L30="","",Entrevista!$L30))</f>
        <v/>
      </c>
    </row>
    <row r="31" ht="14.25" customHeight="1">
      <c r="A31" s="29" t="str">
        <f t="shared" si="1"/>
        <v/>
      </c>
      <c r="C31" s="32"/>
      <c r="D31" s="32" t="str">
        <f>IF($B31="","",COUNTIFS('Avaliação'!$C$7:$C$206,$B31,'Avaliação'!$E$7:$E$206,"&gt;=0"))</f>
        <v/>
      </c>
      <c r="E31" s="33" t="str">
        <f>IF($B31="","",IFERROR(ROUND(AVERAGEIF('Avaliação'!$C$7:$C$206,$B31,'Avaliação'!$E$7:$E$206),2),""))</f>
        <v/>
      </c>
      <c r="F31" s="32" t="str">
        <f t="array" ref="F31">IF($B31="","",IFERROR(INDEX('Avaliação'!$E$7:$E$206,MATCH($B31,'Avaliação'!$C$7:$C$206,0)),""))</f>
        <v/>
      </c>
      <c r="G31" s="32" t="str">
        <f>IF($B31="","",IF($D31&lt;&gt;2,"",IF($F31="","",ROUND(SUMIF('Avaliação'!$C$7:$C$206,$B31,'Avaliação'!$E$7:$E$206)-$F31,2))))</f>
        <v/>
      </c>
      <c r="H31" s="32" t="str">
        <f t="shared" si="2"/>
        <v/>
      </c>
      <c r="I31" s="29" t="str">
        <f t="shared" si="3"/>
        <v/>
      </c>
      <c r="J31" s="29"/>
      <c r="K31" s="32"/>
      <c r="L31" s="35"/>
      <c r="M31" s="32" t="str">
        <f t="shared" si="4"/>
        <v/>
      </c>
      <c r="N31" s="32" t="str">
        <f>IF($B31="","",IF(Entrevista!$H31="","",Entrevista!$H31))</f>
        <v/>
      </c>
      <c r="O31" s="29" t="str">
        <f>IF($B31="","",IF(Entrevista!$L31="","",Entrevista!$L31))</f>
        <v/>
      </c>
    </row>
    <row r="32" ht="14.25" customHeight="1">
      <c r="A32" s="29" t="str">
        <f t="shared" si="1"/>
        <v/>
      </c>
      <c r="C32" s="32"/>
      <c r="D32" s="32" t="str">
        <f>IF($B32="","",COUNTIFS('Avaliação'!$C$7:$C$206,$B32,'Avaliação'!$E$7:$E$206,"&gt;=0"))</f>
        <v/>
      </c>
      <c r="E32" s="33" t="str">
        <f>IF($B32="","",IFERROR(ROUND(AVERAGEIF('Avaliação'!$C$7:$C$206,$B32,'Avaliação'!$E$7:$E$206),2),""))</f>
        <v/>
      </c>
      <c r="F32" s="32" t="str">
        <f t="array" ref="F32">IF($B32="","",IFERROR(INDEX('Avaliação'!$E$7:$E$206,MATCH($B32,'Avaliação'!$C$7:$C$206,0)),""))</f>
        <v/>
      </c>
      <c r="G32" s="32" t="str">
        <f>IF($B32="","",IF($D32&lt;&gt;2,"",IF($F32="","",ROUND(SUMIF('Avaliação'!$C$7:$C$206,$B32,'Avaliação'!$E$7:$E$206)-$F32,2))))</f>
        <v/>
      </c>
      <c r="H32" s="32" t="str">
        <f t="shared" si="2"/>
        <v/>
      </c>
      <c r="I32" s="29" t="str">
        <f t="shared" si="3"/>
        <v/>
      </c>
      <c r="J32" s="29"/>
      <c r="K32" s="32"/>
      <c r="L32" s="35"/>
      <c r="M32" s="32" t="str">
        <f t="shared" si="4"/>
        <v/>
      </c>
      <c r="N32" s="32" t="str">
        <f>IF($B32="","",IF(Entrevista!$H32="","",Entrevista!$H32))</f>
        <v/>
      </c>
      <c r="O32" s="29" t="str">
        <f>IF($B32="","",IF(Entrevista!$L32="","",Entrevista!$L32))</f>
        <v/>
      </c>
    </row>
    <row r="33" ht="14.25" customHeight="1">
      <c r="A33" s="29" t="str">
        <f t="shared" si="1"/>
        <v/>
      </c>
      <c r="C33" s="32"/>
      <c r="D33" s="32" t="str">
        <f>IF($B33="","",COUNTIFS('Avaliação'!$C$7:$C$206,$B33,'Avaliação'!$E$7:$E$206,"&gt;=0"))</f>
        <v/>
      </c>
      <c r="E33" s="33" t="str">
        <f>IF($B33="","",IFERROR(ROUND(AVERAGEIF('Avaliação'!$C$7:$C$206,$B33,'Avaliação'!$E$7:$E$206),2),""))</f>
        <v/>
      </c>
      <c r="F33" s="32" t="str">
        <f t="array" ref="F33">IF($B33="","",IFERROR(INDEX('Avaliação'!$E$7:$E$206,MATCH($B33,'Avaliação'!$C$7:$C$206,0)),""))</f>
        <v/>
      </c>
      <c r="G33" s="32" t="str">
        <f>IF($B33="","",IF($D33&lt;&gt;2,"",IF($F33="","",ROUND(SUMIF('Avaliação'!$C$7:$C$206,$B33,'Avaliação'!$E$7:$E$206)-$F33,2))))</f>
        <v/>
      </c>
      <c r="H33" s="32" t="str">
        <f t="shared" si="2"/>
        <v/>
      </c>
      <c r="I33" s="29" t="str">
        <f t="shared" si="3"/>
        <v/>
      </c>
      <c r="J33" s="29"/>
      <c r="K33" s="32"/>
      <c r="L33" s="35"/>
      <c r="M33" s="32" t="str">
        <f t="shared" si="4"/>
        <v/>
      </c>
      <c r="N33" s="32" t="str">
        <f>IF($B33="","",IF(Entrevista!$H33="","",Entrevista!$H33))</f>
        <v/>
      </c>
      <c r="O33" s="29" t="str">
        <f>IF($B33="","",IF(Entrevista!$L33="","",Entrevista!$L33))</f>
        <v/>
      </c>
    </row>
    <row r="34" ht="14.25" customHeight="1">
      <c r="A34" s="29" t="str">
        <f t="shared" si="1"/>
        <v/>
      </c>
      <c r="C34" s="32"/>
      <c r="D34" s="32" t="str">
        <f>IF($B34="","",COUNTIFS('Avaliação'!$C$7:$C$206,$B34,'Avaliação'!$E$7:$E$206,"&gt;=0"))</f>
        <v/>
      </c>
      <c r="E34" s="33" t="str">
        <f>IF($B34="","",IFERROR(ROUND(AVERAGEIF('Avaliação'!$C$7:$C$206,$B34,'Avaliação'!$E$7:$E$206),2),""))</f>
        <v/>
      </c>
      <c r="F34" s="32" t="str">
        <f t="array" ref="F34">IF($B34="","",IFERROR(INDEX('Avaliação'!$E$7:$E$206,MATCH($B34,'Avaliação'!$C$7:$C$206,0)),""))</f>
        <v/>
      </c>
      <c r="G34" s="32" t="str">
        <f>IF($B34="","",IF($D34&lt;&gt;2,"",IF($F34="","",ROUND(SUMIF('Avaliação'!$C$7:$C$206,$B34,'Avaliação'!$E$7:$E$206)-$F34,2))))</f>
        <v/>
      </c>
      <c r="H34" s="32" t="str">
        <f t="shared" si="2"/>
        <v/>
      </c>
      <c r="I34" s="29" t="str">
        <f t="shared" si="3"/>
        <v/>
      </c>
      <c r="J34" s="29"/>
      <c r="K34" s="32"/>
      <c r="L34" s="35"/>
      <c r="M34" s="32" t="str">
        <f t="shared" si="4"/>
        <v/>
      </c>
      <c r="N34" s="32" t="str">
        <f>IF($B34="","",IF(Entrevista!$H34="","",Entrevista!$H34))</f>
        <v/>
      </c>
      <c r="O34" s="29" t="str">
        <f>IF($B34="","",IF(Entrevista!$L34="","",Entrevista!$L34))</f>
        <v/>
      </c>
    </row>
    <row r="35" ht="14.25" customHeight="1">
      <c r="A35" s="29" t="str">
        <f t="shared" si="1"/>
        <v/>
      </c>
      <c r="C35" s="32"/>
      <c r="D35" s="32" t="str">
        <f>IF($B35="","",COUNTIFS('Avaliação'!$C$7:$C$206,$B35,'Avaliação'!$E$7:$E$206,"&gt;=0"))</f>
        <v/>
      </c>
      <c r="E35" s="33" t="str">
        <f>IF($B35="","",IFERROR(ROUND(AVERAGEIF('Avaliação'!$C$7:$C$206,$B35,'Avaliação'!$E$7:$E$206),2),""))</f>
        <v/>
      </c>
      <c r="F35" s="32" t="str">
        <f t="array" ref="F35">IF($B35="","",IFERROR(INDEX('Avaliação'!$E$7:$E$206,MATCH($B35,'Avaliação'!$C$7:$C$206,0)),""))</f>
        <v/>
      </c>
      <c r="G35" s="32" t="str">
        <f>IF($B35="","",IF($D35&lt;&gt;2,"",IF($F35="","",ROUND(SUMIF('Avaliação'!$C$7:$C$206,$B35,'Avaliação'!$E$7:$E$206)-$F35,2))))</f>
        <v/>
      </c>
      <c r="H35" s="32" t="str">
        <f t="shared" si="2"/>
        <v/>
      </c>
      <c r="I35" s="29" t="str">
        <f t="shared" si="3"/>
        <v/>
      </c>
      <c r="J35" s="29"/>
      <c r="K35" s="32"/>
      <c r="L35" s="35"/>
      <c r="M35" s="32" t="str">
        <f t="shared" si="4"/>
        <v/>
      </c>
      <c r="N35" s="32" t="str">
        <f>IF($B35="","",IF(Entrevista!$H35="","",Entrevista!$H35))</f>
        <v/>
      </c>
      <c r="O35" s="29" t="str">
        <f>IF($B35="","",IF(Entrevista!$L35="","",Entrevista!$L35))</f>
        <v/>
      </c>
    </row>
    <row r="36" ht="14.25" customHeight="1">
      <c r="A36" s="29" t="str">
        <f t="shared" si="1"/>
        <v/>
      </c>
      <c r="C36" s="32"/>
      <c r="D36" s="32" t="str">
        <f>IF($B36="","",COUNTIFS('Avaliação'!$C$7:$C$206,$B36,'Avaliação'!$E$7:$E$206,"&gt;=0"))</f>
        <v/>
      </c>
      <c r="E36" s="33" t="str">
        <f>IF($B36="","",IFERROR(ROUND(AVERAGEIF('Avaliação'!$C$7:$C$206,$B36,'Avaliação'!$E$7:$E$206),2),""))</f>
        <v/>
      </c>
      <c r="F36" s="32" t="str">
        <f t="array" ref="F36">IF($B36="","",IFERROR(INDEX('Avaliação'!$E$7:$E$206,MATCH($B36,'Avaliação'!$C$7:$C$206,0)),""))</f>
        <v/>
      </c>
      <c r="G36" s="32" t="str">
        <f>IF($B36="","",IF($D36&lt;&gt;2,"",IF($F36="","",ROUND(SUMIF('Avaliação'!$C$7:$C$206,$B36,'Avaliação'!$E$7:$E$206)-$F36,2))))</f>
        <v/>
      </c>
      <c r="H36" s="32" t="str">
        <f t="shared" si="2"/>
        <v/>
      </c>
      <c r="I36" s="29" t="str">
        <f t="shared" si="3"/>
        <v/>
      </c>
      <c r="J36" s="29"/>
      <c r="K36" s="32"/>
      <c r="L36" s="35"/>
      <c r="M36" s="32" t="str">
        <f t="shared" si="4"/>
        <v/>
      </c>
      <c r="N36" s="32" t="str">
        <f>IF($B36="","",IF(Entrevista!$H36="","",Entrevista!$H36))</f>
        <v/>
      </c>
      <c r="O36" s="29" t="str">
        <f>IF($B36="","",IF(Entrevista!$L36="","",Entrevista!$L36))</f>
        <v/>
      </c>
    </row>
    <row r="37" ht="14.25" customHeight="1">
      <c r="A37" s="29" t="str">
        <f t="shared" si="1"/>
        <v/>
      </c>
      <c r="C37" s="32"/>
      <c r="D37" s="32" t="str">
        <f>IF($B37="","",COUNTIFS('Avaliação'!$C$7:$C$206,$B37,'Avaliação'!$E$7:$E$206,"&gt;=0"))</f>
        <v/>
      </c>
      <c r="E37" s="33" t="str">
        <f>IF($B37="","",IFERROR(ROUND(AVERAGEIF('Avaliação'!$C$7:$C$206,$B37,'Avaliação'!$E$7:$E$206),2),""))</f>
        <v/>
      </c>
      <c r="F37" s="32" t="str">
        <f t="array" ref="F37">IF($B37="","",IFERROR(INDEX('Avaliação'!$E$7:$E$206,MATCH($B37,'Avaliação'!$C$7:$C$206,0)),""))</f>
        <v/>
      </c>
      <c r="G37" s="32" t="str">
        <f>IF($B37="","",IF($D37&lt;&gt;2,"",IF($F37="","",ROUND(SUMIF('Avaliação'!$C$7:$C$206,$B37,'Avaliação'!$E$7:$E$206)-$F37,2))))</f>
        <v/>
      </c>
      <c r="H37" s="32" t="str">
        <f t="shared" si="2"/>
        <v/>
      </c>
      <c r="I37" s="29" t="str">
        <f t="shared" si="3"/>
        <v/>
      </c>
      <c r="J37" s="29"/>
      <c r="K37" s="32"/>
      <c r="L37" s="35"/>
      <c r="M37" s="32" t="str">
        <f t="shared" si="4"/>
        <v/>
      </c>
      <c r="N37" s="32" t="str">
        <f>IF($B37="","",IF(Entrevista!$H37="","",Entrevista!$H37))</f>
        <v/>
      </c>
      <c r="O37" s="29" t="str">
        <f>IF($B37="","",IF(Entrevista!$L37="","",Entrevista!$L37))</f>
        <v/>
      </c>
    </row>
    <row r="38" ht="14.25" customHeight="1">
      <c r="A38" s="29" t="str">
        <f t="shared" si="1"/>
        <v/>
      </c>
      <c r="C38" s="32"/>
      <c r="D38" s="32" t="str">
        <f>IF($B38="","",COUNTIFS('Avaliação'!$C$7:$C$206,$B38,'Avaliação'!$E$7:$E$206,"&gt;=0"))</f>
        <v/>
      </c>
      <c r="E38" s="33" t="str">
        <f>IF($B38="","",IFERROR(ROUND(AVERAGEIF('Avaliação'!$C$7:$C$206,$B38,'Avaliação'!$E$7:$E$206),2),""))</f>
        <v/>
      </c>
      <c r="F38" s="32" t="str">
        <f t="array" ref="F38">IF($B38="","",IFERROR(INDEX('Avaliação'!$E$7:$E$206,MATCH($B38,'Avaliação'!$C$7:$C$206,0)),""))</f>
        <v/>
      </c>
      <c r="G38" s="32" t="str">
        <f>IF($B38="","",IF($D38&lt;&gt;2,"",IF($F38="","",ROUND(SUMIF('Avaliação'!$C$7:$C$206,$B38,'Avaliação'!$E$7:$E$206)-$F38,2))))</f>
        <v/>
      </c>
      <c r="H38" s="32" t="str">
        <f t="shared" si="2"/>
        <v/>
      </c>
      <c r="I38" s="29" t="str">
        <f t="shared" si="3"/>
        <v/>
      </c>
      <c r="J38" s="29"/>
      <c r="K38" s="32"/>
      <c r="L38" s="35"/>
      <c r="M38" s="32" t="str">
        <f t="shared" si="4"/>
        <v/>
      </c>
      <c r="N38" s="32" t="str">
        <f>IF($B38="","",IF(Entrevista!$H38="","",Entrevista!$H38))</f>
        <v/>
      </c>
      <c r="O38" s="29" t="str">
        <f>IF($B38="","",IF(Entrevista!$L38="","",Entrevista!$L38))</f>
        <v/>
      </c>
    </row>
    <row r="39" ht="14.25" customHeight="1">
      <c r="A39" s="29" t="str">
        <f t="shared" si="1"/>
        <v/>
      </c>
      <c r="C39" s="32"/>
      <c r="D39" s="32" t="str">
        <f>IF($B39="","",COUNTIFS('Avaliação'!$C$7:$C$206,$B39,'Avaliação'!$E$7:$E$206,"&gt;=0"))</f>
        <v/>
      </c>
      <c r="E39" s="33" t="str">
        <f>IF($B39="","",IFERROR(ROUND(AVERAGEIF('Avaliação'!$C$7:$C$206,$B39,'Avaliação'!$E$7:$E$206),2),""))</f>
        <v/>
      </c>
      <c r="F39" s="32" t="str">
        <f t="array" ref="F39">IF($B39="","",IFERROR(INDEX('Avaliação'!$E$7:$E$206,MATCH($B39,'Avaliação'!$C$7:$C$206,0)),""))</f>
        <v/>
      </c>
      <c r="G39" s="32" t="str">
        <f>IF($B39="","",IF($D39&lt;&gt;2,"",IF($F39="","",ROUND(SUMIF('Avaliação'!$C$7:$C$206,$B39,'Avaliação'!$E$7:$E$206)-$F39,2))))</f>
        <v/>
      </c>
      <c r="H39" s="32" t="str">
        <f t="shared" si="2"/>
        <v/>
      </c>
      <c r="I39" s="29" t="str">
        <f t="shared" si="3"/>
        <v/>
      </c>
      <c r="J39" s="29"/>
      <c r="K39" s="32"/>
      <c r="L39" s="35"/>
      <c r="M39" s="32" t="str">
        <f t="shared" si="4"/>
        <v/>
      </c>
      <c r="N39" s="32" t="str">
        <f>IF($B39="","",IF(Entrevista!$H39="","",Entrevista!$H39))</f>
        <v/>
      </c>
      <c r="O39" s="29" t="str">
        <f>IF($B39="","",IF(Entrevista!$L39="","",Entrevista!$L39))</f>
        <v/>
      </c>
    </row>
    <row r="40" ht="14.25" customHeight="1">
      <c r="A40" s="29" t="str">
        <f t="shared" si="1"/>
        <v/>
      </c>
      <c r="C40" s="32"/>
      <c r="D40" s="32" t="str">
        <f>IF($B40="","",COUNTIFS('Avaliação'!$C$7:$C$206,$B40,'Avaliação'!$E$7:$E$206,"&gt;=0"))</f>
        <v/>
      </c>
      <c r="E40" s="33" t="str">
        <f>IF($B40="","",IFERROR(ROUND(AVERAGEIF('Avaliação'!$C$7:$C$206,$B40,'Avaliação'!$E$7:$E$206),2),""))</f>
        <v/>
      </c>
      <c r="F40" s="32" t="str">
        <f t="array" ref="F40">IF($B40="","",IFERROR(INDEX('Avaliação'!$E$7:$E$206,MATCH($B40,'Avaliação'!$C$7:$C$206,0)),""))</f>
        <v/>
      </c>
      <c r="G40" s="32" t="str">
        <f>IF($B40="","",IF($D40&lt;&gt;2,"",IF($F40="","",ROUND(SUMIF('Avaliação'!$C$7:$C$206,$B40,'Avaliação'!$E$7:$E$206)-$F40,2))))</f>
        <v/>
      </c>
      <c r="H40" s="32" t="str">
        <f t="shared" si="2"/>
        <v/>
      </c>
      <c r="I40" s="29" t="str">
        <f t="shared" si="3"/>
        <v/>
      </c>
      <c r="J40" s="29"/>
      <c r="K40" s="32"/>
      <c r="L40" s="35"/>
      <c r="M40" s="32" t="str">
        <f t="shared" si="4"/>
        <v/>
      </c>
      <c r="N40" s="32" t="str">
        <f>IF($B40="","",IF(Entrevista!$H40="","",Entrevista!$H40))</f>
        <v/>
      </c>
      <c r="O40" s="29" t="str">
        <f>IF($B40="","",IF(Entrevista!$L40="","",Entrevista!$L40))</f>
        <v/>
      </c>
    </row>
    <row r="41" ht="14.25" customHeight="1">
      <c r="A41" s="29" t="str">
        <f t="shared" si="1"/>
        <v/>
      </c>
      <c r="C41" s="32"/>
      <c r="D41" s="32" t="str">
        <f>IF($B41="","",COUNTIFS('Avaliação'!$C$7:$C$206,$B41,'Avaliação'!$E$7:$E$206,"&gt;=0"))</f>
        <v/>
      </c>
      <c r="E41" s="33" t="str">
        <f>IF($B41="","",IFERROR(ROUND(AVERAGEIF('Avaliação'!$C$7:$C$206,$B41,'Avaliação'!$E$7:$E$206),2),""))</f>
        <v/>
      </c>
      <c r="F41" s="32" t="str">
        <f t="array" ref="F41">IF($B41="","",IFERROR(INDEX('Avaliação'!$E$7:$E$206,MATCH($B41,'Avaliação'!$C$7:$C$206,0)),""))</f>
        <v/>
      </c>
      <c r="G41" s="32" t="str">
        <f>IF($B41="","",IF($D41&lt;&gt;2,"",IF($F41="","",ROUND(SUMIF('Avaliação'!$C$7:$C$206,$B41,'Avaliação'!$E$7:$E$206)-$F41,2))))</f>
        <v/>
      </c>
      <c r="H41" s="32" t="str">
        <f t="shared" si="2"/>
        <v/>
      </c>
      <c r="I41" s="29" t="str">
        <f t="shared" si="3"/>
        <v/>
      </c>
      <c r="J41" s="29"/>
      <c r="K41" s="32"/>
      <c r="L41" s="35"/>
      <c r="M41" s="32" t="str">
        <f t="shared" si="4"/>
        <v/>
      </c>
      <c r="N41" s="32" t="str">
        <f>IF($B41="","",IF(Entrevista!$H41="","",Entrevista!$H41))</f>
        <v/>
      </c>
      <c r="O41" s="29" t="str">
        <f>IF($B41="","",IF(Entrevista!$L41="","",Entrevista!$L41))</f>
        <v/>
      </c>
    </row>
    <row r="42" ht="14.25" customHeight="1">
      <c r="A42" s="29" t="str">
        <f t="shared" si="1"/>
        <v/>
      </c>
      <c r="C42" s="32"/>
      <c r="D42" s="32" t="str">
        <f>IF($B42="","",COUNTIFS('Avaliação'!$C$7:$C$206,$B42,'Avaliação'!$E$7:$E$206,"&gt;=0"))</f>
        <v/>
      </c>
      <c r="E42" s="33" t="str">
        <f>IF($B42="","",IFERROR(ROUND(AVERAGEIF('Avaliação'!$C$7:$C$206,$B42,'Avaliação'!$E$7:$E$206),2),""))</f>
        <v/>
      </c>
      <c r="F42" s="32" t="str">
        <f t="array" ref="F42">IF($B42="","",IFERROR(INDEX('Avaliação'!$E$7:$E$206,MATCH($B42,'Avaliação'!$C$7:$C$206,0)),""))</f>
        <v/>
      </c>
      <c r="G42" s="32" t="str">
        <f>IF($B42="","",IF($D42&lt;&gt;2,"",IF($F42="","",ROUND(SUMIF('Avaliação'!$C$7:$C$206,$B42,'Avaliação'!$E$7:$E$206)-$F42,2))))</f>
        <v/>
      </c>
      <c r="H42" s="32" t="str">
        <f t="shared" si="2"/>
        <v/>
      </c>
      <c r="I42" s="29" t="str">
        <f t="shared" si="3"/>
        <v/>
      </c>
      <c r="J42" s="29"/>
      <c r="K42" s="32"/>
      <c r="L42" s="35"/>
      <c r="M42" s="32" t="str">
        <f t="shared" si="4"/>
        <v/>
      </c>
      <c r="N42" s="32" t="str">
        <f>IF($B42="","",IF(Entrevista!$H42="","",Entrevista!$H42))</f>
        <v/>
      </c>
      <c r="O42" s="29" t="str">
        <f>IF($B42="","",IF(Entrevista!$L42="","",Entrevista!$L42))</f>
        <v/>
      </c>
    </row>
    <row r="43" ht="14.25" customHeight="1">
      <c r="A43" s="29" t="str">
        <f t="shared" si="1"/>
        <v/>
      </c>
      <c r="C43" s="32"/>
      <c r="D43" s="32" t="str">
        <f>IF($B43="","",COUNTIFS('Avaliação'!$C$7:$C$206,$B43,'Avaliação'!$E$7:$E$206,"&gt;=0"))</f>
        <v/>
      </c>
      <c r="E43" s="33" t="str">
        <f>IF($B43="","",IFERROR(ROUND(AVERAGEIF('Avaliação'!$C$7:$C$206,$B43,'Avaliação'!$E$7:$E$206),2),""))</f>
        <v/>
      </c>
      <c r="F43" s="32" t="str">
        <f t="array" ref="F43">IF($B43="","",IFERROR(INDEX('Avaliação'!$E$7:$E$206,MATCH($B43,'Avaliação'!$C$7:$C$206,0)),""))</f>
        <v/>
      </c>
      <c r="G43" s="32" t="str">
        <f>IF($B43="","",IF($D43&lt;&gt;2,"",IF($F43="","",ROUND(SUMIF('Avaliação'!$C$7:$C$206,$B43,'Avaliação'!$E$7:$E$206)-$F43,2))))</f>
        <v/>
      </c>
      <c r="H43" s="32" t="str">
        <f t="shared" si="2"/>
        <v/>
      </c>
      <c r="I43" s="29" t="str">
        <f t="shared" si="3"/>
        <v/>
      </c>
      <c r="J43" s="29"/>
      <c r="K43" s="32"/>
      <c r="L43" s="35"/>
      <c r="M43" s="32" t="str">
        <f t="shared" si="4"/>
        <v/>
      </c>
      <c r="N43" s="32" t="str">
        <f>IF($B43="","",IF(Entrevista!$H43="","",Entrevista!$H43))</f>
        <v/>
      </c>
      <c r="O43" s="29" t="str">
        <f>IF($B43="","",IF(Entrevista!$L43="","",Entrevista!$L43))</f>
        <v/>
      </c>
    </row>
    <row r="44" ht="14.25" customHeight="1">
      <c r="A44" s="29" t="str">
        <f t="shared" si="1"/>
        <v/>
      </c>
      <c r="C44" s="32"/>
      <c r="D44" s="32" t="str">
        <f>IF($B44="","",COUNTIFS('Avaliação'!$C$7:$C$206,$B44,'Avaliação'!$E$7:$E$206,"&gt;=0"))</f>
        <v/>
      </c>
      <c r="E44" s="33" t="str">
        <f>IF($B44="","",IFERROR(ROUND(AVERAGEIF('Avaliação'!$C$7:$C$206,$B44,'Avaliação'!$E$7:$E$206),2),""))</f>
        <v/>
      </c>
      <c r="F44" s="32" t="str">
        <f t="array" ref="F44">IF($B44="","",IFERROR(INDEX('Avaliação'!$E$7:$E$206,MATCH($B44,'Avaliação'!$C$7:$C$206,0)),""))</f>
        <v/>
      </c>
      <c r="G44" s="32" t="str">
        <f>IF($B44="","",IF($D44&lt;&gt;2,"",IF($F44="","",ROUND(SUMIF('Avaliação'!$C$7:$C$206,$B44,'Avaliação'!$E$7:$E$206)-$F44,2))))</f>
        <v/>
      </c>
      <c r="H44" s="32" t="str">
        <f t="shared" si="2"/>
        <v/>
      </c>
      <c r="I44" s="29" t="str">
        <f t="shared" si="3"/>
        <v/>
      </c>
      <c r="J44" s="29"/>
      <c r="K44" s="32"/>
      <c r="L44" s="35"/>
      <c r="M44" s="32" t="str">
        <f t="shared" si="4"/>
        <v/>
      </c>
      <c r="N44" s="32" t="str">
        <f>IF($B44="","",IF(Entrevista!$H44="","",Entrevista!$H44))</f>
        <v/>
      </c>
      <c r="O44" s="29" t="str">
        <f>IF($B44="","",IF(Entrevista!$L44="","",Entrevista!$L44))</f>
        <v/>
      </c>
    </row>
    <row r="45" ht="14.25" customHeight="1">
      <c r="A45" s="29" t="str">
        <f t="shared" si="1"/>
        <v/>
      </c>
      <c r="C45" s="32"/>
      <c r="D45" s="32" t="str">
        <f>IF($B45="","",COUNTIFS('Avaliação'!$C$7:$C$206,$B45,'Avaliação'!$E$7:$E$206,"&gt;=0"))</f>
        <v/>
      </c>
      <c r="E45" s="33" t="str">
        <f>IF($B45="","",IFERROR(ROUND(AVERAGEIF('Avaliação'!$C$7:$C$206,$B45,'Avaliação'!$E$7:$E$206),2),""))</f>
        <v/>
      </c>
      <c r="F45" s="32" t="str">
        <f t="array" ref="F45">IF($B45="","",IFERROR(INDEX('Avaliação'!$E$7:$E$206,MATCH($B45,'Avaliação'!$C$7:$C$206,0)),""))</f>
        <v/>
      </c>
      <c r="G45" s="32" t="str">
        <f>IF($B45="","",IF($D45&lt;&gt;2,"",IF($F45="","",ROUND(SUMIF('Avaliação'!$C$7:$C$206,$B45,'Avaliação'!$E$7:$E$206)-$F45,2))))</f>
        <v/>
      </c>
      <c r="H45" s="32" t="str">
        <f t="shared" si="2"/>
        <v/>
      </c>
      <c r="I45" s="29" t="str">
        <f t="shared" si="3"/>
        <v/>
      </c>
      <c r="J45" s="29"/>
      <c r="K45" s="32"/>
      <c r="L45" s="35"/>
      <c r="M45" s="32" t="str">
        <f t="shared" si="4"/>
        <v/>
      </c>
      <c r="N45" s="32" t="str">
        <f>IF($B45="","",IF(Entrevista!$H45="","",Entrevista!$H45))</f>
        <v/>
      </c>
      <c r="O45" s="29" t="str">
        <f>IF($B45="","",IF(Entrevista!$L45="","",Entrevista!$L45))</f>
        <v/>
      </c>
    </row>
    <row r="46" ht="14.25" customHeight="1">
      <c r="A46" s="29" t="str">
        <f t="shared" si="1"/>
        <v/>
      </c>
      <c r="C46" s="32"/>
      <c r="D46" s="32" t="str">
        <f>IF($B46="","",COUNTIFS('Avaliação'!$C$7:$C$206,$B46,'Avaliação'!$E$7:$E$206,"&gt;=0"))</f>
        <v/>
      </c>
      <c r="E46" s="33" t="str">
        <f>IF($B46="","",IFERROR(ROUND(AVERAGEIF('Avaliação'!$C$7:$C$206,$B46,'Avaliação'!$E$7:$E$206),2),""))</f>
        <v/>
      </c>
      <c r="F46" s="32" t="str">
        <f t="array" ref="F46">IF($B46="","",IFERROR(INDEX('Avaliação'!$E$7:$E$206,MATCH($B46,'Avaliação'!$C$7:$C$206,0)),""))</f>
        <v/>
      </c>
      <c r="G46" s="32" t="str">
        <f>IF($B46="","",IF($D46&lt;&gt;2,"",IF($F46="","",ROUND(SUMIF('Avaliação'!$C$7:$C$206,$B46,'Avaliação'!$E$7:$E$206)-$F46,2))))</f>
        <v/>
      </c>
      <c r="H46" s="32" t="str">
        <f t="shared" si="2"/>
        <v/>
      </c>
      <c r="I46" s="29" t="str">
        <f t="shared" si="3"/>
        <v/>
      </c>
      <c r="J46" s="29"/>
      <c r="K46" s="32"/>
      <c r="L46" s="35"/>
      <c r="M46" s="32" t="str">
        <f t="shared" si="4"/>
        <v/>
      </c>
      <c r="N46" s="32" t="str">
        <f>IF($B46="","",IF(Entrevista!$H46="","",Entrevista!$H46))</f>
        <v/>
      </c>
      <c r="O46" s="29" t="str">
        <f>IF($B46="","",IF(Entrevista!$L46="","",Entrevista!$L46))</f>
        <v/>
      </c>
    </row>
    <row r="47" ht="14.25" customHeight="1">
      <c r="A47" s="29" t="str">
        <f t="shared" si="1"/>
        <v/>
      </c>
      <c r="C47" s="32"/>
      <c r="D47" s="32" t="str">
        <f>IF($B47="","",COUNTIFS('Avaliação'!$C$7:$C$206,$B47,'Avaliação'!$E$7:$E$206,"&gt;=0"))</f>
        <v/>
      </c>
      <c r="E47" s="33" t="str">
        <f>IF($B47="","",IFERROR(ROUND(AVERAGEIF('Avaliação'!$C$7:$C$206,$B47,'Avaliação'!$E$7:$E$206),2),""))</f>
        <v/>
      </c>
      <c r="F47" s="32" t="str">
        <f t="array" ref="F47">IF($B47="","",IFERROR(INDEX('Avaliação'!$E$7:$E$206,MATCH($B47,'Avaliação'!$C$7:$C$206,0)),""))</f>
        <v/>
      </c>
      <c r="G47" s="32" t="str">
        <f>IF($B47="","",IF($D47&lt;&gt;2,"",IF($F47="","",ROUND(SUMIF('Avaliação'!$C$7:$C$206,$B47,'Avaliação'!$E$7:$E$206)-$F47,2))))</f>
        <v/>
      </c>
      <c r="H47" s="32" t="str">
        <f t="shared" si="2"/>
        <v/>
      </c>
      <c r="I47" s="29" t="str">
        <f t="shared" si="3"/>
        <v/>
      </c>
      <c r="J47" s="29"/>
      <c r="K47" s="32"/>
      <c r="L47" s="35"/>
      <c r="M47" s="32" t="str">
        <f t="shared" si="4"/>
        <v/>
      </c>
      <c r="N47" s="32" t="str">
        <f>IF($B47="","",IF(Entrevista!$H47="","",Entrevista!$H47))</f>
        <v/>
      </c>
      <c r="O47" s="29" t="str">
        <f>IF($B47="","",IF(Entrevista!$L47="","",Entrevista!$L47))</f>
        <v/>
      </c>
    </row>
    <row r="48" ht="14.25" customHeight="1">
      <c r="A48" s="29" t="str">
        <f t="shared" si="1"/>
        <v/>
      </c>
      <c r="C48" s="32"/>
      <c r="D48" s="32" t="str">
        <f>IF($B48="","",COUNTIFS('Avaliação'!$C$7:$C$206,$B48,'Avaliação'!$E$7:$E$206,"&gt;=0"))</f>
        <v/>
      </c>
      <c r="E48" s="33" t="str">
        <f>IF($B48="","",IFERROR(ROUND(AVERAGEIF('Avaliação'!$C$7:$C$206,$B48,'Avaliação'!$E$7:$E$206),2),""))</f>
        <v/>
      </c>
      <c r="F48" s="32" t="str">
        <f t="array" ref="F48">IF($B48="","",IFERROR(INDEX('Avaliação'!$E$7:$E$206,MATCH($B48,'Avaliação'!$C$7:$C$206,0)),""))</f>
        <v/>
      </c>
      <c r="G48" s="32" t="str">
        <f>IF($B48="","",IF($D48&lt;&gt;2,"",IF($F48="","",ROUND(SUMIF('Avaliação'!$C$7:$C$206,$B48,'Avaliação'!$E$7:$E$206)-$F48,2))))</f>
        <v/>
      </c>
      <c r="H48" s="32" t="str">
        <f t="shared" si="2"/>
        <v/>
      </c>
      <c r="I48" s="29" t="str">
        <f t="shared" si="3"/>
        <v/>
      </c>
      <c r="J48" s="29"/>
      <c r="K48" s="32"/>
      <c r="L48" s="35"/>
      <c r="M48" s="32" t="str">
        <f t="shared" si="4"/>
        <v/>
      </c>
      <c r="N48" s="32" t="str">
        <f>IF($B48="","",IF(Entrevista!$H48="","",Entrevista!$H48))</f>
        <v/>
      </c>
      <c r="O48" s="29" t="str">
        <f>IF($B48="","",IF(Entrevista!$L48="","",Entrevista!$L48))</f>
        <v/>
      </c>
    </row>
    <row r="49" ht="14.25" customHeight="1">
      <c r="A49" s="29" t="str">
        <f t="shared" si="1"/>
        <v/>
      </c>
      <c r="C49" s="32"/>
      <c r="D49" s="32" t="str">
        <f>IF($B49="","",COUNTIFS('Avaliação'!$C$7:$C$206,$B49,'Avaliação'!$E$7:$E$206,"&gt;=0"))</f>
        <v/>
      </c>
      <c r="E49" s="33" t="str">
        <f>IF($B49="","",IFERROR(ROUND(AVERAGEIF('Avaliação'!$C$7:$C$206,$B49,'Avaliação'!$E$7:$E$206),2),""))</f>
        <v/>
      </c>
      <c r="F49" s="32" t="str">
        <f t="array" ref="F49">IF($B49="","",IFERROR(INDEX('Avaliação'!$E$7:$E$206,MATCH($B49,'Avaliação'!$C$7:$C$206,0)),""))</f>
        <v/>
      </c>
      <c r="G49" s="32" t="str">
        <f>IF($B49="","",IF($D49&lt;&gt;2,"",IF($F49="","",ROUND(SUMIF('Avaliação'!$C$7:$C$206,$B49,'Avaliação'!$E$7:$E$206)-$F49,2))))</f>
        <v/>
      </c>
      <c r="H49" s="32" t="str">
        <f t="shared" si="2"/>
        <v/>
      </c>
      <c r="I49" s="29" t="str">
        <f t="shared" si="3"/>
        <v/>
      </c>
      <c r="J49" s="29"/>
      <c r="K49" s="32"/>
      <c r="L49" s="35"/>
      <c r="M49" s="32" t="str">
        <f t="shared" si="4"/>
        <v/>
      </c>
      <c r="N49" s="32" t="str">
        <f>IF($B49="","",IF(Entrevista!$H49="","",Entrevista!$H49))</f>
        <v/>
      </c>
      <c r="O49" s="29" t="str">
        <f>IF($B49="","",IF(Entrevista!$L49="","",Entrevista!$L49))</f>
        <v/>
      </c>
    </row>
    <row r="50" ht="14.25" customHeight="1">
      <c r="A50" s="29" t="str">
        <f t="shared" si="1"/>
        <v/>
      </c>
      <c r="C50" s="32"/>
      <c r="D50" s="32" t="str">
        <f>IF($B50="","",COUNTIFS('Avaliação'!$C$7:$C$206,$B50,'Avaliação'!$E$7:$E$206,"&gt;=0"))</f>
        <v/>
      </c>
      <c r="E50" s="33" t="str">
        <f>IF($B50="","",IFERROR(ROUND(AVERAGEIF('Avaliação'!$C$7:$C$206,$B50,'Avaliação'!$E$7:$E$206),2),""))</f>
        <v/>
      </c>
      <c r="F50" s="32" t="str">
        <f t="array" ref="F50">IF($B50="","",IFERROR(INDEX('Avaliação'!$E$7:$E$206,MATCH($B50,'Avaliação'!$C$7:$C$206,0)),""))</f>
        <v/>
      </c>
      <c r="G50" s="32" t="str">
        <f>IF($B50="","",IF($D50&lt;&gt;2,"",IF($F50="","",ROUND(SUMIF('Avaliação'!$C$7:$C$206,$B50,'Avaliação'!$E$7:$E$206)-$F50,2))))</f>
        <v/>
      </c>
      <c r="H50" s="32" t="str">
        <f t="shared" si="2"/>
        <v/>
      </c>
      <c r="I50" s="29" t="str">
        <f t="shared" si="3"/>
        <v/>
      </c>
      <c r="J50" s="29"/>
      <c r="K50" s="32"/>
      <c r="L50" s="35"/>
      <c r="M50" s="32" t="str">
        <f t="shared" si="4"/>
        <v/>
      </c>
      <c r="N50" s="32" t="str">
        <f>IF($B50="","",IF(Entrevista!$H50="","",Entrevista!$H50))</f>
        <v/>
      </c>
      <c r="O50" s="29" t="str">
        <f>IF($B50="","",IF(Entrevista!$L50="","",Entrevista!$L50))</f>
        <v/>
      </c>
    </row>
    <row r="51" ht="14.25" customHeight="1">
      <c r="A51" s="29" t="str">
        <f t="shared" si="1"/>
        <v/>
      </c>
      <c r="C51" s="32"/>
      <c r="D51" s="32" t="str">
        <f>IF($B51="","",COUNTIFS('Avaliação'!$C$7:$C$206,$B51,'Avaliação'!$E$7:$E$206,"&gt;=0"))</f>
        <v/>
      </c>
      <c r="E51" s="33" t="str">
        <f>IF($B51="","",IFERROR(ROUND(AVERAGEIF('Avaliação'!$C$7:$C$206,$B51,'Avaliação'!$E$7:$E$206),2),""))</f>
        <v/>
      </c>
      <c r="F51" s="32" t="str">
        <f t="array" ref="F51">IF($B51="","",IFERROR(INDEX('Avaliação'!$E$7:$E$206,MATCH($B51,'Avaliação'!$C$7:$C$206,0)),""))</f>
        <v/>
      </c>
      <c r="G51" s="32" t="str">
        <f>IF($B51="","",IF($D51&lt;&gt;2,"",IF($F51="","",ROUND(SUMIF('Avaliação'!$C$7:$C$206,$B51,'Avaliação'!$E$7:$E$206)-$F51,2))))</f>
        <v/>
      </c>
      <c r="H51" s="32" t="str">
        <f t="shared" si="2"/>
        <v/>
      </c>
      <c r="I51" s="29" t="str">
        <f t="shared" si="3"/>
        <v/>
      </c>
      <c r="J51" s="29"/>
      <c r="K51" s="32"/>
      <c r="L51" s="35"/>
      <c r="M51" s="32" t="str">
        <f t="shared" si="4"/>
        <v/>
      </c>
      <c r="N51" s="32" t="str">
        <f>IF($B51="","",IF(Entrevista!$H51="","",Entrevista!$H51))</f>
        <v/>
      </c>
      <c r="O51" s="29" t="str">
        <f>IF($B51="","",IF(Entrevista!$L51="","",Entrevista!$L51))</f>
        <v/>
      </c>
    </row>
    <row r="52" ht="14.25" customHeight="1">
      <c r="A52" s="29" t="str">
        <f t="shared" si="1"/>
        <v/>
      </c>
      <c r="C52" s="32"/>
      <c r="D52" s="32" t="str">
        <f>IF($B52="","",COUNTIFS('Avaliação'!$C$7:$C$206,$B52,'Avaliação'!$E$7:$E$206,"&gt;=0"))</f>
        <v/>
      </c>
      <c r="E52" s="33" t="str">
        <f>IF($B52="","",IFERROR(ROUND(AVERAGEIF('Avaliação'!$C$7:$C$206,$B52,'Avaliação'!$E$7:$E$206),2),""))</f>
        <v/>
      </c>
      <c r="F52" s="32" t="str">
        <f t="array" ref="F52">IF($B52="","",IFERROR(INDEX('Avaliação'!$E$7:$E$206,MATCH($B52,'Avaliação'!$C$7:$C$206,0)),""))</f>
        <v/>
      </c>
      <c r="G52" s="32" t="str">
        <f>IF($B52="","",IF($D52&lt;&gt;2,"",IF($F52="","",ROUND(SUMIF('Avaliação'!$C$7:$C$206,$B52,'Avaliação'!$E$7:$E$206)-$F52,2))))</f>
        <v/>
      </c>
      <c r="H52" s="32" t="str">
        <f t="shared" si="2"/>
        <v/>
      </c>
      <c r="I52" s="29" t="str">
        <f t="shared" si="3"/>
        <v/>
      </c>
      <c r="J52" s="29"/>
      <c r="K52" s="32"/>
      <c r="L52" s="35"/>
      <c r="M52" s="32" t="str">
        <f t="shared" si="4"/>
        <v/>
      </c>
      <c r="N52" s="32" t="str">
        <f>IF($B52="","",IF(Entrevista!$H52="","",Entrevista!$H52))</f>
        <v/>
      </c>
      <c r="O52" s="29" t="str">
        <f>IF($B52="","",IF(Entrevista!$L52="","",Entrevista!$L52))</f>
        <v/>
      </c>
    </row>
    <row r="53" ht="14.25" customHeight="1">
      <c r="A53" s="29" t="str">
        <f t="shared" si="1"/>
        <v/>
      </c>
      <c r="C53" s="32"/>
      <c r="D53" s="32" t="str">
        <f>IF($B53="","",COUNTIFS('Avaliação'!$C$7:$C$206,$B53,'Avaliação'!$E$7:$E$206,"&gt;=0"))</f>
        <v/>
      </c>
      <c r="E53" s="33" t="str">
        <f>IF($B53="","",IFERROR(ROUND(AVERAGEIF('Avaliação'!$C$7:$C$206,$B53,'Avaliação'!$E$7:$E$206),2),""))</f>
        <v/>
      </c>
      <c r="F53" s="32" t="str">
        <f t="array" ref="F53">IF($B53="","",IFERROR(INDEX('Avaliação'!$E$7:$E$206,MATCH($B53,'Avaliação'!$C$7:$C$206,0)),""))</f>
        <v/>
      </c>
      <c r="G53" s="32" t="str">
        <f>IF($B53="","",IF($D53&lt;&gt;2,"",IF($F53="","",ROUND(SUMIF('Avaliação'!$C$7:$C$206,$B53,'Avaliação'!$E$7:$E$206)-$F53,2))))</f>
        <v/>
      </c>
      <c r="H53" s="32" t="str">
        <f t="shared" si="2"/>
        <v/>
      </c>
      <c r="I53" s="29" t="str">
        <f t="shared" si="3"/>
        <v/>
      </c>
      <c r="J53" s="29"/>
      <c r="K53" s="32"/>
      <c r="L53" s="35"/>
      <c r="M53" s="32" t="str">
        <f t="shared" si="4"/>
        <v/>
      </c>
      <c r="N53" s="32" t="str">
        <f>IF($B53="","",IF(Entrevista!$H53="","",Entrevista!$H53))</f>
        <v/>
      </c>
      <c r="O53" s="29" t="str">
        <f>IF($B53="","",IF(Entrevista!$L53="","",Entrevista!$L53))</f>
        <v/>
      </c>
    </row>
    <row r="54" ht="14.25" customHeight="1">
      <c r="A54" s="29" t="str">
        <f t="shared" si="1"/>
        <v/>
      </c>
      <c r="C54" s="32"/>
      <c r="D54" s="32" t="str">
        <f>IF($B54="","",COUNTIFS('Avaliação'!$C$7:$C$206,$B54,'Avaliação'!$E$7:$E$206,"&gt;=0"))</f>
        <v/>
      </c>
      <c r="E54" s="33" t="str">
        <f>IF($B54="","",IFERROR(ROUND(AVERAGEIF('Avaliação'!$C$7:$C$206,$B54,'Avaliação'!$E$7:$E$206),2),""))</f>
        <v/>
      </c>
      <c r="F54" s="32" t="str">
        <f t="array" ref="F54">IF($B54="","",IFERROR(INDEX('Avaliação'!$E$7:$E$206,MATCH($B54,'Avaliação'!$C$7:$C$206,0)),""))</f>
        <v/>
      </c>
      <c r="G54" s="32" t="str">
        <f>IF($B54="","",IF($D54&lt;&gt;2,"",IF($F54="","",ROUND(SUMIF('Avaliação'!$C$7:$C$206,$B54,'Avaliação'!$E$7:$E$206)-$F54,2))))</f>
        <v/>
      </c>
      <c r="H54" s="32" t="str">
        <f t="shared" si="2"/>
        <v/>
      </c>
      <c r="I54" s="29" t="str">
        <f t="shared" si="3"/>
        <v/>
      </c>
      <c r="J54" s="29"/>
      <c r="K54" s="32"/>
      <c r="L54" s="35"/>
      <c r="M54" s="32" t="str">
        <f t="shared" si="4"/>
        <v/>
      </c>
      <c r="N54" s="32" t="str">
        <f>IF($B54="","",IF(Entrevista!$H54="","",Entrevista!$H54))</f>
        <v/>
      </c>
      <c r="O54" s="29" t="str">
        <f>IF($B54="","",IF(Entrevista!$L54="","",Entrevista!$L54))</f>
        <v/>
      </c>
    </row>
    <row r="55" ht="14.25" customHeight="1">
      <c r="A55" s="29" t="str">
        <f t="shared" si="1"/>
        <v/>
      </c>
      <c r="C55" s="32"/>
      <c r="D55" s="32" t="str">
        <f>IF($B55="","",COUNTIFS('Avaliação'!$C$7:$C$206,$B55,'Avaliação'!$E$7:$E$206,"&gt;=0"))</f>
        <v/>
      </c>
      <c r="E55" s="33" t="str">
        <f>IF($B55="","",IFERROR(ROUND(AVERAGEIF('Avaliação'!$C$7:$C$206,$B55,'Avaliação'!$E$7:$E$206),2),""))</f>
        <v/>
      </c>
      <c r="F55" s="32" t="str">
        <f t="array" ref="F55">IF($B55="","",IFERROR(INDEX('Avaliação'!$E$7:$E$206,MATCH($B55,'Avaliação'!$C$7:$C$206,0)),""))</f>
        <v/>
      </c>
      <c r="G55" s="32" t="str">
        <f>IF($B55="","",IF($D55&lt;&gt;2,"",IF($F55="","",ROUND(SUMIF('Avaliação'!$C$7:$C$206,$B55,'Avaliação'!$E$7:$E$206)-$F55,2))))</f>
        <v/>
      </c>
      <c r="H55" s="32" t="str">
        <f t="shared" si="2"/>
        <v/>
      </c>
      <c r="I55" s="29" t="str">
        <f t="shared" si="3"/>
        <v/>
      </c>
      <c r="J55" s="29"/>
      <c r="K55" s="32"/>
      <c r="L55" s="35"/>
      <c r="M55" s="32" t="str">
        <f t="shared" si="4"/>
        <v/>
      </c>
      <c r="N55" s="32" t="str">
        <f>IF($B55="","",IF(Entrevista!$H55="","",Entrevista!$H55))</f>
        <v/>
      </c>
      <c r="O55" s="29" t="str">
        <f>IF($B55="","",IF(Entrevista!$L55="","",Entrevista!$L55))</f>
        <v/>
      </c>
    </row>
    <row r="56" ht="14.25" customHeight="1">
      <c r="A56" s="29" t="str">
        <f t="shared" si="1"/>
        <v/>
      </c>
      <c r="C56" s="32"/>
      <c r="D56" s="32" t="str">
        <f>IF($B56="","",COUNTIFS('Avaliação'!$C$7:$C$206,$B56,'Avaliação'!$E$7:$E$206,"&gt;=0"))</f>
        <v/>
      </c>
      <c r="E56" s="33" t="str">
        <f>IF($B56="","",IFERROR(ROUND(AVERAGEIF('Avaliação'!$C$7:$C$206,$B56,'Avaliação'!$E$7:$E$206),2),""))</f>
        <v/>
      </c>
      <c r="F56" s="32" t="str">
        <f t="array" ref="F56">IF($B56="","",IFERROR(INDEX('Avaliação'!$E$7:$E$206,MATCH($B56,'Avaliação'!$C$7:$C$206,0)),""))</f>
        <v/>
      </c>
      <c r="G56" s="32" t="str">
        <f>IF($B56="","",IF($D56&lt;&gt;2,"",IF($F56="","",ROUND(SUMIF('Avaliação'!$C$7:$C$206,$B56,'Avaliação'!$E$7:$E$206)-$F56,2))))</f>
        <v/>
      </c>
      <c r="H56" s="32" t="str">
        <f t="shared" si="2"/>
        <v/>
      </c>
      <c r="I56" s="29" t="str">
        <f t="shared" si="3"/>
        <v/>
      </c>
      <c r="J56" s="29"/>
      <c r="K56" s="32"/>
      <c r="L56" s="35"/>
      <c r="M56" s="32" t="str">
        <f t="shared" si="4"/>
        <v/>
      </c>
      <c r="N56" s="32" t="str">
        <f>IF($B56="","",IF(Entrevista!$H56="","",Entrevista!$H56))</f>
        <v/>
      </c>
      <c r="O56" s="29" t="str">
        <f>IF($B56="","",IF(Entrevista!$L56="","",Entrevista!$L56))</f>
        <v/>
      </c>
    </row>
    <row r="57" ht="14.25" customHeight="1">
      <c r="A57" s="29" t="str">
        <f t="shared" si="1"/>
        <v/>
      </c>
      <c r="C57" s="32"/>
      <c r="D57" s="32" t="str">
        <f>IF($B57="","",COUNTIFS('Avaliação'!$C$7:$C$206,$B57,'Avaliação'!$E$7:$E$206,"&gt;=0"))</f>
        <v/>
      </c>
      <c r="E57" s="33" t="str">
        <f>IF($B57="","",IFERROR(ROUND(AVERAGEIF('Avaliação'!$C$7:$C$206,$B57,'Avaliação'!$E$7:$E$206),2),""))</f>
        <v/>
      </c>
      <c r="F57" s="32" t="str">
        <f t="array" ref="F57">IF($B57="","",IFERROR(INDEX('Avaliação'!$E$7:$E$206,MATCH($B57,'Avaliação'!$C$7:$C$206,0)),""))</f>
        <v/>
      </c>
      <c r="G57" s="32" t="str">
        <f>IF($B57="","",IF($D57&lt;&gt;2,"",IF($F57="","",ROUND(SUMIF('Avaliação'!$C$7:$C$206,$B57,'Avaliação'!$E$7:$E$206)-$F57,2))))</f>
        <v/>
      </c>
      <c r="H57" s="32" t="str">
        <f t="shared" si="2"/>
        <v/>
      </c>
      <c r="I57" s="29" t="str">
        <f t="shared" si="3"/>
        <v/>
      </c>
      <c r="J57" s="29"/>
      <c r="K57" s="32"/>
      <c r="L57" s="35"/>
      <c r="M57" s="32" t="str">
        <f t="shared" si="4"/>
        <v/>
      </c>
      <c r="N57" s="32" t="str">
        <f>IF($B57="","",IF(Entrevista!$H57="","",Entrevista!$H57))</f>
        <v/>
      </c>
      <c r="O57" s="29" t="str">
        <f>IF($B57="","",IF(Entrevista!$L57="","",Entrevista!$L57))</f>
        <v/>
      </c>
    </row>
    <row r="58" ht="14.25" customHeight="1">
      <c r="A58" s="29" t="str">
        <f t="shared" si="1"/>
        <v/>
      </c>
      <c r="C58" s="32"/>
      <c r="D58" s="32" t="str">
        <f>IF($B58="","",COUNTIFS('Avaliação'!$C$7:$C$206,$B58,'Avaliação'!$E$7:$E$206,"&gt;=0"))</f>
        <v/>
      </c>
      <c r="E58" s="33" t="str">
        <f>IF($B58="","",IFERROR(ROUND(AVERAGEIF('Avaliação'!$C$7:$C$206,$B58,'Avaliação'!$E$7:$E$206),2),""))</f>
        <v/>
      </c>
      <c r="F58" s="32" t="str">
        <f t="array" ref="F58">IF($B58="","",IFERROR(INDEX('Avaliação'!$E$7:$E$206,MATCH($B58,'Avaliação'!$C$7:$C$206,0)),""))</f>
        <v/>
      </c>
      <c r="G58" s="32" t="str">
        <f>IF($B58="","",IF($D58&lt;&gt;2,"",IF($F58="","",ROUND(SUMIF('Avaliação'!$C$7:$C$206,$B58,'Avaliação'!$E$7:$E$206)-$F58,2))))</f>
        <v/>
      </c>
      <c r="H58" s="32" t="str">
        <f t="shared" si="2"/>
        <v/>
      </c>
      <c r="I58" s="29" t="str">
        <f t="shared" si="3"/>
        <v/>
      </c>
      <c r="J58" s="29"/>
      <c r="K58" s="32"/>
      <c r="L58" s="35"/>
      <c r="M58" s="32" t="str">
        <f t="shared" si="4"/>
        <v/>
      </c>
      <c r="N58" s="32" t="str">
        <f>IF($B58="","",IF(Entrevista!$H58="","",Entrevista!$H58))</f>
        <v/>
      </c>
      <c r="O58" s="29" t="str">
        <f>IF($B58="","",IF(Entrevista!$L58="","",Entrevista!$L58))</f>
        <v/>
      </c>
    </row>
    <row r="59" ht="14.25" customHeight="1">
      <c r="A59" s="29" t="str">
        <f t="shared" si="1"/>
        <v/>
      </c>
      <c r="C59" s="32"/>
      <c r="D59" s="32" t="str">
        <f>IF($B59="","",COUNTIFS('Avaliação'!$C$7:$C$206,$B59,'Avaliação'!$E$7:$E$206,"&gt;=0"))</f>
        <v/>
      </c>
      <c r="E59" s="33" t="str">
        <f>IF($B59="","",IFERROR(ROUND(AVERAGEIF('Avaliação'!$C$7:$C$206,$B59,'Avaliação'!$E$7:$E$206),2),""))</f>
        <v/>
      </c>
      <c r="F59" s="32" t="str">
        <f t="array" ref="F59">IF($B59="","",IFERROR(INDEX('Avaliação'!$E$7:$E$206,MATCH($B59,'Avaliação'!$C$7:$C$206,0)),""))</f>
        <v/>
      </c>
      <c r="G59" s="32" t="str">
        <f>IF($B59="","",IF($D59&lt;&gt;2,"",IF($F59="","",ROUND(SUMIF('Avaliação'!$C$7:$C$206,$B59,'Avaliação'!$E$7:$E$206)-$F59,2))))</f>
        <v/>
      </c>
      <c r="H59" s="32" t="str">
        <f t="shared" si="2"/>
        <v/>
      </c>
      <c r="I59" s="29" t="str">
        <f t="shared" si="3"/>
        <v/>
      </c>
      <c r="J59" s="29"/>
      <c r="K59" s="32"/>
      <c r="L59" s="35"/>
      <c r="M59" s="32" t="str">
        <f t="shared" si="4"/>
        <v/>
      </c>
      <c r="N59" s="32" t="str">
        <f>IF($B59="","",IF(Entrevista!$H59="","",Entrevista!$H59))</f>
        <v/>
      </c>
      <c r="O59" s="29" t="str">
        <f>IF($B59="","",IF(Entrevista!$L59="","",Entrevista!$L59))</f>
        <v/>
      </c>
    </row>
    <row r="60" ht="14.25" customHeight="1">
      <c r="A60" s="29" t="str">
        <f t="shared" si="1"/>
        <v/>
      </c>
      <c r="C60" s="32"/>
      <c r="D60" s="32" t="str">
        <f>IF($B60="","",COUNTIFS('Avaliação'!$C$7:$C$206,$B60,'Avaliação'!$E$7:$E$206,"&gt;=0"))</f>
        <v/>
      </c>
      <c r="E60" s="33" t="str">
        <f>IF($B60="","",IFERROR(ROUND(AVERAGEIF('Avaliação'!$C$7:$C$206,$B60,'Avaliação'!$E$7:$E$206),2),""))</f>
        <v/>
      </c>
      <c r="F60" s="32" t="str">
        <f t="array" ref="F60">IF($B60="","",IFERROR(INDEX('Avaliação'!$E$7:$E$206,MATCH($B60,'Avaliação'!$C$7:$C$206,0)),""))</f>
        <v/>
      </c>
      <c r="G60" s="32" t="str">
        <f>IF($B60="","",IF($D60&lt;&gt;2,"",IF($F60="","",ROUND(SUMIF('Avaliação'!$C$7:$C$206,$B60,'Avaliação'!$E$7:$E$206)-$F60,2))))</f>
        <v/>
      </c>
      <c r="H60" s="32" t="str">
        <f t="shared" si="2"/>
        <v/>
      </c>
      <c r="I60" s="29" t="str">
        <f t="shared" si="3"/>
        <v/>
      </c>
      <c r="J60" s="29"/>
      <c r="K60" s="32"/>
      <c r="L60" s="35"/>
      <c r="M60" s="32" t="str">
        <f t="shared" si="4"/>
        <v/>
      </c>
      <c r="N60" s="32" t="str">
        <f>IF($B60="","",IF(Entrevista!$H60="","",Entrevista!$H60))</f>
        <v/>
      </c>
      <c r="O60" s="29" t="str">
        <f>IF($B60="","",IF(Entrevista!$L60="","",Entrevista!$L60))</f>
        <v/>
      </c>
    </row>
    <row r="61" ht="14.25" customHeight="1">
      <c r="A61" s="29" t="str">
        <f t="shared" si="1"/>
        <v/>
      </c>
      <c r="C61" s="32"/>
      <c r="D61" s="32" t="str">
        <f>IF($B61="","",COUNTIFS('Avaliação'!$C$7:$C$206,$B61,'Avaliação'!$E$7:$E$206,"&gt;=0"))</f>
        <v/>
      </c>
      <c r="E61" s="33" t="str">
        <f>IF($B61="","",IFERROR(ROUND(AVERAGEIF('Avaliação'!$C$7:$C$206,$B61,'Avaliação'!$E$7:$E$206),2),""))</f>
        <v/>
      </c>
      <c r="F61" s="32" t="str">
        <f t="array" ref="F61">IF($B61="","",IFERROR(INDEX('Avaliação'!$E$7:$E$206,MATCH($B61,'Avaliação'!$C$7:$C$206,0)),""))</f>
        <v/>
      </c>
      <c r="G61" s="32" t="str">
        <f>IF($B61="","",IF($D61&lt;&gt;2,"",IF($F61="","",ROUND(SUMIF('Avaliação'!$C$7:$C$206,$B61,'Avaliação'!$E$7:$E$206)-$F61,2))))</f>
        <v/>
      </c>
      <c r="H61" s="32" t="str">
        <f t="shared" si="2"/>
        <v/>
      </c>
      <c r="I61" s="29" t="str">
        <f t="shared" si="3"/>
        <v/>
      </c>
      <c r="J61" s="29"/>
      <c r="K61" s="32"/>
      <c r="L61" s="35"/>
      <c r="M61" s="32" t="str">
        <f t="shared" si="4"/>
        <v/>
      </c>
      <c r="N61" s="32" t="str">
        <f>IF($B61="","",IF(Entrevista!$H61="","",Entrevista!$H61))</f>
        <v/>
      </c>
      <c r="O61" s="29" t="str">
        <f>IF($B61="","",IF(Entrevista!$L61="","",Entrevista!$L61))</f>
        <v/>
      </c>
    </row>
    <row r="62" ht="14.25" customHeight="1">
      <c r="A62" s="29" t="str">
        <f t="shared" si="1"/>
        <v/>
      </c>
      <c r="C62" s="32"/>
      <c r="D62" s="32" t="str">
        <f>IF($B62="","",COUNTIFS('Avaliação'!$C$7:$C$206,$B62,'Avaliação'!$E$7:$E$206,"&gt;=0"))</f>
        <v/>
      </c>
      <c r="E62" s="33" t="str">
        <f>IF($B62="","",IFERROR(ROUND(AVERAGEIF('Avaliação'!$C$7:$C$206,$B62,'Avaliação'!$E$7:$E$206),2),""))</f>
        <v/>
      </c>
      <c r="F62" s="32" t="str">
        <f t="array" ref="F62">IF($B62="","",IFERROR(INDEX('Avaliação'!$E$7:$E$206,MATCH($B62,'Avaliação'!$C$7:$C$206,0)),""))</f>
        <v/>
      </c>
      <c r="G62" s="32" t="str">
        <f>IF($B62="","",IF($D62&lt;&gt;2,"",IF($F62="","",ROUND(SUMIF('Avaliação'!$C$7:$C$206,$B62,'Avaliação'!$E$7:$E$206)-$F62,2))))</f>
        <v/>
      </c>
      <c r="H62" s="32" t="str">
        <f t="shared" si="2"/>
        <v/>
      </c>
      <c r="I62" s="29" t="str">
        <f t="shared" si="3"/>
        <v/>
      </c>
      <c r="J62" s="29"/>
      <c r="K62" s="32"/>
      <c r="L62" s="35"/>
      <c r="M62" s="32" t="str">
        <f t="shared" si="4"/>
        <v/>
      </c>
      <c r="N62" s="32" t="str">
        <f>IF($B62="","",IF(Entrevista!$H62="","",Entrevista!$H62))</f>
        <v/>
      </c>
      <c r="O62" s="29" t="str">
        <f>IF($B62="","",IF(Entrevista!$L62="","",Entrevista!$L62))</f>
        <v/>
      </c>
    </row>
    <row r="63" ht="14.25" customHeight="1">
      <c r="A63" s="29" t="str">
        <f t="shared" si="1"/>
        <v/>
      </c>
      <c r="C63" s="32"/>
      <c r="D63" s="32" t="str">
        <f>IF($B63="","",COUNTIFS('Avaliação'!$C$7:$C$206,$B63,'Avaliação'!$E$7:$E$206,"&gt;=0"))</f>
        <v/>
      </c>
      <c r="E63" s="33" t="str">
        <f>IF($B63="","",IFERROR(ROUND(AVERAGEIF('Avaliação'!$C$7:$C$206,$B63,'Avaliação'!$E$7:$E$206),2),""))</f>
        <v/>
      </c>
      <c r="F63" s="32" t="str">
        <f t="array" ref="F63">IF($B63="","",IFERROR(INDEX('Avaliação'!$E$7:$E$206,MATCH($B63,'Avaliação'!$C$7:$C$206,0)),""))</f>
        <v/>
      </c>
      <c r="G63" s="32" t="str">
        <f>IF($B63="","",IF($D63&lt;&gt;2,"",IF($F63="","",ROUND(SUMIF('Avaliação'!$C$7:$C$206,$B63,'Avaliação'!$E$7:$E$206)-$F63,2))))</f>
        <v/>
      </c>
      <c r="H63" s="32" t="str">
        <f t="shared" si="2"/>
        <v/>
      </c>
      <c r="I63" s="29" t="str">
        <f t="shared" si="3"/>
        <v/>
      </c>
      <c r="J63" s="29"/>
      <c r="K63" s="32"/>
      <c r="L63" s="35"/>
      <c r="M63" s="32" t="str">
        <f t="shared" si="4"/>
        <v/>
      </c>
      <c r="N63" s="32" t="str">
        <f>IF($B63="","",IF(Entrevista!$H63="","",Entrevista!$H63))</f>
        <v/>
      </c>
      <c r="O63" s="29" t="str">
        <f>IF($B63="","",IF(Entrevista!$L63="","",Entrevista!$L63))</f>
        <v/>
      </c>
    </row>
    <row r="64" ht="14.25" customHeight="1">
      <c r="A64" s="29" t="str">
        <f t="shared" si="1"/>
        <v/>
      </c>
      <c r="C64" s="32"/>
      <c r="D64" s="32" t="str">
        <f>IF($B64="","",COUNTIFS('Avaliação'!$C$7:$C$206,$B64,'Avaliação'!$E$7:$E$206,"&gt;=0"))</f>
        <v/>
      </c>
      <c r="E64" s="33" t="str">
        <f>IF($B64="","",IFERROR(ROUND(AVERAGEIF('Avaliação'!$C$7:$C$206,$B64,'Avaliação'!$E$7:$E$206),2),""))</f>
        <v/>
      </c>
      <c r="F64" s="32" t="str">
        <f t="array" ref="F64">IF($B64="","",IFERROR(INDEX('Avaliação'!$E$7:$E$206,MATCH($B64,'Avaliação'!$C$7:$C$206,0)),""))</f>
        <v/>
      </c>
      <c r="G64" s="32" t="str">
        <f>IF($B64="","",IF($D64&lt;&gt;2,"",IF($F64="","",ROUND(SUMIF('Avaliação'!$C$7:$C$206,$B64,'Avaliação'!$E$7:$E$206)-$F64,2))))</f>
        <v/>
      </c>
      <c r="H64" s="32" t="str">
        <f t="shared" si="2"/>
        <v/>
      </c>
      <c r="I64" s="29" t="str">
        <f t="shared" si="3"/>
        <v/>
      </c>
      <c r="J64" s="29"/>
      <c r="K64" s="32"/>
      <c r="L64" s="35"/>
      <c r="M64" s="32" t="str">
        <f t="shared" si="4"/>
        <v/>
      </c>
      <c r="N64" s="32" t="str">
        <f>IF($B64="","",IF(Entrevista!$H64="","",Entrevista!$H64))</f>
        <v/>
      </c>
      <c r="O64" s="29" t="str">
        <f>IF($B64="","",IF(Entrevista!$L64="","",Entrevista!$L64))</f>
        <v/>
      </c>
    </row>
    <row r="65" ht="14.25" customHeight="1"/>
    <row r="66" ht="24.0" customHeight="1">
      <c r="B66" s="59" t="s">
        <v>417</v>
      </c>
    </row>
    <row r="67" ht="24.0" customHeight="1">
      <c r="B67" s="59" t="s">
        <v>418</v>
      </c>
    </row>
    <row r="68" ht="24.0" customHeight="1">
      <c r="B68" s="59" t="s">
        <v>419</v>
      </c>
    </row>
    <row r="69" ht="24.0" customHeight="1">
      <c r="B69" s="59" t="s">
        <v>420</v>
      </c>
    </row>
    <row r="70" ht="24.0" customHeight="1">
      <c r="B70" s="59" t="s">
        <v>421</v>
      </c>
    </row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B2:O2"/>
    <mergeCell ref="B3:O3"/>
    <mergeCell ref="B66:O66"/>
    <mergeCell ref="B67:O67"/>
    <mergeCell ref="B68:O68"/>
    <mergeCell ref="B69:O69"/>
    <mergeCell ref="B70:O70"/>
  </mergeCells>
  <conditionalFormatting sqref="E5:E64">
    <cfRule type="expression" dxfId="3" priority="1" stopIfTrue="1">
      <formula>AND($B5&lt;&gt;"",$D5&lt;2)</formula>
    </cfRule>
  </conditionalFormatting>
  <conditionalFormatting sqref="E5:E64">
    <cfRule type="cellIs" dxfId="0" priority="2" operator="greaterThanOrEqual">
      <formula>7</formula>
    </cfRule>
  </conditionalFormatting>
  <conditionalFormatting sqref="I5:I64">
    <cfRule type="expression" dxfId="3" priority="3">
      <formula>LEFT($I5,1)="⚠"</formula>
    </cfRule>
  </conditionalFormatting>
  <conditionalFormatting sqref="K5:K64">
    <cfRule type="cellIs" dxfId="2" priority="4" operator="lessThan">
      <formula>6</formula>
    </cfRule>
  </conditionalFormatting>
  <conditionalFormatting sqref="N5:N64">
    <cfRule type="cellIs" dxfId="2" priority="5" operator="equal">
      <formula>"Não OK"</formula>
    </cfRule>
  </conditionalFormatting>
  <dataValidations>
    <dataValidation type="list" allowBlank="1" sqref="J5:J64">
      <formula1>"🔴 EVASÃO,🟡 CARGA,⚪ sem sinal"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5.0"/>
    <col customWidth="1" min="2" max="2" width="34.0"/>
    <col customWidth="1" min="3" max="3" width="33.29"/>
    <col customWidth="1" min="4" max="5" width="12.0"/>
    <col customWidth="1" min="6" max="6" width="22.0"/>
    <col customWidth="1" min="7" max="7" width="11.0"/>
    <col customWidth="1" min="8" max="8" width="20.0"/>
    <col customWidth="1" min="9" max="9" width="30.0"/>
    <col customWidth="1" min="10" max="10" width="42.0"/>
    <col customWidth="1" min="11" max="11" width="46.0"/>
    <col customWidth="1" min="12" max="12" width="14.0"/>
    <col customWidth="1" min="13" max="13" width="40.0"/>
    <col customWidth="1" min="14" max="27" width="8.71"/>
  </cols>
  <sheetData>
    <row r="1" ht="14.25" customHeight="1"/>
    <row r="2" ht="25.5" customHeight="1">
      <c r="B2" s="7" t="s">
        <v>147</v>
      </c>
      <c r="C2" s="9"/>
      <c r="D2" s="9"/>
      <c r="E2" s="9"/>
      <c r="F2" s="9"/>
      <c r="G2" s="9"/>
      <c r="H2" s="9"/>
      <c r="I2" s="9"/>
      <c r="J2" s="9"/>
      <c r="K2" s="9"/>
      <c r="L2" s="9"/>
      <c r="M2" s="2"/>
    </row>
    <row r="3" ht="42.0" customHeight="1">
      <c r="B3" s="36" t="s">
        <v>150</v>
      </c>
      <c r="C3" s="9"/>
      <c r="D3" s="9"/>
      <c r="E3" s="9"/>
      <c r="F3" s="9"/>
      <c r="G3" s="9"/>
      <c r="H3" s="9"/>
      <c r="I3" s="9"/>
      <c r="J3" s="9"/>
      <c r="K3" s="9"/>
      <c r="L3" s="9"/>
      <c r="M3" s="2"/>
    </row>
    <row r="4" ht="30.0" customHeight="1">
      <c r="A4" s="21" t="s">
        <v>69</v>
      </c>
      <c r="B4" s="21" t="s">
        <v>71</v>
      </c>
      <c r="C4" s="24" t="s">
        <v>79</v>
      </c>
      <c r="D4" s="21" t="s">
        <v>158</v>
      </c>
      <c r="E4" s="21" t="s">
        <v>96</v>
      </c>
      <c r="F4" s="21" t="s">
        <v>161</v>
      </c>
      <c r="G4" s="21" t="s">
        <v>162</v>
      </c>
      <c r="H4" s="21" t="s">
        <v>165</v>
      </c>
      <c r="I4" s="21" t="s">
        <v>166</v>
      </c>
      <c r="J4" s="21" t="s">
        <v>168</v>
      </c>
      <c r="K4" s="21" t="s">
        <v>170</v>
      </c>
      <c r="L4" s="21" t="s">
        <v>171</v>
      </c>
      <c r="M4" s="21" t="s">
        <v>173</v>
      </c>
    </row>
    <row r="5" ht="14.25" customHeight="1">
      <c r="A5" s="32" t="str">
        <f t="shared" ref="A5:A64" si="1">IF($B5="","",ROW()-4)</f>
        <v/>
      </c>
      <c r="D5" s="39" t="str">
        <f>IF($B5="","",Consolidado!$E5)</f>
        <v/>
      </c>
      <c r="E5" s="32" t="str">
        <f>IF($B5="","",Consolidado!$J5)</f>
        <v/>
      </c>
      <c r="G5" s="40"/>
      <c r="H5" s="32"/>
      <c r="I5" s="35"/>
      <c r="J5" s="35"/>
      <c r="K5" s="35"/>
      <c r="L5" s="29"/>
      <c r="M5" s="35"/>
    </row>
    <row r="6" ht="14.25" customHeight="1">
      <c r="A6" s="32" t="str">
        <f t="shared" si="1"/>
        <v/>
      </c>
      <c r="D6" s="39" t="str">
        <f>IF($B6="","",Consolidado!$E6)</f>
        <v/>
      </c>
      <c r="E6" s="32" t="str">
        <f>IF($B6="","",Consolidado!$J6)</f>
        <v/>
      </c>
      <c r="G6" s="40"/>
      <c r="H6" s="32"/>
      <c r="I6" s="35"/>
      <c r="J6" s="35"/>
      <c r="K6" s="35"/>
      <c r="L6" s="29"/>
      <c r="M6" s="35"/>
    </row>
    <row r="7" ht="14.25" customHeight="1">
      <c r="A7" s="32" t="str">
        <f t="shared" si="1"/>
        <v/>
      </c>
      <c r="D7" s="39" t="str">
        <f>IF($B7="","",Consolidado!$E7)</f>
        <v/>
      </c>
      <c r="E7" s="32" t="str">
        <f>IF($B7="","",Consolidado!$J7)</f>
        <v/>
      </c>
      <c r="G7" s="40"/>
      <c r="H7" s="32"/>
      <c r="I7" s="35"/>
      <c r="J7" s="35"/>
      <c r="K7" s="35"/>
      <c r="L7" s="29"/>
      <c r="M7" s="35"/>
    </row>
    <row r="8" ht="14.25" customHeight="1">
      <c r="A8" s="32" t="str">
        <f t="shared" si="1"/>
        <v/>
      </c>
      <c r="D8" s="39" t="str">
        <f>IF($B8="","",Consolidado!$E8)</f>
        <v/>
      </c>
      <c r="E8" s="32" t="str">
        <f>IF($B8="","",Consolidado!$J8)</f>
        <v/>
      </c>
      <c r="G8" s="40"/>
      <c r="H8" s="32"/>
      <c r="I8" s="35"/>
      <c r="J8" s="35"/>
      <c r="K8" s="35"/>
      <c r="L8" s="29"/>
      <c r="M8" s="35"/>
    </row>
    <row r="9" ht="14.25" customHeight="1">
      <c r="A9" s="32" t="str">
        <f t="shared" si="1"/>
        <v/>
      </c>
      <c r="D9" s="39" t="str">
        <f>IF($B9="","",Consolidado!$E9)</f>
        <v/>
      </c>
      <c r="E9" s="32" t="str">
        <f>IF($B9="","",Consolidado!$J9)</f>
        <v/>
      </c>
      <c r="G9" s="40"/>
      <c r="H9" s="32"/>
      <c r="I9" s="35"/>
      <c r="J9" s="35"/>
      <c r="K9" s="35"/>
      <c r="L9" s="29"/>
      <c r="M9" s="35"/>
    </row>
    <row r="10" ht="14.25" customHeight="1">
      <c r="A10" s="32" t="str">
        <f t="shared" si="1"/>
        <v/>
      </c>
      <c r="D10" s="39" t="str">
        <f>IF($B10="","",Consolidado!$E10)</f>
        <v/>
      </c>
      <c r="E10" s="32" t="str">
        <f>IF($B10="","",Consolidado!$J10)</f>
        <v/>
      </c>
      <c r="G10" s="40"/>
      <c r="H10" s="32"/>
      <c r="I10" s="35"/>
      <c r="J10" s="35"/>
      <c r="K10" s="35"/>
      <c r="L10" s="29"/>
      <c r="M10" s="35"/>
    </row>
    <row r="11" ht="14.25" customHeight="1">
      <c r="A11" s="32" t="str">
        <f t="shared" si="1"/>
        <v/>
      </c>
      <c r="D11" s="39" t="str">
        <f>IF($B11="","",Consolidado!$E11)</f>
        <v/>
      </c>
      <c r="E11" s="32" t="str">
        <f>IF($B11="","",Consolidado!$J11)</f>
        <v/>
      </c>
      <c r="G11" s="40"/>
      <c r="H11" s="32"/>
      <c r="I11" s="35"/>
      <c r="J11" s="35"/>
      <c r="K11" s="35"/>
      <c r="L11" s="29"/>
      <c r="M11" s="35"/>
    </row>
    <row r="12" ht="14.25" customHeight="1">
      <c r="A12" s="32" t="str">
        <f t="shared" si="1"/>
        <v/>
      </c>
      <c r="D12" s="39" t="str">
        <f>IF($B12="","",Consolidado!$E12)</f>
        <v/>
      </c>
      <c r="E12" s="32" t="str">
        <f>IF($B12="","",Consolidado!$J12)</f>
        <v/>
      </c>
      <c r="G12" s="40"/>
      <c r="H12" s="32"/>
      <c r="I12" s="35"/>
      <c r="J12" s="35"/>
      <c r="K12" s="35"/>
      <c r="L12" s="29"/>
      <c r="M12" s="35"/>
    </row>
    <row r="13" ht="14.25" customHeight="1">
      <c r="A13" s="32" t="str">
        <f t="shared" si="1"/>
        <v/>
      </c>
      <c r="D13" s="39" t="str">
        <f>IF($B13="","",Consolidado!$E13)</f>
        <v/>
      </c>
      <c r="E13" s="32" t="str">
        <f>IF($B13="","",Consolidado!$J13)</f>
        <v/>
      </c>
      <c r="G13" s="40"/>
      <c r="H13" s="32"/>
      <c r="I13" s="35"/>
      <c r="J13" s="35"/>
      <c r="K13" s="35"/>
      <c r="L13" s="29"/>
      <c r="M13" s="35"/>
    </row>
    <row r="14" ht="14.25" customHeight="1">
      <c r="A14" s="32" t="str">
        <f t="shared" si="1"/>
        <v/>
      </c>
      <c r="D14" s="39" t="str">
        <f>IF($B14="","",Consolidado!$E14)</f>
        <v/>
      </c>
      <c r="E14" s="32" t="str">
        <f>IF($B14="","",Consolidado!$J14)</f>
        <v/>
      </c>
      <c r="G14" s="40"/>
      <c r="H14" s="32"/>
      <c r="I14" s="35"/>
      <c r="J14" s="35"/>
      <c r="K14" s="35"/>
      <c r="L14" s="29"/>
      <c r="M14" s="35"/>
    </row>
    <row r="15" ht="14.25" customHeight="1">
      <c r="A15" s="32" t="str">
        <f t="shared" si="1"/>
        <v/>
      </c>
      <c r="D15" s="39" t="str">
        <f>IF($B15="","",Consolidado!$E15)</f>
        <v/>
      </c>
      <c r="E15" s="32" t="str">
        <f>IF($B15="","",Consolidado!$J15)</f>
        <v/>
      </c>
      <c r="G15" s="40"/>
      <c r="H15" s="32"/>
      <c r="I15" s="35"/>
      <c r="J15" s="35"/>
      <c r="K15" s="35"/>
      <c r="L15" s="29"/>
      <c r="M15" s="35"/>
    </row>
    <row r="16" ht="14.25" customHeight="1">
      <c r="A16" s="32" t="str">
        <f t="shared" si="1"/>
        <v/>
      </c>
      <c r="D16" s="39" t="str">
        <f>IF($B16="","",Consolidado!$E16)</f>
        <v/>
      </c>
      <c r="E16" s="32" t="str">
        <f>IF($B16="","",Consolidado!$J16)</f>
        <v/>
      </c>
      <c r="G16" s="40"/>
      <c r="H16" s="32"/>
      <c r="I16" s="35"/>
      <c r="J16" s="35"/>
      <c r="K16" s="35"/>
      <c r="L16" s="29"/>
      <c r="M16" s="35"/>
    </row>
    <row r="17" ht="14.25" customHeight="1">
      <c r="A17" s="32" t="str">
        <f t="shared" si="1"/>
        <v/>
      </c>
      <c r="D17" s="39" t="str">
        <f>IF($B17="","",Consolidado!$E17)</f>
        <v/>
      </c>
      <c r="E17" s="32" t="str">
        <f>IF($B17="","",Consolidado!$J17)</f>
        <v/>
      </c>
      <c r="G17" s="40"/>
      <c r="H17" s="32"/>
      <c r="I17" s="35"/>
      <c r="J17" s="35"/>
      <c r="K17" s="35"/>
      <c r="L17" s="29"/>
      <c r="M17" s="35"/>
    </row>
    <row r="18" ht="14.25" customHeight="1">
      <c r="A18" s="32" t="str">
        <f t="shared" si="1"/>
        <v/>
      </c>
      <c r="D18" s="39" t="str">
        <f>IF($B18="","",Consolidado!$E18)</f>
        <v/>
      </c>
      <c r="E18" s="32" t="str">
        <f>IF($B18="","",Consolidado!$J18)</f>
        <v/>
      </c>
      <c r="G18" s="40"/>
      <c r="H18" s="32"/>
      <c r="I18" s="35"/>
      <c r="J18" s="35"/>
      <c r="K18" s="35"/>
      <c r="L18" s="29"/>
      <c r="M18" s="35"/>
    </row>
    <row r="19" ht="14.25" customHeight="1">
      <c r="A19" s="32" t="str">
        <f t="shared" si="1"/>
        <v/>
      </c>
      <c r="D19" s="39" t="str">
        <f>IF($B19="","",Consolidado!$E19)</f>
        <v/>
      </c>
      <c r="E19" s="32" t="str">
        <f>IF($B19="","",Consolidado!$J19)</f>
        <v/>
      </c>
      <c r="G19" s="40"/>
      <c r="H19" s="32"/>
      <c r="I19" s="35"/>
      <c r="J19" s="35"/>
      <c r="K19" s="35"/>
      <c r="L19" s="29"/>
      <c r="M19" s="35"/>
    </row>
    <row r="20" ht="14.25" customHeight="1">
      <c r="A20" s="32" t="str">
        <f t="shared" si="1"/>
        <v/>
      </c>
      <c r="D20" s="39" t="str">
        <f>IF($B20="","",Consolidado!$E20)</f>
        <v/>
      </c>
      <c r="E20" s="32" t="str">
        <f>IF($B20="","",Consolidado!$J20)</f>
        <v/>
      </c>
      <c r="G20" s="40"/>
      <c r="H20" s="32"/>
      <c r="I20" s="35"/>
      <c r="J20" s="35"/>
      <c r="K20" s="35"/>
      <c r="L20" s="29"/>
      <c r="M20" s="35"/>
    </row>
    <row r="21" ht="14.25" customHeight="1">
      <c r="A21" s="32" t="str">
        <f t="shared" si="1"/>
        <v/>
      </c>
      <c r="D21" s="39" t="str">
        <f>IF($B21="","",Consolidado!$E21)</f>
        <v/>
      </c>
      <c r="E21" s="32" t="str">
        <f>IF($B21="","",Consolidado!$J21)</f>
        <v/>
      </c>
      <c r="G21" s="40"/>
      <c r="H21" s="32"/>
      <c r="I21" s="35"/>
      <c r="J21" s="35"/>
      <c r="K21" s="35"/>
      <c r="L21" s="29"/>
      <c r="M21" s="35"/>
    </row>
    <row r="22" ht="14.25" customHeight="1">
      <c r="A22" s="32" t="str">
        <f t="shared" si="1"/>
        <v/>
      </c>
      <c r="D22" s="39" t="str">
        <f>IF($B22="","",Consolidado!$E22)</f>
        <v/>
      </c>
      <c r="E22" s="32" t="str">
        <f>IF($B22="","",Consolidado!$J22)</f>
        <v/>
      </c>
      <c r="G22" s="40"/>
      <c r="H22" s="32"/>
      <c r="I22" s="35"/>
      <c r="J22" s="35"/>
      <c r="K22" s="35"/>
      <c r="L22" s="29"/>
      <c r="M22" s="35"/>
    </row>
    <row r="23" ht="14.25" customHeight="1">
      <c r="A23" s="32" t="str">
        <f t="shared" si="1"/>
        <v/>
      </c>
      <c r="D23" s="39" t="str">
        <f>IF($B23="","",Consolidado!$E23)</f>
        <v/>
      </c>
      <c r="E23" s="32" t="str">
        <f>IF($B23="","",Consolidado!$J23)</f>
        <v/>
      </c>
      <c r="G23" s="40"/>
      <c r="H23" s="32"/>
      <c r="I23" s="35"/>
      <c r="J23" s="35"/>
      <c r="K23" s="35"/>
      <c r="L23" s="29"/>
      <c r="M23" s="35"/>
    </row>
    <row r="24" ht="14.25" customHeight="1">
      <c r="A24" s="32" t="str">
        <f t="shared" si="1"/>
        <v/>
      </c>
      <c r="D24" s="39" t="str">
        <f>IF($B24="","",Consolidado!$E24)</f>
        <v/>
      </c>
      <c r="E24" s="32" t="str">
        <f>IF($B24="","",Consolidado!$J24)</f>
        <v/>
      </c>
      <c r="G24" s="40"/>
      <c r="H24" s="32"/>
      <c r="I24" s="35"/>
      <c r="J24" s="35"/>
      <c r="K24" s="35"/>
      <c r="L24" s="29"/>
      <c r="M24" s="35"/>
    </row>
    <row r="25" ht="14.25" customHeight="1">
      <c r="A25" s="32" t="str">
        <f t="shared" si="1"/>
        <v/>
      </c>
      <c r="D25" s="39" t="str">
        <f>IF($B25="","",Consolidado!$E25)</f>
        <v/>
      </c>
      <c r="E25" s="32" t="str">
        <f>IF($B25="","",Consolidado!$J25)</f>
        <v/>
      </c>
      <c r="G25" s="40"/>
      <c r="H25" s="32"/>
      <c r="I25" s="35"/>
      <c r="J25" s="35"/>
      <c r="K25" s="35"/>
      <c r="L25" s="29"/>
      <c r="M25" s="35"/>
    </row>
    <row r="26" ht="14.25" customHeight="1">
      <c r="A26" s="32" t="str">
        <f t="shared" si="1"/>
        <v/>
      </c>
      <c r="B26" s="29" t="str">
        <f>IF(Consolidado!$B26="","",Consolidado!$B26)</f>
        <v/>
      </c>
      <c r="C26" s="39"/>
      <c r="D26" s="39" t="str">
        <f>IF($B26="","",Consolidado!$E26)</f>
        <v/>
      </c>
      <c r="E26" s="32" t="str">
        <f>IF($B26="","",Consolidado!$J26)</f>
        <v/>
      </c>
      <c r="G26" s="40"/>
      <c r="H26" s="32"/>
      <c r="I26" s="35"/>
      <c r="J26" s="35"/>
      <c r="K26" s="35"/>
      <c r="L26" s="29"/>
      <c r="M26" s="35"/>
    </row>
    <row r="27" ht="14.25" customHeight="1">
      <c r="A27" s="32" t="str">
        <f t="shared" si="1"/>
        <v/>
      </c>
      <c r="B27" s="29" t="str">
        <f>IF(Consolidado!$B27="","",Consolidado!$B27)</f>
        <v/>
      </c>
      <c r="C27" s="39"/>
      <c r="D27" s="39" t="str">
        <f>IF($B27="","",Consolidado!$E27)</f>
        <v/>
      </c>
      <c r="E27" s="32" t="str">
        <f>IF($B27="","",Consolidado!$J27)</f>
        <v/>
      </c>
      <c r="G27" s="40"/>
      <c r="H27" s="32"/>
      <c r="I27" s="35"/>
      <c r="J27" s="35"/>
      <c r="K27" s="35"/>
      <c r="L27" s="29"/>
      <c r="M27" s="35"/>
    </row>
    <row r="28" ht="14.25" customHeight="1">
      <c r="A28" s="32" t="str">
        <f t="shared" si="1"/>
        <v/>
      </c>
      <c r="B28" s="29" t="str">
        <f>IF(Consolidado!$B28="","",Consolidado!$B28)</f>
        <v/>
      </c>
      <c r="C28" s="39"/>
      <c r="D28" s="39" t="str">
        <f>IF($B28="","",Consolidado!$E28)</f>
        <v/>
      </c>
      <c r="E28" s="32" t="str">
        <f>IF($B28="","",Consolidado!$J28)</f>
        <v/>
      </c>
      <c r="G28" s="40"/>
      <c r="H28" s="32"/>
      <c r="I28" s="35"/>
      <c r="J28" s="35"/>
      <c r="K28" s="35"/>
      <c r="L28" s="29"/>
      <c r="M28" s="35"/>
    </row>
    <row r="29" ht="14.25" customHeight="1">
      <c r="A29" s="32" t="str">
        <f t="shared" si="1"/>
        <v/>
      </c>
      <c r="B29" s="29" t="str">
        <f>IF(Consolidado!$B29="","",Consolidado!$B29)</f>
        <v/>
      </c>
      <c r="C29" s="39"/>
      <c r="D29" s="39" t="str">
        <f>IF($B29="","",Consolidado!$E29)</f>
        <v/>
      </c>
      <c r="E29" s="32" t="str">
        <f>IF($B29="","",Consolidado!$J29)</f>
        <v/>
      </c>
      <c r="G29" s="40"/>
      <c r="H29" s="32"/>
      <c r="I29" s="35"/>
      <c r="J29" s="35"/>
      <c r="K29" s="35"/>
      <c r="L29" s="29"/>
      <c r="M29" s="35"/>
    </row>
    <row r="30" ht="14.25" customHeight="1">
      <c r="A30" s="32" t="str">
        <f t="shared" si="1"/>
        <v/>
      </c>
      <c r="B30" s="29" t="str">
        <f>IF(Consolidado!$B30="","",Consolidado!$B30)</f>
        <v/>
      </c>
      <c r="C30" s="39"/>
      <c r="D30" s="39" t="str">
        <f>IF($B30="","",Consolidado!$E30)</f>
        <v/>
      </c>
      <c r="E30" s="32" t="str">
        <f>IF($B30="","",Consolidado!$J30)</f>
        <v/>
      </c>
      <c r="G30" s="40"/>
      <c r="H30" s="32"/>
      <c r="I30" s="35"/>
      <c r="J30" s="35"/>
      <c r="K30" s="35"/>
      <c r="L30" s="29"/>
      <c r="M30" s="35"/>
    </row>
    <row r="31" ht="14.25" customHeight="1">
      <c r="A31" s="32" t="str">
        <f t="shared" si="1"/>
        <v/>
      </c>
      <c r="B31" s="29" t="str">
        <f>IF(Consolidado!$B31="","",Consolidado!$B31)</f>
        <v/>
      </c>
      <c r="C31" s="39"/>
      <c r="D31" s="39" t="str">
        <f>IF($B31="","",Consolidado!$E31)</f>
        <v/>
      </c>
      <c r="E31" s="32" t="str">
        <f>IF($B31="","",Consolidado!$J31)</f>
        <v/>
      </c>
      <c r="G31" s="40"/>
      <c r="H31" s="32"/>
      <c r="I31" s="35"/>
      <c r="J31" s="35"/>
      <c r="K31" s="35"/>
      <c r="L31" s="29"/>
      <c r="M31" s="35"/>
    </row>
    <row r="32" ht="14.25" customHeight="1">
      <c r="A32" s="32" t="str">
        <f t="shared" si="1"/>
        <v/>
      </c>
      <c r="B32" s="29" t="str">
        <f>IF(Consolidado!$B32="","",Consolidado!$B32)</f>
        <v/>
      </c>
      <c r="C32" s="39"/>
      <c r="D32" s="39" t="str">
        <f>IF($B32="","",Consolidado!$E32)</f>
        <v/>
      </c>
      <c r="E32" s="32" t="str">
        <f>IF($B32="","",Consolidado!$J32)</f>
        <v/>
      </c>
      <c r="G32" s="40"/>
      <c r="H32" s="32"/>
      <c r="I32" s="35"/>
      <c r="J32" s="35"/>
      <c r="K32" s="35"/>
      <c r="L32" s="29"/>
      <c r="M32" s="35"/>
    </row>
    <row r="33" ht="14.25" customHeight="1">
      <c r="A33" s="32" t="str">
        <f t="shared" si="1"/>
        <v/>
      </c>
      <c r="B33" s="29" t="str">
        <f>IF(Consolidado!$B33="","",Consolidado!$B33)</f>
        <v/>
      </c>
      <c r="C33" s="39"/>
      <c r="D33" s="39" t="str">
        <f>IF($B33="","",Consolidado!$E33)</f>
        <v/>
      </c>
      <c r="E33" s="32" t="str">
        <f>IF($B33="","",Consolidado!$J33)</f>
        <v/>
      </c>
      <c r="G33" s="40"/>
      <c r="H33" s="32"/>
      <c r="I33" s="35"/>
      <c r="J33" s="35"/>
      <c r="K33" s="35"/>
      <c r="L33" s="29"/>
      <c r="M33" s="35"/>
    </row>
    <row r="34" ht="14.25" customHeight="1">
      <c r="A34" s="32" t="str">
        <f t="shared" si="1"/>
        <v/>
      </c>
      <c r="B34" s="29" t="str">
        <f>IF(Consolidado!$B34="","",Consolidado!$B34)</f>
        <v/>
      </c>
      <c r="C34" s="39"/>
      <c r="D34" s="39" t="str">
        <f>IF($B34="","",Consolidado!$E34)</f>
        <v/>
      </c>
      <c r="E34" s="32" t="str">
        <f>IF($B34="","",Consolidado!$J34)</f>
        <v/>
      </c>
      <c r="G34" s="40"/>
      <c r="H34" s="32"/>
      <c r="I34" s="35"/>
      <c r="J34" s="35"/>
      <c r="K34" s="35"/>
      <c r="L34" s="29"/>
      <c r="M34" s="35"/>
    </row>
    <row r="35" ht="14.25" customHeight="1">
      <c r="A35" s="32" t="str">
        <f t="shared" si="1"/>
        <v/>
      </c>
      <c r="B35" s="29" t="str">
        <f>IF(Consolidado!$B35="","",Consolidado!$B35)</f>
        <v/>
      </c>
      <c r="C35" s="39"/>
      <c r="D35" s="39" t="str">
        <f>IF($B35="","",Consolidado!$E35)</f>
        <v/>
      </c>
      <c r="E35" s="32" t="str">
        <f>IF($B35="","",Consolidado!$J35)</f>
        <v/>
      </c>
      <c r="G35" s="40"/>
      <c r="H35" s="32"/>
      <c r="I35" s="35"/>
      <c r="J35" s="35"/>
      <c r="K35" s="35"/>
      <c r="L35" s="29"/>
      <c r="M35" s="35"/>
    </row>
    <row r="36" ht="14.25" customHeight="1">
      <c r="A36" s="32" t="str">
        <f t="shared" si="1"/>
        <v/>
      </c>
      <c r="B36" s="29" t="str">
        <f>IF(Consolidado!$B36="","",Consolidado!$B36)</f>
        <v/>
      </c>
      <c r="C36" s="39"/>
      <c r="D36" s="39" t="str">
        <f>IF($B36="","",Consolidado!$E36)</f>
        <v/>
      </c>
      <c r="E36" s="32" t="str">
        <f>IF($B36="","",Consolidado!$J36)</f>
        <v/>
      </c>
      <c r="G36" s="40"/>
      <c r="H36" s="32"/>
      <c r="I36" s="35"/>
      <c r="J36" s="35"/>
      <c r="K36" s="35"/>
      <c r="L36" s="29"/>
      <c r="M36" s="35"/>
    </row>
    <row r="37" ht="14.25" customHeight="1">
      <c r="A37" s="32" t="str">
        <f t="shared" si="1"/>
        <v/>
      </c>
      <c r="B37" s="29" t="str">
        <f>IF(Consolidado!$B37="","",Consolidado!$B37)</f>
        <v/>
      </c>
      <c r="C37" s="39"/>
      <c r="D37" s="39" t="str">
        <f>IF($B37="","",Consolidado!$E37)</f>
        <v/>
      </c>
      <c r="E37" s="32" t="str">
        <f>IF($B37="","",Consolidado!$J37)</f>
        <v/>
      </c>
      <c r="G37" s="40"/>
      <c r="H37" s="32"/>
      <c r="I37" s="35"/>
      <c r="J37" s="35"/>
      <c r="K37" s="35"/>
      <c r="L37" s="29"/>
      <c r="M37" s="35"/>
    </row>
    <row r="38" ht="14.25" customHeight="1">
      <c r="A38" s="32" t="str">
        <f t="shared" si="1"/>
        <v/>
      </c>
      <c r="B38" s="29" t="str">
        <f>IF(Consolidado!$B38="","",Consolidado!$B38)</f>
        <v/>
      </c>
      <c r="C38" s="39"/>
      <c r="D38" s="39" t="str">
        <f>IF($B38="","",Consolidado!$E38)</f>
        <v/>
      </c>
      <c r="E38" s="32" t="str">
        <f>IF($B38="","",Consolidado!$J38)</f>
        <v/>
      </c>
      <c r="G38" s="40"/>
      <c r="H38" s="32"/>
      <c r="I38" s="35"/>
      <c r="J38" s="35"/>
      <c r="K38" s="35"/>
      <c r="L38" s="29"/>
      <c r="M38" s="35"/>
    </row>
    <row r="39" ht="14.25" customHeight="1">
      <c r="A39" s="32" t="str">
        <f t="shared" si="1"/>
        <v/>
      </c>
      <c r="B39" s="29" t="str">
        <f>IF(Consolidado!$B39="","",Consolidado!$B39)</f>
        <v/>
      </c>
      <c r="C39" s="39"/>
      <c r="D39" s="39" t="str">
        <f>IF($B39="","",Consolidado!$E39)</f>
        <v/>
      </c>
      <c r="E39" s="32" t="str">
        <f>IF($B39="","",Consolidado!$J39)</f>
        <v/>
      </c>
      <c r="G39" s="40"/>
      <c r="H39" s="32"/>
      <c r="I39" s="35"/>
      <c r="J39" s="35"/>
      <c r="K39" s="35"/>
      <c r="L39" s="29"/>
      <c r="M39" s="35"/>
    </row>
    <row r="40" ht="14.25" customHeight="1">
      <c r="A40" s="32" t="str">
        <f t="shared" si="1"/>
        <v/>
      </c>
      <c r="B40" s="29" t="str">
        <f>IF(Consolidado!$B40="","",Consolidado!$B40)</f>
        <v/>
      </c>
      <c r="C40" s="39"/>
      <c r="D40" s="39" t="str">
        <f>IF($B40="","",Consolidado!$E40)</f>
        <v/>
      </c>
      <c r="E40" s="32" t="str">
        <f>IF($B40="","",Consolidado!$J40)</f>
        <v/>
      </c>
      <c r="G40" s="40"/>
      <c r="H40" s="32"/>
      <c r="I40" s="35"/>
      <c r="J40" s="35"/>
      <c r="K40" s="35"/>
      <c r="L40" s="29"/>
      <c r="M40" s="35"/>
    </row>
    <row r="41" ht="14.25" customHeight="1">
      <c r="A41" s="32" t="str">
        <f t="shared" si="1"/>
        <v/>
      </c>
      <c r="B41" s="29" t="str">
        <f>IF(Consolidado!$B41="","",Consolidado!$B41)</f>
        <v/>
      </c>
      <c r="C41" s="39"/>
      <c r="D41" s="39" t="str">
        <f>IF($B41="","",Consolidado!$E41)</f>
        <v/>
      </c>
      <c r="E41" s="32" t="str">
        <f>IF($B41="","",Consolidado!$J41)</f>
        <v/>
      </c>
      <c r="G41" s="40"/>
      <c r="H41" s="32"/>
      <c r="I41" s="35"/>
      <c r="J41" s="35"/>
      <c r="K41" s="35"/>
      <c r="L41" s="29"/>
      <c r="M41" s="35"/>
    </row>
    <row r="42" ht="14.25" customHeight="1">
      <c r="A42" s="32" t="str">
        <f t="shared" si="1"/>
        <v/>
      </c>
      <c r="B42" s="29" t="str">
        <f>IF(Consolidado!$B42="","",Consolidado!$B42)</f>
        <v/>
      </c>
      <c r="C42" s="39"/>
      <c r="D42" s="39" t="str">
        <f>IF($B42="","",Consolidado!$E42)</f>
        <v/>
      </c>
      <c r="E42" s="32" t="str">
        <f>IF($B42="","",Consolidado!$J42)</f>
        <v/>
      </c>
      <c r="G42" s="40"/>
      <c r="H42" s="32"/>
      <c r="I42" s="35"/>
      <c r="J42" s="35"/>
      <c r="K42" s="35"/>
      <c r="L42" s="29"/>
      <c r="M42" s="35"/>
    </row>
    <row r="43" ht="14.25" customHeight="1">
      <c r="A43" s="32" t="str">
        <f t="shared" si="1"/>
        <v/>
      </c>
      <c r="B43" s="29" t="str">
        <f>IF(Consolidado!$B43="","",Consolidado!$B43)</f>
        <v/>
      </c>
      <c r="C43" s="39"/>
      <c r="D43" s="39" t="str">
        <f>IF($B43="","",Consolidado!$E43)</f>
        <v/>
      </c>
      <c r="E43" s="32" t="str">
        <f>IF($B43="","",Consolidado!$J43)</f>
        <v/>
      </c>
      <c r="G43" s="40"/>
      <c r="H43" s="32"/>
      <c r="I43" s="35"/>
      <c r="J43" s="35"/>
      <c r="K43" s="35"/>
      <c r="L43" s="29"/>
      <c r="M43" s="35"/>
    </row>
    <row r="44" ht="14.25" customHeight="1">
      <c r="A44" s="32" t="str">
        <f t="shared" si="1"/>
        <v/>
      </c>
      <c r="B44" s="29" t="str">
        <f>IF(Consolidado!$B44="","",Consolidado!$B44)</f>
        <v/>
      </c>
      <c r="C44" s="39"/>
      <c r="D44" s="39" t="str">
        <f>IF($B44="","",Consolidado!$E44)</f>
        <v/>
      </c>
      <c r="E44" s="32" t="str">
        <f>IF($B44="","",Consolidado!$J44)</f>
        <v/>
      </c>
      <c r="G44" s="40"/>
      <c r="H44" s="32"/>
      <c r="I44" s="35"/>
      <c r="J44" s="35"/>
      <c r="K44" s="35"/>
      <c r="L44" s="29"/>
      <c r="M44" s="35"/>
    </row>
    <row r="45" ht="14.25" customHeight="1">
      <c r="A45" s="32" t="str">
        <f t="shared" si="1"/>
        <v/>
      </c>
      <c r="B45" s="29" t="str">
        <f>IF(Consolidado!$B45="","",Consolidado!$B45)</f>
        <v/>
      </c>
      <c r="C45" s="39"/>
      <c r="D45" s="39" t="str">
        <f>IF($B45="","",Consolidado!$E45)</f>
        <v/>
      </c>
      <c r="E45" s="32" t="str">
        <f>IF($B45="","",Consolidado!$J45)</f>
        <v/>
      </c>
      <c r="G45" s="40"/>
      <c r="H45" s="32"/>
      <c r="I45" s="35"/>
      <c r="J45" s="35"/>
      <c r="K45" s="35"/>
      <c r="L45" s="29"/>
      <c r="M45" s="35"/>
    </row>
    <row r="46" ht="14.25" customHeight="1">
      <c r="A46" s="32" t="str">
        <f t="shared" si="1"/>
        <v/>
      </c>
      <c r="B46" s="29" t="str">
        <f>IF(Consolidado!$B46="","",Consolidado!$B46)</f>
        <v/>
      </c>
      <c r="C46" s="39"/>
      <c r="D46" s="39" t="str">
        <f>IF($B46="","",Consolidado!$E46)</f>
        <v/>
      </c>
      <c r="E46" s="32" t="str">
        <f>IF($B46="","",Consolidado!$J46)</f>
        <v/>
      </c>
      <c r="G46" s="40"/>
      <c r="H46" s="32"/>
      <c r="I46" s="35"/>
      <c r="J46" s="35"/>
      <c r="K46" s="35"/>
      <c r="L46" s="29"/>
      <c r="M46" s="35"/>
    </row>
    <row r="47" ht="14.25" customHeight="1">
      <c r="A47" s="32" t="str">
        <f t="shared" si="1"/>
        <v/>
      </c>
      <c r="B47" s="29" t="str">
        <f>IF(Consolidado!$B47="","",Consolidado!$B47)</f>
        <v/>
      </c>
      <c r="C47" s="39"/>
      <c r="D47" s="39" t="str">
        <f>IF($B47="","",Consolidado!$E47)</f>
        <v/>
      </c>
      <c r="E47" s="32" t="str">
        <f>IF($B47="","",Consolidado!$J47)</f>
        <v/>
      </c>
      <c r="G47" s="40"/>
      <c r="H47" s="32"/>
      <c r="I47" s="35"/>
      <c r="J47" s="35"/>
      <c r="K47" s="35"/>
      <c r="L47" s="29"/>
      <c r="M47" s="35"/>
    </row>
    <row r="48" ht="14.25" customHeight="1">
      <c r="A48" s="32" t="str">
        <f t="shared" si="1"/>
        <v/>
      </c>
      <c r="B48" s="29" t="str">
        <f>IF(Consolidado!$B48="","",Consolidado!$B48)</f>
        <v/>
      </c>
      <c r="C48" s="39"/>
      <c r="D48" s="39" t="str">
        <f>IF($B48="","",Consolidado!$E48)</f>
        <v/>
      </c>
      <c r="E48" s="32" t="str">
        <f>IF($B48="","",Consolidado!$J48)</f>
        <v/>
      </c>
      <c r="G48" s="40"/>
      <c r="H48" s="32"/>
      <c r="I48" s="35"/>
      <c r="J48" s="35"/>
      <c r="K48" s="35"/>
      <c r="L48" s="29"/>
      <c r="M48" s="35"/>
    </row>
    <row r="49" ht="14.25" customHeight="1">
      <c r="A49" s="32" t="str">
        <f t="shared" si="1"/>
        <v/>
      </c>
      <c r="B49" s="29" t="str">
        <f>IF(Consolidado!$B49="","",Consolidado!$B49)</f>
        <v/>
      </c>
      <c r="C49" s="39"/>
      <c r="D49" s="39" t="str">
        <f>IF($B49="","",Consolidado!$E49)</f>
        <v/>
      </c>
      <c r="E49" s="32" t="str">
        <f>IF($B49="","",Consolidado!$J49)</f>
        <v/>
      </c>
      <c r="G49" s="40"/>
      <c r="H49" s="32"/>
      <c r="I49" s="35"/>
      <c r="J49" s="35"/>
      <c r="K49" s="35"/>
      <c r="L49" s="29"/>
      <c r="M49" s="35"/>
    </row>
    <row r="50" ht="14.25" customHeight="1">
      <c r="A50" s="32" t="str">
        <f t="shared" si="1"/>
        <v/>
      </c>
      <c r="B50" s="29" t="str">
        <f>IF(Consolidado!$B50="","",Consolidado!$B50)</f>
        <v/>
      </c>
      <c r="C50" s="39"/>
      <c r="D50" s="39" t="str">
        <f>IF($B50="","",Consolidado!$E50)</f>
        <v/>
      </c>
      <c r="E50" s="32" t="str">
        <f>IF($B50="","",Consolidado!$J50)</f>
        <v/>
      </c>
      <c r="G50" s="40"/>
      <c r="H50" s="32"/>
      <c r="I50" s="35"/>
      <c r="J50" s="35"/>
      <c r="K50" s="35"/>
      <c r="L50" s="29"/>
      <c r="M50" s="35"/>
    </row>
    <row r="51" ht="14.25" customHeight="1">
      <c r="A51" s="32" t="str">
        <f t="shared" si="1"/>
        <v/>
      </c>
      <c r="B51" s="29" t="str">
        <f>IF(Consolidado!$B51="","",Consolidado!$B51)</f>
        <v/>
      </c>
      <c r="C51" s="39"/>
      <c r="D51" s="39" t="str">
        <f>IF($B51="","",Consolidado!$E51)</f>
        <v/>
      </c>
      <c r="E51" s="32" t="str">
        <f>IF($B51="","",Consolidado!$J51)</f>
        <v/>
      </c>
      <c r="G51" s="40"/>
      <c r="H51" s="32"/>
      <c r="I51" s="35"/>
      <c r="J51" s="35"/>
      <c r="K51" s="35"/>
      <c r="L51" s="29"/>
      <c r="M51" s="35"/>
    </row>
    <row r="52" ht="14.25" customHeight="1">
      <c r="A52" s="32" t="str">
        <f t="shared" si="1"/>
        <v/>
      </c>
      <c r="B52" s="29" t="str">
        <f>IF(Consolidado!$B52="","",Consolidado!$B52)</f>
        <v/>
      </c>
      <c r="C52" s="39"/>
      <c r="D52" s="39" t="str">
        <f>IF($B52="","",Consolidado!$E52)</f>
        <v/>
      </c>
      <c r="E52" s="32" t="str">
        <f>IF($B52="","",Consolidado!$J52)</f>
        <v/>
      </c>
      <c r="G52" s="40"/>
      <c r="H52" s="32"/>
      <c r="I52" s="35"/>
      <c r="J52" s="35"/>
      <c r="K52" s="35"/>
      <c r="L52" s="29"/>
      <c r="M52" s="35"/>
    </row>
    <row r="53" ht="14.25" customHeight="1">
      <c r="A53" s="32" t="str">
        <f t="shared" si="1"/>
        <v/>
      </c>
      <c r="B53" s="29" t="str">
        <f>IF(Consolidado!$B53="","",Consolidado!$B53)</f>
        <v/>
      </c>
      <c r="C53" s="39"/>
      <c r="D53" s="39" t="str">
        <f>IF($B53="","",Consolidado!$E53)</f>
        <v/>
      </c>
      <c r="E53" s="32" t="str">
        <f>IF($B53="","",Consolidado!$J53)</f>
        <v/>
      </c>
      <c r="G53" s="40"/>
      <c r="H53" s="32"/>
      <c r="I53" s="35"/>
      <c r="J53" s="35"/>
      <c r="K53" s="35"/>
      <c r="L53" s="29"/>
      <c r="M53" s="35"/>
    </row>
    <row r="54" ht="14.25" customHeight="1">
      <c r="A54" s="32" t="str">
        <f t="shared" si="1"/>
        <v/>
      </c>
      <c r="B54" s="29" t="str">
        <f>IF(Consolidado!$B54="","",Consolidado!$B54)</f>
        <v/>
      </c>
      <c r="C54" s="39"/>
      <c r="D54" s="39" t="str">
        <f>IF($B54="","",Consolidado!$E54)</f>
        <v/>
      </c>
      <c r="E54" s="32" t="str">
        <f>IF($B54="","",Consolidado!$J54)</f>
        <v/>
      </c>
      <c r="G54" s="40"/>
      <c r="H54" s="32"/>
      <c r="I54" s="35"/>
      <c r="J54" s="35"/>
      <c r="K54" s="35"/>
      <c r="L54" s="29"/>
      <c r="M54" s="35"/>
    </row>
    <row r="55" ht="14.25" customHeight="1">
      <c r="A55" s="32" t="str">
        <f t="shared" si="1"/>
        <v/>
      </c>
      <c r="B55" s="29" t="str">
        <f>IF(Consolidado!$B55="","",Consolidado!$B55)</f>
        <v/>
      </c>
      <c r="C55" s="39"/>
      <c r="D55" s="39" t="str">
        <f>IF($B55="","",Consolidado!$E55)</f>
        <v/>
      </c>
      <c r="E55" s="32" t="str">
        <f>IF($B55="","",Consolidado!$J55)</f>
        <v/>
      </c>
      <c r="G55" s="40"/>
      <c r="H55" s="32"/>
      <c r="I55" s="35"/>
      <c r="J55" s="35"/>
      <c r="K55" s="35"/>
      <c r="L55" s="29"/>
      <c r="M55" s="35"/>
    </row>
    <row r="56" ht="14.25" customHeight="1">
      <c r="A56" s="32" t="str">
        <f t="shared" si="1"/>
        <v/>
      </c>
      <c r="B56" s="29" t="str">
        <f>IF(Consolidado!$B56="","",Consolidado!$B56)</f>
        <v/>
      </c>
      <c r="C56" s="39"/>
      <c r="D56" s="39" t="str">
        <f>IF($B56="","",Consolidado!$E56)</f>
        <v/>
      </c>
      <c r="E56" s="32" t="str">
        <f>IF($B56="","",Consolidado!$J56)</f>
        <v/>
      </c>
      <c r="G56" s="40"/>
      <c r="H56" s="32"/>
      <c r="I56" s="35"/>
      <c r="J56" s="35"/>
      <c r="K56" s="35"/>
      <c r="L56" s="29"/>
      <c r="M56" s="35"/>
    </row>
    <row r="57" ht="14.25" customHeight="1">
      <c r="A57" s="32" t="str">
        <f t="shared" si="1"/>
        <v/>
      </c>
      <c r="B57" s="29" t="str">
        <f>IF(Consolidado!$B57="","",Consolidado!$B57)</f>
        <v/>
      </c>
      <c r="C57" s="39"/>
      <c r="D57" s="39" t="str">
        <f>IF($B57="","",Consolidado!$E57)</f>
        <v/>
      </c>
      <c r="E57" s="32" t="str">
        <f>IF($B57="","",Consolidado!$J57)</f>
        <v/>
      </c>
      <c r="G57" s="40"/>
      <c r="H57" s="32"/>
      <c r="I57" s="35"/>
      <c r="J57" s="35"/>
      <c r="K57" s="35"/>
      <c r="L57" s="29"/>
      <c r="M57" s="35"/>
    </row>
    <row r="58" ht="14.25" customHeight="1">
      <c r="A58" s="32" t="str">
        <f t="shared" si="1"/>
        <v/>
      </c>
      <c r="B58" s="29" t="str">
        <f>IF(Consolidado!$B58="","",Consolidado!$B58)</f>
        <v/>
      </c>
      <c r="C58" s="39"/>
      <c r="D58" s="39" t="str">
        <f>IF($B58="","",Consolidado!$E58)</f>
        <v/>
      </c>
      <c r="E58" s="32" t="str">
        <f>IF($B58="","",Consolidado!$J58)</f>
        <v/>
      </c>
      <c r="G58" s="40"/>
      <c r="H58" s="32"/>
      <c r="I58" s="35"/>
      <c r="J58" s="35"/>
      <c r="K58" s="35"/>
      <c r="L58" s="29"/>
      <c r="M58" s="35"/>
    </row>
    <row r="59" ht="14.25" customHeight="1">
      <c r="A59" s="32" t="str">
        <f t="shared" si="1"/>
        <v/>
      </c>
      <c r="B59" s="29" t="str">
        <f>IF(Consolidado!$B59="","",Consolidado!$B59)</f>
        <v/>
      </c>
      <c r="C59" s="39"/>
      <c r="D59" s="39" t="str">
        <f>IF($B59="","",Consolidado!$E59)</f>
        <v/>
      </c>
      <c r="E59" s="32" t="str">
        <f>IF($B59="","",Consolidado!$J59)</f>
        <v/>
      </c>
      <c r="G59" s="40"/>
      <c r="H59" s="32"/>
      <c r="I59" s="35"/>
      <c r="J59" s="35"/>
      <c r="K59" s="35"/>
      <c r="L59" s="29"/>
      <c r="M59" s="35"/>
    </row>
    <row r="60" ht="14.25" customHeight="1">
      <c r="A60" s="32" t="str">
        <f t="shared" si="1"/>
        <v/>
      </c>
      <c r="B60" s="29" t="str">
        <f>IF(Consolidado!$B60="","",Consolidado!$B60)</f>
        <v/>
      </c>
      <c r="C60" s="39"/>
      <c r="D60" s="39" t="str">
        <f>IF($B60="","",Consolidado!$E60)</f>
        <v/>
      </c>
      <c r="E60" s="32" t="str">
        <f>IF($B60="","",Consolidado!$J60)</f>
        <v/>
      </c>
      <c r="G60" s="40"/>
      <c r="H60" s="32"/>
      <c r="I60" s="35"/>
      <c r="J60" s="35"/>
      <c r="K60" s="35"/>
      <c r="L60" s="29"/>
      <c r="M60" s="35"/>
    </row>
    <row r="61" ht="14.25" customHeight="1">
      <c r="A61" s="32" t="str">
        <f t="shared" si="1"/>
        <v/>
      </c>
      <c r="B61" s="29" t="str">
        <f>IF(Consolidado!$B61="","",Consolidado!$B61)</f>
        <v/>
      </c>
      <c r="C61" s="39"/>
      <c r="D61" s="39" t="str">
        <f>IF($B61="","",Consolidado!$E61)</f>
        <v/>
      </c>
      <c r="E61" s="32" t="str">
        <f>IF($B61="","",Consolidado!$J61)</f>
        <v/>
      </c>
      <c r="G61" s="40"/>
      <c r="H61" s="32"/>
      <c r="I61" s="35"/>
      <c r="J61" s="35"/>
      <c r="K61" s="35"/>
      <c r="L61" s="29"/>
      <c r="M61" s="35"/>
    </row>
    <row r="62" ht="14.25" customHeight="1">
      <c r="A62" s="32" t="str">
        <f t="shared" si="1"/>
        <v/>
      </c>
      <c r="B62" s="29" t="str">
        <f>IF(Consolidado!$B62="","",Consolidado!$B62)</f>
        <v/>
      </c>
      <c r="C62" s="39"/>
      <c r="D62" s="39" t="str">
        <f>IF($B62="","",Consolidado!$E62)</f>
        <v/>
      </c>
      <c r="E62" s="32" t="str">
        <f>IF($B62="","",Consolidado!$J62)</f>
        <v/>
      </c>
      <c r="G62" s="40"/>
      <c r="H62" s="32"/>
      <c r="I62" s="35"/>
      <c r="J62" s="35"/>
      <c r="K62" s="35"/>
      <c r="L62" s="29"/>
      <c r="M62" s="35"/>
    </row>
    <row r="63" ht="14.25" customHeight="1">
      <c r="A63" s="32" t="str">
        <f t="shared" si="1"/>
        <v/>
      </c>
      <c r="B63" s="29" t="str">
        <f>IF(Consolidado!$B63="","",Consolidado!$B63)</f>
        <v/>
      </c>
      <c r="C63" s="39"/>
      <c r="D63" s="39" t="str">
        <f>IF($B63="","",Consolidado!$E63)</f>
        <v/>
      </c>
      <c r="E63" s="32" t="str">
        <f>IF($B63="","",Consolidado!$J63)</f>
        <v/>
      </c>
      <c r="G63" s="40"/>
      <c r="H63" s="32"/>
      <c r="I63" s="35"/>
      <c r="J63" s="35"/>
      <c r="K63" s="35"/>
      <c r="L63" s="29"/>
      <c r="M63" s="35"/>
    </row>
    <row r="64" ht="14.25" customHeight="1">
      <c r="A64" s="32" t="str">
        <f t="shared" si="1"/>
        <v/>
      </c>
      <c r="B64" s="29" t="str">
        <f>IF(Consolidado!$B64="","",Consolidado!$B64)</f>
        <v/>
      </c>
      <c r="C64" s="39"/>
      <c r="D64" s="39" t="str">
        <f>IF($B64="","",Consolidado!$E64)</f>
        <v/>
      </c>
      <c r="E64" s="32" t="str">
        <f>IF($B64="","",Consolidado!$J64)</f>
        <v/>
      </c>
      <c r="G64" s="40"/>
      <c r="H64" s="32"/>
      <c r="I64" s="35"/>
      <c r="J64" s="35"/>
      <c r="K64" s="35"/>
      <c r="L64" s="29"/>
      <c r="M64" s="35"/>
    </row>
    <row r="65" ht="14.25" customHeight="1"/>
    <row r="66" ht="14.25" customHeight="1"/>
    <row r="67" ht="24.0" customHeight="1">
      <c r="B67" s="59" t="s">
        <v>410</v>
      </c>
    </row>
    <row r="68" ht="24.0" customHeight="1">
      <c r="B68" s="59" t="s">
        <v>411</v>
      </c>
    </row>
    <row r="69" ht="24.0" customHeight="1">
      <c r="B69" s="59" t="s">
        <v>412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M2"/>
    <mergeCell ref="B3:M3"/>
    <mergeCell ref="B67:M67"/>
    <mergeCell ref="B68:M68"/>
    <mergeCell ref="B69:M69"/>
  </mergeCells>
  <conditionalFormatting sqref="H5:H64">
    <cfRule type="cellIs" dxfId="2" priority="1" operator="equal">
      <formula>"Não OK"</formula>
    </cfRule>
  </conditionalFormatting>
  <conditionalFormatting sqref="H5:H64">
    <cfRule type="cellIs" dxfId="0" priority="2" operator="equal">
      <formula>"OK"</formula>
    </cfRule>
  </conditionalFormatting>
  <conditionalFormatting sqref="L5:L64">
    <cfRule type="cellIs" dxfId="0" priority="3" operator="equal">
      <formula>"Aprovado"</formula>
    </cfRule>
  </conditionalFormatting>
  <conditionalFormatting sqref="L5:L64">
    <cfRule type="cellIs" dxfId="1" priority="4" operator="equal">
      <formula>"Reprovado"</formula>
    </cfRule>
  </conditionalFormatting>
  <dataValidations>
    <dataValidation type="list" allowBlank="1" showInputMessage="1" showErrorMessage="1" prompt="Checagem de propriedade - OK = refez a conta ao vivo com o parâmetro alterado. Não OK = não conseguiu. Não OK é veto, independentemente da nota do case." sqref="H5:H64">
      <formula1>"OK,Não OK,Pendente"</formula1>
    </dataValidation>
    <dataValidation type="list" allowBlank="1" sqref="L5:L64">
      <formula1>"Aprovado,Reprovado,Em análise"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46.0"/>
    <col customWidth="1" min="4" max="4" width="18.0"/>
    <col customWidth="1" min="5" max="5" width="12.0"/>
    <col customWidth="1" min="6" max="6" width="54.0"/>
    <col customWidth="1" min="7" max="26" width="8.71"/>
  </cols>
  <sheetData>
    <row r="1" ht="14.25" customHeight="1"/>
    <row r="2" ht="25.5" customHeight="1">
      <c r="B2" s="7" t="s">
        <v>329</v>
      </c>
      <c r="C2" s="9"/>
      <c r="D2" s="9"/>
      <c r="E2" s="9"/>
      <c r="F2" s="2"/>
    </row>
    <row r="3" ht="14.25" customHeight="1"/>
    <row r="4" ht="43.5" customHeight="1">
      <c r="B4" s="36" t="s">
        <v>330</v>
      </c>
      <c r="C4" s="9"/>
      <c r="D4" s="9"/>
      <c r="E4" s="9"/>
      <c r="F4" s="2"/>
    </row>
    <row r="5" ht="14.25" customHeight="1"/>
    <row r="6" ht="14.25" customHeight="1">
      <c r="B6" s="3" t="s">
        <v>331</v>
      </c>
      <c r="C6" s="9"/>
      <c r="D6" s="9"/>
      <c r="E6" s="9"/>
      <c r="F6" s="2"/>
    </row>
    <row r="7" ht="14.25" customHeight="1">
      <c r="C7" s="21" t="s">
        <v>333</v>
      </c>
      <c r="D7" s="21" t="s">
        <v>334</v>
      </c>
      <c r="E7" s="21" t="s">
        <v>335</v>
      </c>
      <c r="F7" s="21" t="s">
        <v>336</v>
      </c>
    </row>
    <row r="8" ht="39.75" customHeight="1">
      <c r="B8" s="51" t="s">
        <v>337</v>
      </c>
      <c r="C8" s="43" t="s">
        <v>338</v>
      </c>
      <c r="D8" s="52" t="s">
        <v>339</v>
      </c>
      <c r="E8" s="20" t="s">
        <v>340</v>
      </c>
      <c r="F8" s="53" t="s">
        <v>341</v>
      </c>
    </row>
    <row r="9" ht="39.75" customHeight="1">
      <c r="B9" s="51" t="s">
        <v>337</v>
      </c>
      <c r="C9" s="43" t="s">
        <v>343</v>
      </c>
      <c r="D9" s="52" t="s">
        <v>339</v>
      </c>
      <c r="E9" s="20" t="s">
        <v>340</v>
      </c>
      <c r="F9" s="53" t="s">
        <v>344</v>
      </c>
    </row>
    <row r="10" ht="39.75" customHeight="1">
      <c r="B10" s="51" t="s">
        <v>337</v>
      </c>
      <c r="C10" s="43" t="s">
        <v>345</v>
      </c>
      <c r="D10" s="52" t="s">
        <v>110</v>
      </c>
      <c r="E10" s="20" t="s">
        <v>340</v>
      </c>
      <c r="F10" s="53" t="s">
        <v>346</v>
      </c>
    </row>
    <row r="11" ht="39.75" customHeight="1">
      <c r="B11" s="51" t="s">
        <v>337</v>
      </c>
      <c r="C11" s="43" t="s">
        <v>347</v>
      </c>
      <c r="D11" s="52" t="s">
        <v>111</v>
      </c>
      <c r="E11" s="20" t="s">
        <v>340</v>
      </c>
      <c r="F11" s="53" t="s">
        <v>349</v>
      </c>
    </row>
    <row r="12" ht="39.75" customHeight="1">
      <c r="B12" s="51" t="s">
        <v>337</v>
      </c>
      <c r="C12" s="43" t="s">
        <v>350</v>
      </c>
      <c r="D12" s="52" t="s">
        <v>113</v>
      </c>
      <c r="E12" s="20" t="s">
        <v>340</v>
      </c>
      <c r="F12" s="53" t="s">
        <v>351</v>
      </c>
    </row>
    <row r="13" ht="39.75" customHeight="1">
      <c r="B13" s="51" t="s">
        <v>337</v>
      </c>
      <c r="C13" s="43" t="s">
        <v>352</v>
      </c>
      <c r="D13" s="52" t="s">
        <v>114</v>
      </c>
      <c r="E13" s="20" t="s">
        <v>340</v>
      </c>
      <c r="F13" s="53" t="s">
        <v>353</v>
      </c>
    </row>
    <row r="14" ht="39.75" customHeight="1">
      <c r="B14" s="51" t="s">
        <v>337</v>
      </c>
      <c r="C14" s="43" t="s">
        <v>355</v>
      </c>
      <c r="D14" s="52" t="s">
        <v>356</v>
      </c>
      <c r="E14" s="20" t="s">
        <v>340</v>
      </c>
      <c r="F14" s="53" t="s">
        <v>357</v>
      </c>
    </row>
    <row r="15" ht="39.75" customHeight="1">
      <c r="B15" s="51" t="s">
        <v>337</v>
      </c>
      <c r="C15" s="43" t="s">
        <v>358</v>
      </c>
      <c r="D15" s="52" t="s">
        <v>359</v>
      </c>
      <c r="E15" s="20" t="s">
        <v>340</v>
      </c>
      <c r="F15" s="53" t="s">
        <v>360</v>
      </c>
    </row>
    <row r="16" ht="39.75" customHeight="1">
      <c r="B16" s="51" t="s">
        <v>337</v>
      </c>
      <c r="C16" s="43" t="s">
        <v>361</v>
      </c>
      <c r="D16" s="52" t="s">
        <v>362</v>
      </c>
      <c r="E16" s="20" t="s">
        <v>340</v>
      </c>
      <c r="F16" s="53" t="s">
        <v>364</v>
      </c>
    </row>
    <row r="17" ht="14.25" customHeight="1"/>
    <row r="18" ht="14.25" customHeight="1">
      <c r="B18" s="3" t="s">
        <v>365</v>
      </c>
      <c r="C18" s="9"/>
      <c r="D18" s="9"/>
      <c r="E18" s="9"/>
      <c r="F18" s="2"/>
    </row>
    <row r="19" ht="14.25" customHeight="1">
      <c r="B19" s="21" t="s">
        <v>366</v>
      </c>
      <c r="C19" s="21" t="s">
        <v>367</v>
      </c>
      <c r="D19" s="21" t="s">
        <v>368</v>
      </c>
      <c r="E19" s="21" t="s">
        <v>369</v>
      </c>
      <c r="F19" s="21" t="s">
        <v>370</v>
      </c>
    </row>
    <row r="20" ht="31.5" customHeight="1">
      <c r="B20" s="25" t="s">
        <v>105</v>
      </c>
      <c r="C20" s="44" t="s">
        <v>372</v>
      </c>
      <c r="D20" s="54" t="s">
        <v>373</v>
      </c>
      <c r="E20" s="51" t="s">
        <v>374</v>
      </c>
      <c r="F20" s="55" t="s">
        <v>375</v>
      </c>
    </row>
    <row r="21" ht="31.5" customHeight="1">
      <c r="B21" s="25" t="s">
        <v>107</v>
      </c>
      <c r="C21" s="44" t="s">
        <v>376</v>
      </c>
      <c r="D21" s="54" t="s">
        <v>373</v>
      </c>
      <c r="E21" s="51" t="s">
        <v>374</v>
      </c>
      <c r="F21" s="55"/>
    </row>
    <row r="22" ht="31.5" customHeight="1">
      <c r="B22" s="25" t="s">
        <v>110</v>
      </c>
      <c r="C22" s="44" t="s">
        <v>377</v>
      </c>
      <c r="D22" s="54" t="s">
        <v>373</v>
      </c>
      <c r="E22" s="51" t="s">
        <v>374</v>
      </c>
      <c r="F22" s="55" t="s">
        <v>379</v>
      </c>
    </row>
    <row r="23" ht="31.5" customHeight="1">
      <c r="B23" s="25" t="s">
        <v>111</v>
      </c>
      <c r="C23" s="44" t="s">
        <v>380</v>
      </c>
      <c r="D23" s="54" t="s">
        <v>373</v>
      </c>
      <c r="E23" s="51" t="s">
        <v>381</v>
      </c>
      <c r="F23" s="55" t="s">
        <v>382</v>
      </c>
    </row>
    <row r="24" ht="31.5" customHeight="1">
      <c r="B24" s="25" t="s">
        <v>114</v>
      </c>
      <c r="C24" s="44" t="s">
        <v>383</v>
      </c>
      <c r="D24" s="54" t="s">
        <v>384</v>
      </c>
      <c r="E24" s="51" t="s">
        <v>381</v>
      </c>
      <c r="F24" s="55" t="s">
        <v>386</v>
      </c>
    </row>
    <row r="25" ht="31.5" customHeight="1">
      <c r="B25" s="25" t="s">
        <v>381</v>
      </c>
      <c r="C25" s="44" t="s">
        <v>387</v>
      </c>
      <c r="D25" s="54" t="s">
        <v>384</v>
      </c>
      <c r="E25" s="51" t="s">
        <v>381</v>
      </c>
      <c r="F25" s="55" t="s">
        <v>388</v>
      </c>
    </row>
    <row r="26" ht="31.5" customHeight="1">
      <c r="B26" s="25" t="s">
        <v>381</v>
      </c>
      <c r="C26" s="44" t="s">
        <v>389</v>
      </c>
      <c r="D26" s="54" t="s">
        <v>373</v>
      </c>
      <c r="E26" s="51" t="s">
        <v>381</v>
      </c>
      <c r="F26" s="55" t="s">
        <v>390</v>
      </c>
    </row>
    <row r="27" ht="14.25" customHeight="1"/>
    <row r="28" ht="14.25" customHeight="1">
      <c r="B28" s="3" t="s">
        <v>391</v>
      </c>
      <c r="C28" s="9"/>
      <c r="D28" s="9"/>
      <c r="E28" s="9"/>
      <c r="F28" s="2"/>
    </row>
    <row r="29" ht="18.0" customHeight="1">
      <c r="B29" s="56" t="s">
        <v>392</v>
      </c>
    </row>
    <row r="30" ht="18.0" customHeight="1">
      <c r="B30" s="56" t="s">
        <v>394</v>
      </c>
    </row>
    <row r="31" ht="18.0" customHeight="1">
      <c r="B31" s="57"/>
    </row>
    <row r="32" ht="18.0" customHeight="1">
      <c r="B32" s="56" t="s">
        <v>395</v>
      </c>
    </row>
    <row r="33" ht="18.0" customHeight="1">
      <c r="B33" s="56" t="s">
        <v>396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B31:F31"/>
    <mergeCell ref="B32:F32"/>
    <mergeCell ref="B33:F33"/>
    <mergeCell ref="B2:F2"/>
    <mergeCell ref="B4:F4"/>
    <mergeCell ref="B6:F6"/>
    <mergeCell ref="B18:F18"/>
    <mergeCell ref="B28:F28"/>
    <mergeCell ref="B29:F29"/>
    <mergeCell ref="B30:F30"/>
  </mergeCells>
  <conditionalFormatting sqref="E8:E16">
    <cfRule type="cellIs" dxfId="0" priority="1" operator="equal">
      <formula>"Feito"</formula>
    </cfRule>
  </conditionalFormatting>
  <conditionalFormatting sqref="E8:E16">
    <cfRule type="cellIs" dxfId="1" priority="2" operator="equal">
      <formula>"Pendente"</formula>
    </cfRule>
  </conditionalFormatting>
  <dataValidations>
    <dataValidation type="list" allowBlank="1" sqref="E8:E16">
      <formula1>"Feito,Pendente"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3.0"/>
    <col customWidth="1" min="2" max="2" width="5.0"/>
    <col customWidth="1" min="3" max="3" width="34.0"/>
    <col customWidth="1" min="4" max="4" width="33.29"/>
    <col customWidth="1" min="5" max="5" width="16.0"/>
    <col customWidth="1" min="6" max="6" width="96.0"/>
    <col customWidth="1" min="7" max="7" width="22.0"/>
    <col customWidth="1" min="8" max="27" width="8.71"/>
  </cols>
  <sheetData>
    <row r="1" ht="14.25" customHeight="1"/>
    <row r="2" ht="25.5" customHeight="1">
      <c r="B2" s="7" t="s">
        <v>407</v>
      </c>
      <c r="C2" s="9"/>
      <c r="D2" s="9"/>
      <c r="E2" s="9"/>
      <c r="F2" s="9"/>
      <c r="G2" s="2"/>
    </row>
    <row r="3" ht="14.25" customHeight="1"/>
    <row r="4" ht="14.25" customHeight="1">
      <c r="B4" s="21" t="s">
        <v>69</v>
      </c>
      <c r="C4" s="21" t="s">
        <v>71</v>
      </c>
      <c r="D4" s="24" t="s">
        <v>79</v>
      </c>
      <c r="E4" s="21" t="s">
        <v>73</v>
      </c>
      <c r="F4" s="21" t="s">
        <v>408</v>
      </c>
      <c r="G4" s="21" t="s">
        <v>409</v>
      </c>
    </row>
    <row r="5" ht="14.25" customHeight="1">
      <c r="B5" s="29">
        <f t="shared" ref="B5:B204" si="1">IF($C5="","",ROW()-4)</f>
        <v>1</v>
      </c>
      <c r="C5" s="30" t="s">
        <v>122</v>
      </c>
      <c r="D5" s="30" t="s">
        <v>124</v>
      </c>
      <c r="F5" s="58"/>
      <c r="G5" s="29"/>
    </row>
    <row r="6" ht="14.25" customHeight="1">
      <c r="B6" s="29">
        <f t="shared" si="1"/>
        <v>2</v>
      </c>
      <c r="C6" s="30" t="s">
        <v>156</v>
      </c>
      <c r="D6" s="30" t="s">
        <v>157</v>
      </c>
      <c r="F6" s="58"/>
      <c r="G6" s="29"/>
    </row>
    <row r="7" ht="14.25" customHeight="1">
      <c r="B7" s="29">
        <f t="shared" si="1"/>
        <v>3</v>
      </c>
      <c r="C7" s="30" t="s">
        <v>185</v>
      </c>
      <c r="D7" s="30" t="s">
        <v>186</v>
      </c>
      <c r="F7" s="58"/>
      <c r="G7" s="29"/>
    </row>
    <row r="8" ht="14.25" customHeight="1">
      <c r="B8" s="29">
        <f t="shared" si="1"/>
        <v>4</v>
      </c>
      <c r="C8" s="30" t="s">
        <v>198</v>
      </c>
      <c r="D8" s="30" t="s">
        <v>200</v>
      </c>
      <c r="F8" s="58"/>
      <c r="G8" s="29"/>
    </row>
    <row r="9" ht="14.25" customHeight="1">
      <c r="B9" s="29">
        <f t="shared" si="1"/>
        <v>5</v>
      </c>
      <c r="C9" s="30" t="s">
        <v>207</v>
      </c>
      <c r="D9" s="30" t="s">
        <v>208</v>
      </c>
      <c r="F9" s="58"/>
      <c r="G9" s="29"/>
    </row>
    <row r="10" ht="14.25" customHeight="1">
      <c r="B10" s="29">
        <f t="shared" si="1"/>
        <v>6</v>
      </c>
      <c r="C10" s="30" t="s">
        <v>217</v>
      </c>
      <c r="D10" s="30" t="s">
        <v>219</v>
      </c>
      <c r="F10" s="58"/>
      <c r="G10" s="29"/>
    </row>
    <row r="11" ht="14.25" customHeight="1">
      <c r="B11" s="29">
        <f t="shared" si="1"/>
        <v>7</v>
      </c>
      <c r="C11" s="30" t="s">
        <v>229</v>
      </c>
      <c r="D11" s="30" t="s">
        <v>230</v>
      </c>
      <c r="F11" s="58"/>
      <c r="G11" s="29"/>
    </row>
    <row r="12" ht="14.25" customHeight="1">
      <c r="B12" s="29">
        <f t="shared" si="1"/>
        <v>8</v>
      </c>
      <c r="C12" s="30" t="s">
        <v>239</v>
      </c>
      <c r="D12" s="30" t="s">
        <v>240</v>
      </c>
      <c r="F12" s="58"/>
      <c r="G12" s="29"/>
    </row>
    <row r="13" ht="14.25" customHeight="1">
      <c r="B13" s="29">
        <f t="shared" si="1"/>
        <v>9</v>
      </c>
      <c r="C13" s="30" t="s">
        <v>250</v>
      </c>
      <c r="D13" s="30" t="s">
        <v>251</v>
      </c>
      <c r="F13" s="58"/>
      <c r="G13" s="29"/>
    </row>
    <row r="14" ht="14.25" customHeight="1">
      <c r="B14" s="29">
        <f t="shared" si="1"/>
        <v>10</v>
      </c>
      <c r="C14" s="30" t="s">
        <v>262</v>
      </c>
      <c r="D14" s="30" t="s">
        <v>264</v>
      </c>
      <c r="F14" s="58"/>
      <c r="G14" s="29"/>
    </row>
    <row r="15" ht="14.25" customHeight="1">
      <c r="B15" s="29">
        <f t="shared" si="1"/>
        <v>11</v>
      </c>
      <c r="C15" s="30" t="s">
        <v>274</v>
      </c>
      <c r="D15" s="30" t="s">
        <v>276</v>
      </c>
      <c r="E15" s="30" t="s">
        <v>277</v>
      </c>
      <c r="F15" s="46" t="s">
        <v>282</v>
      </c>
      <c r="G15" s="30" t="s">
        <v>413</v>
      </c>
    </row>
    <row r="16" ht="14.25" customHeight="1">
      <c r="B16" s="29">
        <f t="shared" si="1"/>
        <v>12</v>
      </c>
      <c r="C16" s="30" t="s">
        <v>284</v>
      </c>
      <c r="D16" s="30" t="s">
        <v>285</v>
      </c>
      <c r="E16" s="30" t="s">
        <v>277</v>
      </c>
      <c r="F16" s="46" t="s">
        <v>414</v>
      </c>
      <c r="G16" s="30" t="s">
        <v>415</v>
      </c>
    </row>
    <row r="17" ht="14.25" customHeight="1">
      <c r="B17" s="29">
        <f t="shared" si="1"/>
        <v>13</v>
      </c>
      <c r="C17" s="30" t="s">
        <v>290</v>
      </c>
      <c r="D17" s="30" t="s">
        <v>291</v>
      </c>
      <c r="E17" s="30" t="s">
        <v>277</v>
      </c>
      <c r="F17" s="46" t="s">
        <v>416</v>
      </c>
      <c r="G17" s="30" t="s">
        <v>415</v>
      </c>
    </row>
    <row r="18" ht="14.25" customHeight="1">
      <c r="B18" s="29">
        <f t="shared" si="1"/>
        <v>14</v>
      </c>
      <c r="C18" s="30" t="s">
        <v>298</v>
      </c>
      <c r="D18" s="30" t="s">
        <v>299</v>
      </c>
      <c r="F18" s="58"/>
      <c r="G18" s="29"/>
    </row>
    <row r="19" ht="14.25" customHeight="1">
      <c r="B19" s="29">
        <f t="shared" si="1"/>
        <v>15</v>
      </c>
      <c r="C19" s="30" t="s">
        <v>303</v>
      </c>
      <c r="D19" s="30" t="s">
        <v>304</v>
      </c>
      <c r="F19" s="58"/>
      <c r="G19" s="29"/>
    </row>
    <row r="20" ht="14.25" customHeight="1">
      <c r="B20" s="29">
        <f t="shared" si="1"/>
        <v>16</v>
      </c>
      <c r="C20" s="30" t="s">
        <v>306</v>
      </c>
      <c r="D20" s="30" t="s">
        <v>307</v>
      </c>
      <c r="F20" s="58"/>
      <c r="G20" s="29"/>
    </row>
    <row r="21" ht="14.25" customHeight="1">
      <c r="B21" s="29">
        <f t="shared" si="1"/>
        <v>17</v>
      </c>
      <c r="C21" s="30" t="s">
        <v>309</v>
      </c>
      <c r="D21" s="30" t="s">
        <v>310</v>
      </c>
      <c r="F21" s="58"/>
      <c r="G21" s="29"/>
    </row>
    <row r="22" ht="14.25" customHeight="1">
      <c r="B22" s="29">
        <f t="shared" si="1"/>
        <v>18</v>
      </c>
      <c r="C22" s="30" t="s">
        <v>312</v>
      </c>
      <c r="D22" s="30" t="s">
        <v>313</v>
      </c>
      <c r="F22" s="58"/>
      <c r="G22" s="29"/>
    </row>
    <row r="23" ht="14.25" customHeight="1">
      <c r="B23" s="29">
        <f t="shared" si="1"/>
        <v>19</v>
      </c>
      <c r="C23" s="30" t="s">
        <v>315</v>
      </c>
      <c r="D23" s="30" t="s">
        <v>316</v>
      </c>
      <c r="F23" s="58"/>
      <c r="G23" s="29"/>
    </row>
    <row r="24" ht="14.25" customHeight="1">
      <c r="B24" s="29">
        <f t="shared" si="1"/>
        <v>20</v>
      </c>
      <c r="C24" s="30" t="s">
        <v>318</v>
      </c>
      <c r="D24" s="30" t="s">
        <v>319</v>
      </c>
      <c r="F24" s="58"/>
      <c r="G24" s="29"/>
    </row>
    <row r="25" ht="14.25" customHeight="1">
      <c r="B25" s="29">
        <f t="shared" si="1"/>
        <v>21</v>
      </c>
      <c r="C25" s="30" t="s">
        <v>321</v>
      </c>
      <c r="D25" s="30" t="s">
        <v>322</v>
      </c>
      <c r="F25" s="58"/>
      <c r="G25" s="29"/>
    </row>
    <row r="26" ht="14.25" customHeight="1">
      <c r="B26" s="29" t="str">
        <f t="shared" si="1"/>
        <v/>
      </c>
      <c r="F26" s="58"/>
      <c r="G26" s="29"/>
    </row>
    <row r="27" ht="14.25" customHeight="1">
      <c r="B27" s="29" t="str">
        <f t="shared" si="1"/>
        <v/>
      </c>
      <c r="F27" s="58"/>
      <c r="G27" s="29"/>
    </row>
    <row r="28" ht="14.25" customHeight="1">
      <c r="B28" s="29" t="str">
        <f t="shared" si="1"/>
        <v/>
      </c>
      <c r="F28" s="58"/>
      <c r="G28" s="29"/>
    </row>
    <row r="29" ht="14.25" customHeight="1">
      <c r="B29" s="29" t="str">
        <f t="shared" si="1"/>
        <v/>
      </c>
      <c r="F29" s="58"/>
      <c r="G29" s="29"/>
    </row>
    <row r="30" ht="14.25" customHeight="1">
      <c r="B30" s="29" t="str">
        <f t="shared" si="1"/>
        <v/>
      </c>
      <c r="F30" s="58"/>
      <c r="G30" s="29"/>
    </row>
    <row r="31" ht="14.25" customHeight="1">
      <c r="B31" s="29" t="str">
        <f t="shared" si="1"/>
        <v/>
      </c>
      <c r="F31" s="58"/>
      <c r="G31" s="29"/>
    </row>
    <row r="32" ht="14.25" customHeight="1">
      <c r="B32" s="29" t="str">
        <f t="shared" si="1"/>
        <v/>
      </c>
      <c r="F32" s="58"/>
      <c r="G32" s="29"/>
    </row>
    <row r="33" ht="14.25" customHeight="1">
      <c r="B33" s="29" t="str">
        <f t="shared" si="1"/>
        <v/>
      </c>
      <c r="F33" s="58"/>
      <c r="G33" s="29"/>
    </row>
    <row r="34" ht="14.25" customHeight="1">
      <c r="B34" s="29" t="str">
        <f t="shared" si="1"/>
        <v/>
      </c>
      <c r="F34" s="58"/>
      <c r="G34" s="29"/>
    </row>
    <row r="35" ht="14.25" customHeight="1">
      <c r="B35" s="29" t="str">
        <f t="shared" si="1"/>
        <v/>
      </c>
      <c r="F35" s="58"/>
      <c r="G35" s="29"/>
    </row>
    <row r="36" ht="14.25" customHeight="1">
      <c r="B36" s="29" t="str">
        <f t="shared" si="1"/>
        <v/>
      </c>
      <c r="F36" s="58"/>
      <c r="G36" s="29"/>
    </row>
    <row r="37" ht="14.25" customHeight="1">
      <c r="B37" s="29" t="str">
        <f t="shared" si="1"/>
        <v/>
      </c>
      <c r="F37" s="58"/>
      <c r="G37" s="29"/>
    </row>
    <row r="38" ht="14.25" customHeight="1">
      <c r="B38" s="29" t="str">
        <f t="shared" si="1"/>
        <v/>
      </c>
      <c r="F38" s="58"/>
      <c r="G38" s="29"/>
    </row>
    <row r="39" ht="14.25" customHeight="1">
      <c r="B39" s="29" t="str">
        <f t="shared" si="1"/>
        <v/>
      </c>
      <c r="F39" s="58"/>
      <c r="G39" s="29"/>
    </row>
    <row r="40" ht="14.25" customHeight="1">
      <c r="B40" s="29" t="str">
        <f t="shared" si="1"/>
        <v/>
      </c>
      <c r="F40" s="58"/>
      <c r="G40" s="29"/>
    </row>
    <row r="41" ht="14.25" customHeight="1">
      <c r="B41" s="29" t="str">
        <f t="shared" si="1"/>
        <v/>
      </c>
      <c r="F41" s="58"/>
      <c r="G41" s="29"/>
    </row>
    <row r="42" ht="14.25" customHeight="1">
      <c r="B42" s="29" t="str">
        <f t="shared" si="1"/>
        <v/>
      </c>
      <c r="F42" s="58"/>
      <c r="G42" s="29"/>
    </row>
    <row r="43" ht="14.25" customHeight="1">
      <c r="B43" s="29" t="str">
        <f t="shared" si="1"/>
        <v/>
      </c>
      <c r="F43" s="58"/>
      <c r="G43" s="29"/>
    </row>
    <row r="44" ht="14.25" customHeight="1">
      <c r="B44" s="29" t="str">
        <f t="shared" si="1"/>
        <v/>
      </c>
      <c r="F44" s="58"/>
      <c r="G44" s="29"/>
    </row>
    <row r="45" ht="14.25" customHeight="1">
      <c r="B45" s="29" t="str">
        <f t="shared" si="1"/>
        <v/>
      </c>
      <c r="F45" s="58"/>
      <c r="G45" s="29"/>
    </row>
    <row r="46" ht="14.25" customHeight="1">
      <c r="B46" s="29" t="str">
        <f t="shared" si="1"/>
        <v/>
      </c>
      <c r="F46" s="58"/>
      <c r="G46" s="29"/>
    </row>
    <row r="47" ht="14.25" customHeight="1">
      <c r="B47" s="29" t="str">
        <f t="shared" si="1"/>
        <v/>
      </c>
      <c r="F47" s="58"/>
      <c r="G47" s="29"/>
    </row>
    <row r="48" ht="14.25" customHeight="1">
      <c r="B48" s="29" t="str">
        <f t="shared" si="1"/>
        <v/>
      </c>
      <c r="F48" s="58"/>
      <c r="G48" s="29"/>
    </row>
    <row r="49" ht="14.25" customHeight="1">
      <c r="B49" s="29" t="str">
        <f t="shared" si="1"/>
        <v/>
      </c>
      <c r="F49" s="58"/>
      <c r="G49" s="29"/>
    </row>
    <row r="50" ht="14.25" customHeight="1">
      <c r="B50" s="29" t="str">
        <f t="shared" si="1"/>
        <v/>
      </c>
      <c r="F50" s="58"/>
      <c r="G50" s="29"/>
    </row>
    <row r="51" ht="14.25" customHeight="1">
      <c r="B51" s="29" t="str">
        <f t="shared" si="1"/>
        <v/>
      </c>
      <c r="F51" s="58"/>
      <c r="G51" s="29"/>
    </row>
    <row r="52" ht="14.25" customHeight="1">
      <c r="B52" s="29" t="str">
        <f t="shared" si="1"/>
        <v/>
      </c>
      <c r="F52" s="58"/>
      <c r="G52" s="29"/>
    </row>
    <row r="53" ht="14.25" customHeight="1">
      <c r="B53" s="29" t="str">
        <f t="shared" si="1"/>
        <v/>
      </c>
      <c r="F53" s="58"/>
      <c r="G53" s="29"/>
    </row>
    <row r="54" ht="14.25" customHeight="1">
      <c r="B54" s="29" t="str">
        <f t="shared" si="1"/>
        <v/>
      </c>
      <c r="F54" s="58"/>
      <c r="G54" s="29"/>
    </row>
    <row r="55" ht="14.25" customHeight="1">
      <c r="B55" s="29" t="str">
        <f t="shared" si="1"/>
        <v/>
      </c>
      <c r="F55" s="58"/>
      <c r="G55" s="29"/>
    </row>
    <row r="56" ht="14.25" customHeight="1">
      <c r="B56" s="29" t="str">
        <f t="shared" si="1"/>
        <v/>
      </c>
      <c r="F56" s="58"/>
      <c r="G56" s="29"/>
    </row>
    <row r="57" ht="14.25" customHeight="1">
      <c r="B57" s="29" t="str">
        <f t="shared" si="1"/>
        <v/>
      </c>
      <c r="F57" s="58"/>
      <c r="G57" s="29"/>
    </row>
    <row r="58" ht="14.25" customHeight="1">
      <c r="B58" s="29" t="str">
        <f t="shared" si="1"/>
        <v/>
      </c>
      <c r="F58" s="58"/>
      <c r="G58" s="29"/>
    </row>
    <row r="59" ht="14.25" customHeight="1">
      <c r="B59" s="29" t="str">
        <f t="shared" si="1"/>
        <v/>
      </c>
      <c r="F59" s="58"/>
      <c r="G59" s="29"/>
    </row>
    <row r="60" ht="14.25" customHeight="1">
      <c r="B60" s="29" t="str">
        <f t="shared" si="1"/>
        <v/>
      </c>
      <c r="F60" s="58"/>
      <c r="G60" s="29"/>
    </row>
    <row r="61" ht="14.25" customHeight="1">
      <c r="B61" s="29" t="str">
        <f t="shared" si="1"/>
        <v/>
      </c>
      <c r="F61" s="58"/>
      <c r="G61" s="29"/>
    </row>
    <row r="62" ht="14.25" customHeight="1">
      <c r="B62" s="29" t="str">
        <f t="shared" si="1"/>
        <v/>
      </c>
      <c r="F62" s="58"/>
      <c r="G62" s="29"/>
    </row>
    <row r="63" ht="14.25" customHeight="1">
      <c r="B63" s="29" t="str">
        <f t="shared" si="1"/>
        <v/>
      </c>
      <c r="F63" s="58"/>
      <c r="G63" s="29"/>
    </row>
    <row r="64" ht="14.25" customHeight="1">
      <c r="B64" s="29" t="str">
        <f t="shared" si="1"/>
        <v/>
      </c>
      <c r="F64" s="58"/>
      <c r="G64" s="29"/>
    </row>
    <row r="65" ht="14.25" customHeight="1">
      <c r="B65" s="29" t="str">
        <f t="shared" si="1"/>
        <v/>
      </c>
      <c r="F65" s="58"/>
      <c r="G65" s="29"/>
    </row>
    <row r="66" ht="14.25" customHeight="1">
      <c r="B66" s="29" t="str">
        <f t="shared" si="1"/>
        <v/>
      </c>
      <c r="F66" s="58"/>
      <c r="G66" s="29"/>
    </row>
    <row r="67" ht="14.25" customHeight="1">
      <c r="B67" s="29" t="str">
        <f t="shared" si="1"/>
        <v/>
      </c>
      <c r="F67" s="58"/>
      <c r="G67" s="29"/>
    </row>
    <row r="68" ht="14.25" customHeight="1">
      <c r="B68" s="29" t="str">
        <f t="shared" si="1"/>
        <v/>
      </c>
      <c r="F68" s="58"/>
      <c r="G68" s="29"/>
    </row>
    <row r="69" ht="14.25" customHeight="1">
      <c r="B69" s="29" t="str">
        <f t="shared" si="1"/>
        <v/>
      </c>
      <c r="F69" s="58"/>
      <c r="G69" s="29"/>
    </row>
    <row r="70" ht="14.25" customHeight="1">
      <c r="B70" s="29" t="str">
        <f t="shared" si="1"/>
        <v/>
      </c>
      <c r="F70" s="58"/>
      <c r="G70" s="29"/>
    </row>
    <row r="71" ht="14.25" customHeight="1">
      <c r="B71" s="29" t="str">
        <f t="shared" si="1"/>
        <v/>
      </c>
      <c r="F71" s="58"/>
      <c r="G71" s="29"/>
    </row>
    <row r="72" ht="14.25" customHeight="1">
      <c r="B72" s="29" t="str">
        <f t="shared" si="1"/>
        <v/>
      </c>
      <c r="F72" s="58"/>
      <c r="G72" s="29"/>
    </row>
    <row r="73" ht="14.25" customHeight="1">
      <c r="B73" s="29" t="str">
        <f t="shared" si="1"/>
        <v/>
      </c>
      <c r="F73" s="58"/>
      <c r="G73" s="29"/>
    </row>
    <row r="74" ht="14.25" customHeight="1">
      <c r="B74" s="29" t="str">
        <f t="shared" si="1"/>
        <v/>
      </c>
      <c r="F74" s="58"/>
      <c r="G74" s="29"/>
    </row>
    <row r="75" ht="14.25" customHeight="1">
      <c r="B75" s="29" t="str">
        <f t="shared" si="1"/>
        <v/>
      </c>
      <c r="F75" s="58"/>
      <c r="G75" s="29"/>
    </row>
    <row r="76" ht="14.25" customHeight="1">
      <c r="B76" s="29" t="str">
        <f t="shared" si="1"/>
        <v/>
      </c>
      <c r="F76" s="58"/>
      <c r="G76" s="29"/>
    </row>
    <row r="77" ht="14.25" customHeight="1">
      <c r="B77" s="29" t="str">
        <f t="shared" si="1"/>
        <v/>
      </c>
      <c r="F77" s="58"/>
      <c r="G77" s="29"/>
    </row>
    <row r="78" ht="14.25" customHeight="1">
      <c r="B78" s="29" t="str">
        <f t="shared" si="1"/>
        <v/>
      </c>
      <c r="F78" s="58"/>
      <c r="G78" s="29"/>
    </row>
    <row r="79" ht="14.25" customHeight="1">
      <c r="B79" s="29" t="str">
        <f t="shared" si="1"/>
        <v/>
      </c>
      <c r="F79" s="58"/>
      <c r="G79" s="29"/>
    </row>
    <row r="80" ht="14.25" customHeight="1">
      <c r="B80" s="29" t="str">
        <f t="shared" si="1"/>
        <v/>
      </c>
      <c r="F80" s="58"/>
      <c r="G80" s="29"/>
    </row>
    <row r="81" ht="14.25" customHeight="1">
      <c r="B81" s="29" t="str">
        <f t="shared" si="1"/>
        <v/>
      </c>
      <c r="F81" s="58"/>
      <c r="G81" s="29"/>
    </row>
    <row r="82" ht="14.25" customHeight="1">
      <c r="B82" s="29" t="str">
        <f t="shared" si="1"/>
        <v/>
      </c>
      <c r="F82" s="58"/>
      <c r="G82" s="29"/>
    </row>
    <row r="83" ht="14.25" customHeight="1">
      <c r="B83" s="29" t="str">
        <f t="shared" si="1"/>
        <v/>
      </c>
      <c r="F83" s="58"/>
      <c r="G83" s="29"/>
    </row>
    <row r="84" ht="14.25" customHeight="1">
      <c r="B84" s="29" t="str">
        <f t="shared" si="1"/>
        <v/>
      </c>
      <c r="F84" s="58"/>
      <c r="G84" s="29"/>
    </row>
    <row r="85" ht="14.25" customHeight="1">
      <c r="B85" s="29" t="str">
        <f t="shared" si="1"/>
        <v/>
      </c>
      <c r="F85" s="58"/>
      <c r="G85" s="29"/>
    </row>
    <row r="86" ht="14.25" customHeight="1">
      <c r="B86" s="29" t="str">
        <f t="shared" si="1"/>
        <v/>
      </c>
      <c r="F86" s="58"/>
      <c r="G86" s="29"/>
    </row>
    <row r="87" ht="14.25" customHeight="1">
      <c r="B87" s="29" t="str">
        <f t="shared" si="1"/>
        <v/>
      </c>
      <c r="F87" s="58"/>
      <c r="G87" s="29"/>
    </row>
    <row r="88" ht="14.25" customHeight="1">
      <c r="B88" s="29" t="str">
        <f t="shared" si="1"/>
        <v/>
      </c>
      <c r="F88" s="58"/>
      <c r="G88" s="29"/>
    </row>
    <row r="89" ht="14.25" customHeight="1">
      <c r="B89" s="29" t="str">
        <f t="shared" si="1"/>
        <v/>
      </c>
      <c r="F89" s="58"/>
      <c r="G89" s="29"/>
    </row>
    <row r="90" ht="14.25" customHeight="1">
      <c r="B90" s="29" t="str">
        <f t="shared" si="1"/>
        <v/>
      </c>
      <c r="F90" s="58"/>
      <c r="G90" s="29"/>
    </row>
    <row r="91" ht="14.25" customHeight="1">
      <c r="B91" s="29" t="str">
        <f t="shared" si="1"/>
        <v/>
      </c>
      <c r="F91" s="58"/>
      <c r="G91" s="29"/>
    </row>
    <row r="92" ht="14.25" customHeight="1">
      <c r="B92" s="29" t="str">
        <f t="shared" si="1"/>
        <v/>
      </c>
      <c r="F92" s="58"/>
      <c r="G92" s="29"/>
    </row>
    <row r="93" ht="14.25" customHeight="1">
      <c r="B93" s="29" t="str">
        <f t="shared" si="1"/>
        <v/>
      </c>
      <c r="F93" s="58"/>
      <c r="G93" s="29"/>
    </row>
    <row r="94" ht="14.25" customHeight="1">
      <c r="B94" s="29" t="str">
        <f t="shared" si="1"/>
        <v/>
      </c>
      <c r="F94" s="58"/>
      <c r="G94" s="29"/>
    </row>
    <row r="95" ht="14.25" customHeight="1">
      <c r="B95" s="29" t="str">
        <f t="shared" si="1"/>
        <v/>
      </c>
      <c r="F95" s="58"/>
      <c r="G95" s="29"/>
    </row>
    <row r="96" ht="14.25" customHeight="1">
      <c r="B96" s="29" t="str">
        <f t="shared" si="1"/>
        <v/>
      </c>
      <c r="F96" s="58"/>
      <c r="G96" s="29"/>
    </row>
    <row r="97" ht="14.25" customHeight="1">
      <c r="B97" s="29" t="str">
        <f t="shared" si="1"/>
        <v/>
      </c>
      <c r="F97" s="58"/>
      <c r="G97" s="29"/>
    </row>
    <row r="98" ht="14.25" customHeight="1">
      <c r="B98" s="29" t="str">
        <f t="shared" si="1"/>
        <v/>
      </c>
      <c r="F98" s="58"/>
      <c r="G98" s="29"/>
    </row>
    <row r="99" ht="14.25" customHeight="1">
      <c r="B99" s="29" t="str">
        <f t="shared" si="1"/>
        <v/>
      </c>
      <c r="F99" s="58"/>
      <c r="G99" s="29"/>
    </row>
    <row r="100" ht="14.25" customHeight="1">
      <c r="B100" s="29" t="str">
        <f t="shared" si="1"/>
        <v/>
      </c>
      <c r="F100" s="58"/>
      <c r="G100" s="29"/>
    </row>
    <row r="101" ht="14.25" customHeight="1">
      <c r="B101" s="29" t="str">
        <f t="shared" si="1"/>
        <v/>
      </c>
      <c r="F101" s="58"/>
      <c r="G101" s="29"/>
    </row>
    <row r="102" ht="14.25" customHeight="1">
      <c r="B102" s="29" t="str">
        <f t="shared" si="1"/>
        <v/>
      </c>
      <c r="F102" s="58"/>
      <c r="G102" s="29"/>
    </row>
    <row r="103" ht="14.25" customHeight="1">
      <c r="B103" s="29" t="str">
        <f t="shared" si="1"/>
        <v/>
      </c>
      <c r="F103" s="58"/>
      <c r="G103" s="29"/>
    </row>
    <row r="104" ht="14.25" customHeight="1">
      <c r="B104" s="29" t="str">
        <f t="shared" si="1"/>
        <v/>
      </c>
      <c r="F104" s="58"/>
      <c r="G104" s="29"/>
    </row>
    <row r="105" ht="14.25" customHeight="1">
      <c r="B105" s="29" t="str">
        <f t="shared" si="1"/>
        <v/>
      </c>
      <c r="F105" s="58"/>
      <c r="G105" s="29"/>
    </row>
    <row r="106" ht="14.25" customHeight="1">
      <c r="B106" s="29" t="str">
        <f t="shared" si="1"/>
        <v/>
      </c>
      <c r="F106" s="58"/>
      <c r="G106" s="29"/>
    </row>
    <row r="107" ht="14.25" customHeight="1">
      <c r="B107" s="29" t="str">
        <f t="shared" si="1"/>
        <v/>
      </c>
      <c r="F107" s="58"/>
      <c r="G107" s="29"/>
    </row>
    <row r="108" ht="14.25" customHeight="1">
      <c r="B108" s="29" t="str">
        <f t="shared" si="1"/>
        <v/>
      </c>
      <c r="F108" s="58"/>
      <c r="G108" s="29"/>
    </row>
    <row r="109" ht="14.25" customHeight="1">
      <c r="B109" s="29" t="str">
        <f t="shared" si="1"/>
        <v/>
      </c>
      <c r="F109" s="58"/>
      <c r="G109" s="29"/>
    </row>
    <row r="110" ht="14.25" customHeight="1">
      <c r="B110" s="29" t="str">
        <f t="shared" si="1"/>
        <v/>
      </c>
      <c r="F110" s="58"/>
      <c r="G110" s="29"/>
    </row>
    <row r="111" ht="14.25" customHeight="1">
      <c r="B111" s="29" t="str">
        <f t="shared" si="1"/>
        <v/>
      </c>
      <c r="F111" s="58"/>
      <c r="G111" s="29"/>
    </row>
    <row r="112" ht="14.25" customHeight="1">
      <c r="B112" s="29" t="str">
        <f t="shared" si="1"/>
        <v/>
      </c>
      <c r="F112" s="58"/>
      <c r="G112" s="29"/>
    </row>
    <row r="113" ht="14.25" customHeight="1">
      <c r="B113" s="29" t="str">
        <f t="shared" si="1"/>
        <v/>
      </c>
      <c r="F113" s="58"/>
      <c r="G113" s="29"/>
    </row>
    <row r="114" ht="14.25" customHeight="1">
      <c r="B114" s="29" t="str">
        <f t="shared" si="1"/>
        <v/>
      </c>
      <c r="F114" s="58"/>
      <c r="G114" s="29"/>
    </row>
    <row r="115" ht="14.25" customHeight="1">
      <c r="B115" s="29" t="str">
        <f t="shared" si="1"/>
        <v/>
      </c>
      <c r="F115" s="58"/>
      <c r="G115" s="29"/>
    </row>
    <row r="116" ht="14.25" customHeight="1">
      <c r="B116" s="29" t="str">
        <f t="shared" si="1"/>
        <v/>
      </c>
      <c r="F116" s="58"/>
      <c r="G116" s="29"/>
    </row>
    <row r="117" ht="14.25" customHeight="1">
      <c r="B117" s="29" t="str">
        <f t="shared" si="1"/>
        <v/>
      </c>
      <c r="F117" s="58"/>
      <c r="G117" s="29"/>
    </row>
    <row r="118" ht="14.25" customHeight="1">
      <c r="B118" s="29" t="str">
        <f t="shared" si="1"/>
        <v/>
      </c>
      <c r="F118" s="58"/>
      <c r="G118" s="29"/>
    </row>
    <row r="119" ht="14.25" customHeight="1">
      <c r="B119" s="29" t="str">
        <f t="shared" si="1"/>
        <v/>
      </c>
      <c r="F119" s="58"/>
      <c r="G119" s="29"/>
    </row>
    <row r="120" ht="14.25" customHeight="1">
      <c r="B120" s="29" t="str">
        <f t="shared" si="1"/>
        <v/>
      </c>
      <c r="F120" s="58"/>
      <c r="G120" s="29"/>
    </row>
    <row r="121" ht="14.25" customHeight="1">
      <c r="B121" s="29" t="str">
        <f t="shared" si="1"/>
        <v/>
      </c>
      <c r="F121" s="58"/>
      <c r="G121" s="29"/>
    </row>
    <row r="122" ht="14.25" customHeight="1">
      <c r="B122" s="29" t="str">
        <f t="shared" si="1"/>
        <v/>
      </c>
      <c r="F122" s="58"/>
      <c r="G122" s="29"/>
    </row>
    <row r="123" ht="14.25" customHeight="1">
      <c r="B123" s="29" t="str">
        <f t="shared" si="1"/>
        <v/>
      </c>
      <c r="F123" s="58"/>
      <c r="G123" s="29"/>
    </row>
    <row r="124" ht="14.25" customHeight="1">
      <c r="B124" s="29" t="str">
        <f t="shared" si="1"/>
        <v/>
      </c>
      <c r="F124" s="58"/>
      <c r="G124" s="29"/>
    </row>
    <row r="125" ht="14.25" customHeight="1">
      <c r="B125" s="29" t="str">
        <f t="shared" si="1"/>
        <v/>
      </c>
      <c r="F125" s="58"/>
      <c r="G125" s="29"/>
    </row>
    <row r="126" ht="14.25" customHeight="1">
      <c r="B126" s="29" t="str">
        <f t="shared" si="1"/>
        <v/>
      </c>
      <c r="F126" s="58"/>
      <c r="G126" s="29"/>
    </row>
    <row r="127" ht="14.25" customHeight="1">
      <c r="B127" s="29" t="str">
        <f t="shared" si="1"/>
        <v/>
      </c>
      <c r="F127" s="58"/>
      <c r="G127" s="29"/>
    </row>
    <row r="128" ht="14.25" customHeight="1">
      <c r="B128" s="29" t="str">
        <f t="shared" si="1"/>
        <v/>
      </c>
      <c r="F128" s="58"/>
      <c r="G128" s="29"/>
    </row>
    <row r="129" ht="14.25" customHeight="1">
      <c r="B129" s="29" t="str">
        <f t="shared" si="1"/>
        <v/>
      </c>
      <c r="F129" s="58"/>
      <c r="G129" s="29"/>
    </row>
    <row r="130" ht="14.25" customHeight="1">
      <c r="B130" s="29" t="str">
        <f t="shared" si="1"/>
        <v/>
      </c>
      <c r="F130" s="58"/>
      <c r="G130" s="29"/>
    </row>
    <row r="131" ht="14.25" customHeight="1">
      <c r="B131" s="29" t="str">
        <f t="shared" si="1"/>
        <v/>
      </c>
      <c r="F131" s="58"/>
      <c r="G131" s="29"/>
    </row>
    <row r="132" ht="14.25" customHeight="1">
      <c r="B132" s="29" t="str">
        <f t="shared" si="1"/>
        <v/>
      </c>
      <c r="F132" s="58"/>
      <c r="G132" s="29"/>
    </row>
    <row r="133" ht="14.25" customHeight="1">
      <c r="B133" s="29" t="str">
        <f t="shared" si="1"/>
        <v/>
      </c>
      <c r="F133" s="58"/>
      <c r="G133" s="29"/>
    </row>
    <row r="134" ht="14.25" customHeight="1">
      <c r="B134" s="29" t="str">
        <f t="shared" si="1"/>
        <v/>
      </c>
      <c r="F134" s="58"/>
      <c r="G134" s="29"/>
    </row>
    <row r="135" ht="14.25" customHeight="1">
      <c r="B135" s="29" t="str">
        <f t="shared" si="1"/>
        <v/>
      </c>
      <c r="F135" s="58"/>
      <c r="G135" s="29"/>
    </row>
    <row r="136" ht="14.25" customHeight="1">
      <c r="B136" s="29" t="str">
        <f t="shared" si="1"/>
        <v/>
      </c>
      <c r="F136" s="58"/>
      <c r="G136" s="29"/>
    </row>
    <row r="137" ht="14.25" customHeight="1">
      <c r="B137" s="29" t="str">
        <f t="shared" si="1"/>
        <v/>
      </c>
      <c r="F137" s="58"/>
      <c r="G137" s="29"/>
    </row>
    <row r="138" ht="14.25" customHeight="1">
      <c r="B138" s="29" t="str">
        <f t="shared" si="1"/>
        <v/>
      </c>
      <c r="F138" s="58"/>
      <c r="G138" s="29"/>
    </row>
    <row r="139" ht="14.25" customHeight="1">
      <c r="B139" s="29" t="str">
        <f t="shared" si="1"/>
        <v/>
      </c>
      <c r="F139" s="58"/>
      <c r="G139" s="29"/>
    </row>
    <row r="140" ht="14.25" customHeight="1">
      <c r="B140" s="29" t="str">
        <f t="shared" si="1"/>
        <v/>
      </c>
      <c r="F140" s="58"/>
      <c r="G140" s="29"/>
    </row>
    <row r="141" ht="14.25" customHeight="1">
      <c r="B141" s="29" t="str">
        <f t="shared" si="1"/>
        <v/>
      </c>
      <c r="F141" s="58"/>
      <c r="G141" s="29"/>
    </row>
    <row r="142" ht="14.25" customHeight="1">
      <c r="B142" s="29" t="str">
        <f t="shared" si="1"/>
        <v/>
      </c>
      <c r="F142" s="58"/>
      <c r="G142" s="29"/>
    </row>
    <row r="143" ht="14.25" customHeight="1">
      <c r="B143" s="29" t="str">
        <f t="shared" si="1"/>
        <v/>
      </c>
      <c r="F143" s="58"/>
      <c r="G143" s="29"/>
    </row>
    <row r="144" ht="14.25" customHeight="1">
      <c r="B144" s="29" t="str">
        <f t="shared" si="1"/>
        <v/>
      </c>
      <c r="F144" s="58"/>
      <c r="G144" s="29"/>
    </row>
    <row r="145" ht="14.25" customHeight="1">
      <c r="B145" s="29" t="str">
        <f t="shared" si="1"/>
        <v/>
      </c>
      <c r="F145" s="58"/>
      <c r="G145" s="29"/>
    </row>
    <row r="146" ht="14.25" customHeight="1">
      <c r="B146" s="29" t="str">
        <f t="shared" si="1"/>
        <v/>
      </c>
      <c r="F146" s="58"/>
      <c r="G146" s="29"/>
    </row>
    <row r="147" ht="14.25" customHeight="1">
      <c r="B147" s="29" t="str">
        <f t="shared" si="1"/>
        <v/>
      </c>
      <c r="F147" s="58"/>
      <c r="G147" s="29"/>
    </row>
    <row r="148" ht="14.25" customHeight="1">
      <c r="B148" s="29" t="str">
        <f t="shared" si="1"/>
        <v/>
      </c>
      <c r="F148" s="58"/>
      <c r="G148" s="29"/>
    </row>
    <row r="149" ht="14.25" customHeight="1">
      <c r="B149" s="29" t="str">
        <f t="shared" si="1"/>
        <v/>
      </c>
      <c r="F149" s="58"/>
      <c r="G149" s="29"/>
    </row>
    <row r="150" ht="14.25" customHeight="1">
      <c r="B150" s="29" t="str">
        <f t="shared" si="1"/>
        <v/>
      </c>
      <c r="F150" s="58"/>
      <c r="G150" s="29"/>
    </row>
    <row r="151" ht="14.25" customHeight="1">
      <c r="B151" s="29" t="str">
        <f t="shared" si="1"/>
        <v/>
      </c>
      <c r="F151" s="58"/>
      <c r="G151" s="29"/>
    </row>
    <row r="152" ht="14.25" customHeight="1">
      <c r="B152" s="29" t="str">
        <f t="shared" si="1"/>
        <v/>
      </c>
      <c r="F152" s="58"/>
      <c r="G152" s="29"/>
    </row>
    <row r="153" ht="14.25" customHeight="1">
      <c r="B153" s="29" t="str">
        <f t="shared" si="1"/>
        <v/>
      </c>
      <c r="F153" s="58"/>
      <c r="G153" s="29"/>
    </row>
    <row r="154" ht="14.25" customHeight="1">
      <c r="B154" s="29" t="str">
        <f t="shared" si="1"/>
        <v/>
      </c>
      <c r="F154" s="58"/>
      <c r="G154" s="29"/>
    </row>
    <row r="155" ht="14.25" customHeight="1">
      <c r="B155" s="29" t="str">
        <f t="shared" si="1"/>
        <v/>
      </c>
      <c r="F155" s="58"/>
      <c r="G155" s="29"/>
    </row>
    <row r="156" ht="14.25" customHeight="1">
      <c r="B156" s="29" t="str">
        <f t="shared" si="1"/>
        <v/>
      </c>
      <c r="F156" s="58"/>
      <c r="G156" s="29"/>
    </row>
    <row r="157" ht="14.25" customHeight="1">
      <c r="B157" s="29" t="str">
        <f t="shared" si="1"/>
        <v/>
      </c>
      <c r="F157" s="58"/>
      <c r="G157" s="29"/>
    </row>
    <row r="158" ht="14.25" customHeight="1">
      <c r="B158" s="29" t="str">
        <f t="shared" si="1"/>
        <v/>
      </c>
      <c r="F158" s="58"/>
      <c r="G158" s="29"/>
    </row>
    <row r="159" ht="14.25" customHeight="1">
      <c r="B159" s="29" t="str">
        <f t="shared" si="1"/>
        <v/>
      </c>
      <c r="F159" s="58"/>
      <c r="G159" s="29"/>
    </row>
    <row r="160" ht="14.25" customHeight="1">
      <c r="B160" s="29" t="str">
        <f t="shared" si="1"/>
        <v/>
      </c>
      <c r="F160" s="58"/>
      <c r="G160" s="29"/>
    </row>
    <row r="161" ht="14.25" customHeight="1">
      <c r="B161" s="29" t="str">
        <f t="shared" si="1"/>
        <v/>
      </c>
      <c r="F161" s="58"/>
      <c r="G161" s="29"/>
    </row>
    <row r="162" ht="14.25" customHeight="1">
      <c r="B162" s="29" t="str">
        <f t="shared" si="1"/>
        <v/>
      </c>
      <c r="F162" s="58"/>
      <c r="G162" s="29"/>
    </row>
    <row r="163" ht="14.25" customHeight="1">
      <c r="B163" s="29" t="str">
        <f t="shared" si="1"/>
        <v/>
      </c>
      <c r="F163" s="58"/>
      <c r="G163" s="29"/>
    </row>
    <row r="164" ht="14.25" customHeight="1">
      <c r="B164" s="29" t="str">
        <f t="shared" si="1"/>
        <v/>
      </c>
      <c r="F164" s="58"/>
      <c r="G164" s="29"/>
    </row>
    <row r="165" ht="14.25" customHeight="1">
      <c r="B165" s="29" t="str">
        <f t="shared" si="1"/>
        <v/>
      </c>
      <c r="F165" s="58"/>
      <c r="G165" s="29"/>
    </row>
    <row r="166" ht="14.25" customHeight="1">
      <c r="B166" s="29" t="str">
        <f t="shared" si="1"/>
        <v/>
      </c>
      <c r="F166" s="58"/>
      <c r="G166" s="29"/>
    </row>
    <row r="167" ht="14.25" customHeight="1">
      <c r="B167" s="29" t="str">
        <f t="shared" si="1"/>
        <v/>
      </c>
      <c r="F167" s="58"/>
      <c r="G167" s="29"/>
    </row>
    <row r="168" ht="14.25" customHeight="1">
      <c r="B168" s="29" t="str">
        <f t="shared" si="1"/>
        <v/>
      </c>
      <c r="F168" s="58"/>
      <c r="G168" s="29"/>
    </row>
    <row r="169" ht="14.25" customHeight="1">
      <c r="B169" s="29" t="str">
        <f t="shared" si="1"/>
        <v/>
      </c>
      <c r="F169" s="58"/>
      <c r="G169" s="29"/>
    </row>
    <row r="170" ht="14.25" customHeight="1">
      <c r="B170" s="29" t="str">
        <f t="shared" si="1"/>
        <v/>
      </c>
      <c r="F170" s="58"/>
      <c r="G170" s="29"/>
    </row>
    <row r="171" ht="14.25" customHeight="1">
      <c r="B171" s="29" t="str">
        <f t="shared" si="1"/>
        <v/>
      </c>
      <c r="F171" s="58"/>
      <c r="G171" s="29"/>
    </row>
    <row r="172" ht="14.25" customHeight="1">
      <c r="B172" s="29" t="str">
        <f t="shared" si="1"/>
        <v/>
      </c>
      <c r="F172" s="58"/>
      <c r="G172" s="29"/>
    </row>
    <row r="173" ht="14.25" customHeight="1">
      <c r="B173" s="29" t="str">
        <f t="shared" si="1"/>
        <v/>
      </c>
      <c r="F173" s="58"/>
      <c r="G173" s="29"/>
    </row>
    <row r="174" ht="14.25" customHeight="1">
      <c r="B174" s="29" t="str">
        <f t="shared" si="1"/>
        <v/>
      </c>
      <c r="F174" s="58"/>
      <c r="G174" s="29"/>
    </row>
    <row r="175" ht="14.25" customHeight="1">
      <c r="B175" s="29" t="str">
        <f t="shared" si="1"/>
        <v/>
      </c>
      <c r="F175" s="58"/>
      <c r="G175" s="29"/>
    </row>
    <row r="176" ht="14.25" customHeight="1">
      <c r="B176" s="29" t="str">
        <f t="shared" si="1"/>
        <v/>
      </c>
      <c r="F176" s="58"/>
      <c r="G176" s="29"/>
    </row>
    <row r="177" ht="14.25" customHeight="1">
      <c r="B177" s="29" t="str">
        <f t="shared" si="1"/>
        <v/>
      </c>
      <c r="F177" s="58"/>
      <c r="G177" s="29"/>
    </row>
    <row r="178" ht="14.25" customHeight="1">
      <c r="B178" s="29" t="str">
        <f t="shared" si="1"/>
        <v/>
      </c>
      <c r="F178" s="58"/>
      <c r="G178" s="29"/>
    </row>
    <row r="179" ht="14.25" customHeight="1">
      <c r="B179" s="29" t="str">
        <f t="shared" si="1"/>
        <v/>
      </c>
      <c r="F179" s="58"/>
      <c r="G179" s="29"/>
    </row>
    <row r="180" ht="14.25" customHeight="1">
      <c r="B180" s="29" t="str">
        <f t="shared" si="1"/>
        <v/>
      </c>
      <c r="F180" s="58"/>
      <c r="G180" s="29"/>
    </row>
    <row r="181" ht="14.25" customHeight="1">
      <c r="B181" s="29" t="str">
        <f t="shared" si="1"/>
        <v/>
      </c>
      <c r="F181" s="58"/>
      <c r="G181" s="29"/>
    </row>
    <row r="182" ht="14.25" customHeight="1">
      <c r="B182" s="29" t="str">
        <f t="shared" si="1"/>
        <v/>
      </c>
      <c r="F182" s="58"/>
      <c r="G182" s="29"/>
    </row>
    <row r="183" ht="14.25" customHeight="1">
      <c r="B183" s="29" t="str">
        <f t="shared" si="1"/>
        <v/>
      </c>
      <c r="F183" s="58"/>
      <c r="G183" s="29"/>
    </row>
    <row r="184" ht="14.25" customHeight="1">
      <c r="B184" s="29" t="str">
        <f t="shared" si="1"/>
        <v/>
      </c>
      <c r="F184" s="58"/>
      <c r="G184" s="29"/>
    </row>
    <row r="185" ht="14.25" customHeight="1">
      <c r="B185" s="29" t="str">
        <f t="shared" si="1"/>
        <v/>
      </c>
      <c r="F185" s="58"/>
      <c r="G185" s="29"/>
    </row>
    <row r="186" ht="14.25" customHeight="1">
      <c r="B186" s="29" t="str">
        <f t="shared" si="1"/>
        <v/>
      </c>
      <c r="F186" s="58"/>
      <c r="G186" s="29"/>
    </row>
    <row r="187" ht="14.25" customHeight="1">
      <c r="B187" s="29" t="str">
        <f t="shared" si="1"/>
        <v/>
      </c>
      <c r="F187" s="58"/>
      <c r="G187" s="29"/>
    </row>
    <row r="188" ht="14.25" customHeight="1">
      <c r="B188" s="29" t="str">
        <f t="shared" si="1"/>
        <v/>
      </c>
      <c r="F188" s="58"/>
      <c r="G188" s="29"/>
    </row>
    <row r="189" ht="14.25" customHeight="1">
      <c r="B189" s="29" t="str">
        <f t="shared" si="1"/>
        <v/>
      </c>
      <c r="F189" s="58"/>
      <c r="G189" s="29"/>
    </row>
    <row r="190" ht="14.25" customHeight="1">
      <c r="B190" s="29" t="str">
        <f t="shared" si="1"/>
        <v/>
      </c>
      <c r="F190" s="58"/>
      <c r="G190" s="29"/>
    </row>
    <row r="191" ht="14.25" customHeight="1">
      <c r="B191" s="29" t="str">
        <f t="shared" si="1"/>
        <v/>
      </c>
      <c r="F191" s="58"/>
      <c r="G191" s="29"/>
    </row>
    <row r="192" ht="14.25" customHeight="1">
      <c r="B192" s="29" t="str">
        <f t="shared" si="1"/>
        <v/>
      </c>
      <c r="F192" s="58"/>
      <c r="G192" s="29"/>
    </row>
    <row r="193" ht="14.25" customHeight="1">
      <c r="B193" s="29" t="str">
        <f t="shared" si="1"/>
        <v/>
      </c>
      <c r="F193" s="58"/>
      <c r="G193" s="29"/>
    </row>
    <row r="194" ht="14.25" customHeight="1">
      <c r="B194" s="29" t="str">
        <f t="shared" si="1"/>
        <v/>
      </c>
      <c r="F194" s="58"/>
      <c r="G194" s="29"/>
    </row>
    <row r="195" ht="14.25" customHeight="1">
      <c r="B195" s="29" t="str">
        <f t="shared" si="1"/>
        <v/>
      </c>
      <c r="F195" s="58"/>
      <c r="G195" s="29"/>
    </row>
    <row r="196" ht="14.25" customHeight="1">
      <c r="B196" s="29" t="str">
        <f t="shared" si="1"/>
        <v/>
      </c>
      <c r="F196" s="58"/>
      <c r="G196" s="29"/>
    </row>
    <row r="197" ht="14.25" customHeight="1">
      <c r="B197" s="29" t="str">
        <f t="shared" si="1"/>
        <v/>
      </c>
      <c r="F197" s="58"/>
      <c r="G197" s="29"/>
    </row>
    <row r="198" ht="14.25" customHeight="1">
      <c r="B198" s="29" t="str">
        <f t="shared" si="1"/>
        <v/>
      </c>
      <c r="F198" s="58"/>
      <c r="G198" s="29"/>
    </row>
    <row r="199" ht="14.25" customHeight="1">
      <c r="B199" s="29" t="str">
        <f t="shared" si="1"/>
        <v/>
      </c>
      <c r="F199" s="58"/>
      <c r="G199" s="29"/>
    </row>
    <row r="200" ht="14.25" customHeight="1">
      <c r="B200" s="29" t="str">
        <f t="shared" si="1"/>
        <v/>
      </c>
      <c r="F200" s="58"/>
      <c r="G200" s="29"/>
    </row>
    <row r="201" ht="14.25" customHeight="1">
      <c r="B201" s="29" t="str">
        <f t="shared" si="1"/>
        <v/>
      </c>
      <c r="F201" s="58"/>
      <c r="G201" s="29"/>
    </row>
    <row r="202" ht="14.25" customHeight="1">
      <c r="B202" s="29" t="str">
        <f t="shared" si="1"/>
        <v/>
      </c>
      <c r="F202" s="58"/>
      <c r="G202" s="29"/>
    </row>
    <row r="203" ht="14.25" customHeight="1">
      <c r="B203" s="29" t="str">
        <f t="shared" si="1"/>
        <v/>
      </c>
      <c r="F203" s="58"/>
      <c r="G203" s="29"/>
    </row>
    <row r="204" ht="14.25" customHeight="1">
      <c r="B204" s="29" t="str">
        <f t="shared" si="1"/>
        <v/>
      </c>
      <c r="F204" s="58"/>
      <c r="G204" s="29"/>
    </row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G2"/>
  </mergeCells>
  <dataValidations>
    <dataValidation type="list" allowBlank="1" sqref="G5:G204">
      <formula1>"Sim,Passaria para ver a entrevista,Não"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2026-08-26T21:11:12Z</dcterms:created>
  <dc:creator>openpyxl</dc:creator>
</cp:coreProperties>
</file>