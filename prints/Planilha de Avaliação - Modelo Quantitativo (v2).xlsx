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mo usar" sheetId="1" state="visible" r:id="rId1"/>
    <sheet xmlns:r="http://schemas.openxmlformats.org/officeDocument/2006/relationships" name="Base avaliação" sheetId="2" state="visible" r:id="rId2"/>
    <sheet xmlns:r="http://schemas.openxmlformats.org/officeDocument/2006/relationships" name="Avaliação" sheetId="3" state="visible" r:id="rId3"/>
    <sheet xmlns:r="http://schemas.openxmlformats.org/officeDocument/2006/relationships" name="Consolidado" sheetId="4" state="visible" r:id="rId4"/>
    <sheet xmlns:r="http://schemas.openxmlformats.org/officeDocument/2006/relationships" name="Entrevista" sheetId="5" state="visible" r:id="rId5"/>
    <sheet xmlns:r="http://schemas.openxmlformats.org/officeDocument/2006/relationships" name="Gabarito" sheetId="6" state="visible" r:id="rId6"/>
    <sheet xmlns:r="http://schemas.openxmlformats.org/officeDocument/2006/relationships" name="Comentários" sheetId="7" state="visible" r:id="rId7"/>
  </sheets>
  <definedNames>
    <definedName name="_xlnm._FilterDatabase" localSheetId="2" hidden="1">'Avaliação'!$A$5:$AI$206</definedName>
  </definedNames>
  <calcPr calcId="124519" fullCalcOnLoad="1"/>
</workbook>
</file>

<file path=xl/styles.xml><?xml version="1.0" encoding="utf-8"?>
<styleSheet xmlns="http://schemas.openxmlformats.org/spreadsheetml/2006/main">
  <numFmts count="1">
    <numFmt numFmtId="164" formatCode="0.0"/>
  </numFmts>
  <fonts count="28">
    <font>
      <name val="Calibri"/>
      <color theme="1"/>
      <sz val="11"/>
      <scheme val="minor"/>
    </font>
    <font>
      <name val="Calibri"/>
      <b val="1"/>
      <color rgb="FFFFFFFF"/>
      <sz val="14"/>
    </font>
    <font/>
    <font>
      <name val="Calibri"/>
      <b val="1"/>
      <color rgb="FFFFFFFF"/>
      <sz val="11"/>
    </font>
    <font>
      <name val="Calibri"/>
      <b val="1"/>
      <color rgb="FFC1272D"/>
      <sz val="10"/>
    </font>
    <font>
      <name val="Calibri"/>
      <color theme="1"/>
      <sz val="10"/>
    </font>
    <font>
      <name val="Calibri"/>
      <b val="1"/>
      <color rgb="FFFFFFFF"/>
      <sz val="12"/>
    </font>
    <font>
      <name val="Calibri"/>
      <b val="1"/>
      <color rgb="FFFFFFFF"/>
      <sz val="13"/>
    </font>
    <font>
      <name val="Calibri"/>
      <b val="1"/>
      <color rgb="FFFFFFFF"/>
      <scheme val="minor"/>
    </font>
    <font>
      <name val="Calibri"/>
      <color theme="1"/>
      <scheme val="minor"/>
    </font>
    <font>
      <name val="Calibri"/>
      <b val="1"/>
      <color rgb="FFC1272D"/>
      <sz val="11"/>
    </font>
    <font>
      <name val="Calibri"/>
      <b val="1"/>
      <color rgb="FF000000"/>
      <sz val="10"/>
    </font>
    <font>
      <name val="Calibri"/>
      <b val="1"/>
      <color theme="1"/>
      <sz val="10"/>
    </font>
    <font>
      <name val="Calibri"/>
      <i val="1"/>
      <color rgb="FF7A8496"/>
      <sz val="9"/>
    </font>
    <font>
      <name val="Calibri"/>
      <b val="1"/>
      <color rgb="FF38761D"/>
      <sz val="11"/>
    </font>
    <font>
      <name val="Calibri"/>
      <color theme="1"/>
      <sz val="11"/>
    </font>
    <font>
      <name val="Calibri"/>
      <b val="1"/>
      <color rgb="FFFFFFFF"/>
      <sz val="9"/>
    </font>
    <font>
      <name val="Calibri"/>
      <b val="1"/>
      <color rgb="FF7F6000"/>
      <sz val="11"/>
    </font>
    <font>
      <name val="Calibri"/>
      <b val="1"/>
      <color rgb="FFB45F06"/>
      <sz val="11"/>
    </font>
    <font>
      <name val="Calibri"/>
      <b val="1"/>
      <i val="1"/>
      <color rgb="FFC1272D"/>
      <sz val="9"/>
    </font>
    <font>
      <name val="Calibri"/>
      <b val="1"/>
      <color rgb="FF000000"/>
      <sz val="9"/>
    </font>
    <font>
      <name val="Calibri"/>
      <b val="1"/>
      <i val="1"/>
      <color rgb="FF6B7280"/>
      <sz val="11"/>
    </font>
    <font>
      <name val="Calibri"/>
      <color rgb="FF6B7280"/>
      <sz val="9"/>
    </font>
    <font>
      <name val="Calibri"/>
      <color rgb="FF595959"/>
      <sz val="9"/>
    </font>
    <font>
      <name val="Calibri"/>
      <b val="1"/>
      <color theme="1"/>
      <sz val="11"/>
    </font>
    <font>
      <name val="Calibri"/>
      <i val="1"/>
      <color rgb="FF595959"/>
      <sz val="9"/>
    </font>
    <font>
      <name val="Consolas"/>
      <color theme="1"/>
      <sz val="10"/>
    </font>
    <font>
      <name val="Calibri"/>
      <b val="1"/>
      <color rgb="FFC1272D"/>
      <sz val="9"/>
    </font>
  </fonts>
  <fills count="11">
    <fill>
      <patternFill/>
    </fill>
    <fill>
      <patternFill patternType="lightGray"/>
    </fill>
    <fill>
      <patternFill patternType="solid">
        <fgColor rgb="FF000000"/>
        <bgColor rgb="FF000000"/>
      </patternFill>
    </fill>
    <fill>
      <patternFill patternType="solid">
        <fgColor rgb="FFC1272D"/>
        <bgColor rgb="FFC1272D"/>
      </patternFill>
    </fill>
    <fill>
      <patternFill patternType="solid">
        <fgColor rgb="FFFF0000"/>
        <bgColor rgb="FFFF0000"/>
      </patternFill>
    </fill>
    <fill>
      <patternFill patternType="solid">
        <fgColor rgb="FFF4CCCC"/>
        <bgColor rgb="FFF4CCCC"/>
      </patternFill>
    </fill>
    <fill>
      <patternFill patternType="solid">
        <fgColor rgb="FFEFEFEF"/>
        <bgColor rgb="FFEFEFEF"/>
      </patternFill>
    </fill>
    <fill>
      <patternFill patternType="solid">
        <fgColor rgb="FFFFF2CC"/>
        <bgColor rgb="FFFFF2CC"/>
      </patternFill>
    </fill>
    <fill>
      <patternFill patternType="solid">
        <fgColor rgb="FF00FF00"/>
        <bgColor rgb="FF00FF00"/>
      </patternFill>
    </fill>
    <fill>
      <patternFill patternType="solid">
        <fgColor rgb="FFB7B7B7"/>
        <bgColor rgb="FFB7B7B7"/>
      </patternFill>
    </fill>
    <fill>
      <patternFill patternType="solid">
        <fgColor rgb="FF999999"/>
        <bgColor rgb="FF999999"/>
      </patternFill>
    </fill>
  </fills>
  <borders count="6">
    <border/>
    <border>
      <left/>
      <top/>
      <bottom/>
    </border>
    <border>
      <right/>
      <top/>
      <bottom/>
    </border>
    <border>
      <top/>
      <bottom/>
    </border>
    <border>
      <left style="thin">
        <color rgb="FFD9D9D9"/>
      </left>
      <right style="thin">
        <color rgb="FFD9D9D9"/>
      </right>
      <top style="thin">
        <color rgb="FFD9D9D9"/>
      </top>
      <bottom style="thin">
        <color rgb="FFD9D9D9"/>
      </bottom>
    </border>
    <border>
      <left/>
      <right/>
      <top/>
      <bottom/>
    </border>
  </borders>
  <cellStyleXfs count="1">
    <xf numFmtId="0" fontId="0" fillId="0" borderId="0"/>
  </cellStyleXfs>
  <cellXfs count="74">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0" borderId="2" pivotButton="0" quotePrefix="0" xfId="0"/>
    <xf numFmtId="0" fontId="3" fillId="3" borderId="1" applyAlignment="1" pivotButton="0" quotePrefix="0" xfId="0">
      <alignment horizontal="left" vertical="center" wrapText="1"/>
    </xf>
    <xf numFmtId="0" fontId="4" fillId="0" borderId="0" applyAlignment="1" pivotButton="0" quotePrefix="0" xfId="0">
      <alignment vertical="top" wrapText="1"/>
    </xf>
    <xf numFmtId="0" fontId="5" fillId="0" borderId="0" applyAlignment="1" pivotButton="0" quotePrefix="0" xfId="0">
      <alignment vertical="top" wrapText="1"/>
    </xf>
    <xf numFmtId="9" fontId="5" fillId="0" borderId="0" applyAlignment="1" pivotButton="0" quotePrefix="0" xfId="0">
      <alignment horizontal="left" vertical="top" wrapText="1"/>
    </xf>
    <xf numFmtId="0" fontId="6" fillId="2" borderId="1" applyAlignment="1" pivotButton="0" quotePrefix="0" xfId="0">
      <alignment horizontal="left" vertical="center" wrapText="1"/>
    </xf>
    <xf numFmtId="0" fontId="7" fillId="2" borderId="1" applyAlignment="1" pivotButton="0" quotePrefix="0" xfId="0">
      <alignment horizontal="left" vertical="center" wrapText="1"/>
    </xf>
    <xf numFmtId="0" fontId="2" fillId="0" borderId="3" pivotButton="0" quotePrefix="0" xfId="0"/>
    <xf numFmtId="0" fontId="6" fillId="3" borderId="1" applyAlignment="1" pivotButton="0" quotePrefix="0" xfId="0">
      <alignment horizontal="left" vertical="center" wrapText="1"/>
    </xf>
    <xf numFmtId="0" fontId="8" fillId="4" borderId="0" pivotButton="0" quotePrefix="0" xfId="0"/>
    <xf numFmtId="0" fontId="9" fillId="4" borderId="0" pivotButton="0" quotePrefix="0" xfId="0"/>
    <xf numFmtId="0" fontId="10" fillId="5" borderId="4" applyAlignment="1" pivotButton="0" quotePrefix="0" xfId="0">
      <alignment vertical="center" wrapText="1"/>
    </xf>
    <xf numFmtId="0" fontId="11" fillId="6" borderId="1" applyAlignment="1" pivotButton="0" quotePrefix="0" xfId="0">
      <alignment horizontal="center" vertical="center"/>
    </xf>
    <xf numFmtId="0" fontId="4" fillId="5" borderId="4" applyAlignment="1" pivotButton="0" quotePrefix="0" xfId="0">
      <alignment vertical="center" wrapText="1"/>
    </xf>
    <xf numFmtId="0" fontId="12" fillId="5" borderId="4" applyAlignment="1" pivotButton="0" quotePrefix="0" xfId="0">
      <alignment vertical="center" wrapText="1"/>
    </xf>
    <xf numFmtId="0" fontId="13" fillId="5" borderId="4" applyAlignment="1" pivotButton="0" quotePrefix="0" xfId="0">
      <alignment vertical="center" wrapText="1"/>
    </xf>
    <xf numFmtId="0" fontId="14" fillId="0" borderId="4" applyAlignment="1" pivotButton="0" quotePrefix="0" xfId="0">
      <alignment horizontal="center" vertical="center"/>
    </xf>
    <xf numFmtId="0" fontId="5" fillId="0" borderId="4" applyAlignment="1" pivotButton="0" quotePrefix="0" xfId="0">
      <alignment vertical="center" wrapText="1"/>
    </xf>
    <xf numFmtId="0" fontId="15" fillId="0" borderId="4" pivotButton="0" quotePrefix="0" xfId="0"/>
    <xf numFmtId="0" fontId="16" fillId="3" borderId="5" applyAlignment="1" pivotButton="0" quotePrefix="0" xfId="0">
      <alignment horizontal="left" vertical="center" wrapText="1"/>
    </xf>
    <xf numFmtId="0" fontId="17" fillId="0" borderId="4" applyAlignment="1" pivotButton="0" quotePrefix="0" xfId="0">
      <alignment horizontal="center" vertical="center"/>
    </xf>
    <xf numFmtId="0" fontId="18" fillId="0" borderId="4" applyAlignment="1" pivotButton="0" quotePrefix="0" xfId="0">
      <alignment horizontal="center" vertical="center"/>
    </xf>
    <xf numFmtId="0" fontId="16" fillId="3" borderId="5" applyAlignment="1" pivotButton="0" quotePrefix="0" xfId="0">
      <alignment horizontal="left" vertical="center" wrapText="1"/>
    </xf>
    <xf numFmtId="0" fontId="10" fillId="0" borderId="4" applyAlignment="1" pivotButton="0" quotePrefix="0" xfId="0">
      <alignment horizontal="center" vertical="center"/>
    </xf>
    <xf numFmtId="0" fontId="16" fillId="3" borderId="5" applyAlignment="1" pivotButton="0" quotePrefix="0" xfId="0">
      <alignment horizontal="center" vertical="center"/>
    </xf>
    <xf numFmtId="0" fontId="19" fillId="6" borderId="5" applyAlignment="1" pivotButton="0" quotePrefix="0" xfId="0">
      <alignment vertical="center" wrapText="1"/>
    </xf>
    <xf numFmtId="0" fontId="20" fillId="5" borderId="5" applyAlignment="1" pivotButton="0" quotePrefix="0" xfId="0">
      <alignment horizontal="left" vertical="center" wrapText="1"/>
    </xf>
    <xf numFmtId="0" fontId="9" fillId="0" borderId="0" pivotButton="0" quotePrefix="0" xfId="0"/>
    <xf numFmtId="0" fontId="9" fillId="0" borderId="0" pivotButton="0" quotePrefix="0" xfId="0"/>
    <xf numFmtId="0" fontId="21" fillId="0" borderId="0" pivotButton="0" quotePrefix="0" xfId="0"/>
    <xf numFmtId="0" fontId="15" fillId="0" borderId="0" applyAlignment="1" pivotButton="0" quotePrefix="0" xfId="0">
      <alignment horizontal="center"/>
    </xf>
    <xf numFmtId="2" fontId="10" fillId="0" borderId="0" pivotButton="0" quotePrefix="0" xfId="0"/>
    <xf numFmtId="164" fontId="22" fillId="0" borderId="0" pivotButton="0" quotePrefix="0" xfId="0"/>
    <xf numFmtId="0" fontId="15" fillId="0" borderId="0" applyAlignment="1" pivotButton="0" quotePrefix="0" xfId="0">
      <alignment vertical="center" wrapText="1"/>
    </xf>
    <xf numFmtId="0" fontId="11" fillId="7" borderId="1" applyAlignment="1" pivotButton="0" quotePrefix="0" xfId="0">
      <alignment vertical="center" wrapText="1"/>
    </xf>
    <xf numFmtId="0" fontId="13" fillId="0" borderId="0" applyAlignment="1" pivotButton="0" quotePrefix="0" xfId="0">
      <alignment vertical="center" wrapText="1"/>
    </xf>
    <xf numFmtId="0" fontId="9" fillId="8" borderId="0" pivotButton="0" quotePrefix="0" xfId="0"/>
    <xf numFmtId="2" fontId="10" fillId="0" borderId="0" applyAlignment="1" pivotButton="0" quotePrefix="0" xfId="0">
      <alignment horizontal="center"/>
    </xf>
    <xf numFmtId="14" fontId="15" fillId="0" borderId="0" applyAlignment="1" pivotButton="0" quotePrefix="0" xfId="0">
      <alignment horizontal="center"/>
    </xf>
    <xf numFmtId="0" fontId="15" fillId="0" borderId="0" applyAlignment="1" pivotButton="0" quotePrefix="0" xfId="0">
      <alignment horizontal="center"/>
    </xf>
    <xf numFmtId="0" fontId="9" fillId="4" borderId="0" pivotButton="0" quotePrefix="0" xfId="0"/>
    <xf numFmtId="0" fontId="12" fillId="0" borderId="4" applyAlignment="1" pivotButton="0" quotePrefix="0" xfId="0">
      <alignment vertical="center" wrapText="1"/>
    </xf>
    <xf numFmtId="0" fontId="15" fillId="0" borderId="4" applyAlignment="1" pivotButton="0" quotePrefix="0" xfId="0">
      <alignment vertical="center" wrapText="1"/>
    </xf>
    <xf numFmtId="0" fontId="15" fillId="0" borderId="4" pivotButton="0" quotePrefix="0" xfId="0"/>
    <xf numFmtId="0" fontId="15" fillId="0" borderId="0" applyAlignment="1" pivotButton="0" quotePrefix="0" xfId="0">
      <alignment vertical="top" wrapText="1"/>
    </xf>
    <xf numFmtId="0" fontId="9" fillId="9" borderId="0" pivotButton="0" quotePrefix="0" xfId="0"/>
    <xf numFmtId="0" fontId="9" fillId="10" borderId="0" pivotButton="0" quotePrefix="0" xfId="0"/>
    <xf numFmtId="0" fontId="15" fillId="0" borderId="0" applyAlignment="1" pivotButton="0" quotePrefix="0" xfId="0">
      <alignment vertical="bottom"/>
    </xf>
    <xf numFmtId="0" fontId="15" fillId="0" borderId="0" applyAlignment="1" pivotButton="0" quotePrefix="0" xfId="0">
      <alignment vertical="bottom"/>
    </xf>
    <xf numFmtId="0" fontId="15" fillId="0" borderId="4" applyAlignment="1" pivotButton="0" quotePrefix="0" xfId="0">
      <alignment horizontal="center" vertical="center"/>
    </xf>
    <xf numFmtId="0" fontId="4" fillId="0" borderId="4" applyAlignment="1" pivotButton="0" quotePrefix="0" xfId="0">
      <alignment horizontal="center" vertical="center"/>
    </xf>
    <xf numFmtId="0" fontId="23" fillId="0" borderId="4" applyAlignment="1" pivotButton="0" quotePrefix="0" xfId="0">
      <alignment vertical="center" wrapText="1"/>
    </xf>
    <xf numFmtId="0" fontId="24" fillId="0" borderId="4" applyAlignment="1" pivotButton="0" quotePrefix="0" xfId="0">
      <alignment vertical="center" wrapText="1"/>
    </xf>
    <xf numFmtId="0" fontId="25" fillId="0" borderId="4" applyAlignment="1" pivotButton="0" quotePrefix="0" xfId="0">
      <alignment vertical="center" wrapText="1"/>
    </xf>
    <xf numFmtId="0" fontId="5" fillId="0" borderId="0" applyAlignment="1" pivotButton="0" quotePrefix="0" xfId="0">
      <alignment vertical="center" wrapText="1"/>
    </xf>
    <xf numFmtId="0" fontId="26" fillId="0" borderId="0" applyAlignment="1" pivotButton="0" quotePrefix="0" xfId="0">
      <alignment vertical="center" wrapText="1"/>
    </xf>
    <xf numFmtId="0" fontId="15" fillId="0" borderId="0" applyAlignment="1" pivotButton="0" quotePrefix="0" xfId="0">
      <alignment vertical="top" wrapText="1"/>
    </xf>
    <xf numFmtId="0" fontId="27" fillId="0" borderId="0" applyAlignment="1" pivotButton="0" quotePrefix="0" xfId="0">
      <alignment vertical="center" wrapText="1"/>
    </xf>
    <xf numFmtId="0" fontId="0" fillId="0" borderId="0" pivotButton="0" quotePrefix="0" xfId="0"/>
    <xf numFmtId="0" fontId="1" fillId="2" borderId="5" applyAlignment="1" pivotButton="0" quotePrefix="0" xfId="0">
      <alignment horizontal="left" vertical="center" wrapText="1"/>
    </xf>
    <xf numFmtId="0" fontId="3" fillId="3" borderId="5" applyAlignment="1" pivotButton="0" quotePrefix="0" xfId="0">
      <alignment horizontal="left" vertical="center" wrapText="1"/>
    </xf>
    <xf numFmtId="0" fontId="7" fillId="2" borderId="5" applyAlignment="1" pivotButton="0" quotePrefix="0" xfId="0">
      <alignment horizontal="left" vertical="center" wrapText="1"/>
    </xf>
    <xf numFmtId="0" fontId="6" fillId="3" borderId="5" applyAlignment="1" pivotButton="0" quotePrefix="0" xfId="0">
      <alignment horizontal="left" vertical="center" wrapText="1"/>
    </xf>
    <xf numFmtId="0" fontId="11" fillId="7" borderId="5" applyAlignment="1" pivotButton="0" quotePrefix="0" xfId="0">
      <alignment vertical="center" wrapText="1"/>
    </xf>
    <xf numFmtId="0" fontId="6" fillId="2" borderId="5" applyAlignment="1" pivotButton="0" quotePrefix="0" xfId="0">
      <alignment horizontal="left" vertical="center" wrapText="1"/>
    </xf>
    <xf numFmtId="0" fontId="11" fillId="6" borderId="5" applyAlignment="1" pivotButton="0" quotePrefix="0" xfId="0">
      <alignment horizontal="center" vertical="center"/>
    </xf>
    <xf numFmtId="0" fontId="0" fillId="0" borderId="0" applyAlignment="1" pivotButton="0" quotePrefix="0" xfId="0">
      <alignment vertical="top" wrapText="1"/>
    </xf>
    <xf numFmtId="0" fontId="23" fillId="0" borderId="4" applyAlignment="1" pivotButton="0" quotePrefix="0" xfId="0">
      <alignment vertical="top" wrapText="1"/>
    </xf>
    <xf numFmtId="0" fontId="15" fillId="0"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15" fillId="0" borderId="0" applyAlignment="1" pivotButton="0" quotePrefix="0" xfId="0">
      <alignment vertical="top" wrapText="1"/>
    </xf>
  </cellXfs>
  <cellStyles count="1">
    <cellStyle name="Normal" xfId="0" builtinId="0"/>
  </cellStyles>
  <dxfs count="4">
    <dxf>
      <font/>
      <fill>
        <patternFill patternType="solid">
          <fgColor rgb="FFB6D7A8"/>
          <bgColor rgb="FFB6D7A8"/>
        </patternFill>
      </fill>
      <border/>
    </dxf>
    <dxf>
      <font/>
      <fill>
        <patternFill patternType="solid">
          <fgColor rgb="FFF4CCCC"/>
          <bgColor rgb="FFF4CCCC"/>
        </patternFill>
      </fill>
      <border/>
    </dxf>
    <dxf>
      <font>
        <b val="1"/>
        <color rgb="FFC1272D"/>
      </font>
      <fill>
        <patternFill patternType="solid">
          <fgColor rgb="FFF4CCCC"/>
          <bgColor rgb="FFF4CCCC"/>
        </patternFill>
      </fill>
      <border/>
    </dxf>
    <dxf>
      <font>
        <b val="1"/>
        <color rgb="FFB45F06"/>
      </font>
      <fill>
        <patternFill patternType="solid">
          <fgColor rgb="FFFFF2CC"/>
          <bgColor rgb="FFFFF2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None</author>
  </authors>
  <commentList>
    <comment ref="K5" authorId="0" shapeId="0">
      <text>
        <t>======
ID#AAACG5PojOk
CCU    (2026-09-12 00:58:54)
C1  (10 pts)
A comunicação está clara e direto ao ponto.
3 = A recomendação está escrita em UMA frase, nos 2 primeiros slides, com o número que a sustenta.
2 = A recomendação é explícita e clara, mas só aparece depois da metade da entrega.
1 = Dá pra inferir a recomendação, mas ela não está escrita em lugar nenhum.
0 = Não há recomendação, ou há duas incompatíveis entre si.
TESTE: Aponte o slide e a frase. Não conseguiu apontar? Não é 3.</t>
      </text>
    </comment>
    <comment ref="L5" authorId="0" shapeId="0">
      <text>
        <t>======
ID#AAACG5PojOY
CCU    (2026-09-12 00:58:54)
C2  (8 pts)
O desafio apresenta um formato que poderia ser apresentado a um cliente real.
3 = Documento fechado (capa, estrutura, apêndice), sem rascunho visível. Um cliente receberia como está.
2 = Estruturado, mas com pontas soltas: conta solta, slide inacabado, formatação inconsistente.
1 = Responde as perguntas, mas em formato de lista ou rascunho.
0 = Foto de papel, texto corrido no e-mail, ou arquivo sem estrutura nenhuma.
TESTE: Você mandaria esse arquivo, sem editar nada, pro cliente do seu projeto?</t>
      </text>
    </comment>
    <comment ref="M5" authorId="0" shapeId="0">
      <text>
        <t>======
ID#AAACG5PojO0
CCU    (2026-09-12 00:58:54)
C3  (7 pts)
A apresentação apresenta um bom storytelling e envolve o leitor.
3 = Lendo só os títulos, na ordem, a história fecha sozinha: contexto -&gt; problema -&gt; análise -&gt; recomendação -&gt; riscos.
2 = A sequência é lógica, com 1 ou 2 saltos que obrigam o leitor a voltar.
1 = Os blocos existem, mas soltos — um não puxa o outro.
0 = Ordem aleatória, ou é só uma lista de respostas às perguntas.
TESTE: Leia SÓ os títulos em voz alta. Se a recomendação não aparecer, é no máximo 1.</t>
      </text>
    </comment>
    <comment ref="N5" authorId="0" shapeId="0">
      <text>
        <t>======
ID#AAACG5PojOc
CCU    (2026-09-12 00:58:54)
C4  (5 pts)
O trabalho está visualmente bonito.
3 = Padrão único de fonte, cor e alinhamento em toda a entrega. Nenhum slide com parágrafo corrido.
2 = Consistente, com até 2 slides fora do padrão.
1 = Formatação improvisada, mas legível.
0 = Ilegível, desalinhado, ou é texto corrido.
TESTE: Conte os slides fora do padrão. É uma contagem, não uma impressão.</t>
      </text>
    </comment>
    <comment ref="P5" authorId="0" shapeId="0">
      <text>
        <t>======
ID#AAACG5PojOs
CCU    (2026-09-12 00:58:54)
R1  (8 pts)
Sua recomendação leva em consideração ambas as partes qualitativas e quantitativas do case.
3 = A recomendação cita o número que a sustenta E a razão de negócio; as duas partes se apoiam.
2 = Cita as duas, mas uma é decorativa — o número não sustenta de fato a decisão.
1 = Só quantitativa (número sem porquê) ou só qualitativa (opinião sem número).
0 = Não há recomendação, ou ela contraria os próprios números apresentados.
TESTE: Tape o número: a recomendação ainda se sustenta? Tape o argumento: ainda se sustenta?</t>
      </text>
    </comment>
    <comment ref="Q5" authorId="0" shapeId="0">
      <text>
        <t>======
ID#AAACG5PojOw
CCU    (2026-09-12 00:58:54)
R2  (7 pts)
O trabalho apresenta uma discussão rica com diversos pontos de vista sobre a expansão.
3 = Apresenta ao menos 2 caminhos, compara com critério explícito e justifica o que descartou.
2 = Cita alternativas, mas não compara — escolhe sem justificar.
1 = Menciona que existem alternativas, sem desenvolver nenhuma.
0 = Caminho único, sem discussão.
TESTE: Ele descartou alguma coisa por escrito? Se não descartou nada, não discutiu.</t>
      </text>
    </comment>
    <comment ref="R5" authorId="0" shapeId="0">
      <text>
        <t>======
ID#AAACG5PojO4
CCU    (2026-09-12 00:58:54)
R3  (5 pts)
Foi além do pedido e trouxe análises interessantes.
3 = Trouxe algo não pedido que MUDA ou FORTALECE a recomendação.
2 = Trouxe algo não pedido, correto e LIGADO À DECISÃO, mas que não altera a conclusão.
1 = Não trouxe nada além, mas entregou o pedido de forma completa e correta.
0 = O material extra NÃO SE CONECTA à decisão (tangenciou), ou o pedido ficou incompleto.
TESTE: A análise extra responde a uma pergunta que o cliente deveria ter feito? Se não dá pra dizer qual decisão ela informa, é 0 — não 2. Volume não conta: três páginas de análise tangencial valem menos que nenhuma.</t>
      </text>
    </comment>
    <comment ref="S5" authorId="0" shapeId="0">
      <text>
        <t>======
ID#AAACG5PojN8
CCU    (2026-09-12 00:58:54)
R4  (5 pts)
Foi além das interpretações óbvias dos indicadores e agregou valor à análise.
3 = Explica a CAUSA por trás do indicador e o que fazer com ela.
2 = Compara o indicador com algo (outra loja, outro ano, benchmark) e tira conclusão.
1 = Lê o indicador corretamente (ex.: a margem caiu).
0 = Repete o número sem interpretar.
TESTE: Ele respondeu 'por quê', 'comparado a quê', ou só 'quanto'?</t>
      </text>
    </comment>
    <comment ref="U5" authorId="0" shapeId="0">
      <text>
        <t>======
ID#AAACG5PojOM
CCU    (2026-09-12 00:58:54)
A1  (6 pts)
[CONTA CENTRAL 1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 Dois avaliadores têm que chegar no mesmo número.</t>
      </text>
    </comment>
    <comment ref="V5" authorId="0" shapeId="0">
      <text>
        <t>======
ID#AAACG5PojO8
CCU    (2026-09-12 00:58:54)
A2  (6 pts)
[CONTA CENTRAL 2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t>
      </text>
    </comment>
    <comment ref="W5" authorId="0" shapeId="0">
      <text>
        <t>======
ID#AAACG5PojOE
CCU    (2026-09-12 00:58:54)
A3  (4 pts)
[PROJEÇÃO / PLANO — a projeção pedida no case fecha com a meta declarada?]
3 = Os números da projeção chegam às metas do case E batem com o modelo que ele mesmo montou.
2 = Chega a parte das metas, ou chega a todas sem mostrar a ponte entre os anos.
1 = Plano narrativo, sem número.
0 = Não fez.
TESTE: Some os anos da projeção dele. Bate com a meta que ele mesmo escreveu?</t>
      </text>
    </comment>
    <comment ref="X5" authorId="0" shapeId="0">
      <text>
        <t>======
ID#AAACG5PojOI
CCU    (2026-09-12 00:58:54)
A4  (3 pts)
[ALTERNATIVA — propôs caminho alternativo coerente com o case?]
3 = Propõe alternativa com número estimado de impacto.
2 = Propõe alternativa coerente com o case, sem quantificar.
1 = Alternativa genérica — serviria pra qualquer empresa.
0 = Não propôs, ou propõe algo que contraria o case.
TESTE: A alternativa cita algo que só existe NESTE case? Se não, é 1.</t>
      </text>
    </comment>
    <comment ref="Y5" authorId="0" shapeId="0">
      <text>
        <t>======
ID#AAACG5PojOg
CCU    (2026-09-12 00:58:54)
A5  (3 pts)
Analisou riscos e próximos passos de forma lógica e estruturada?
3 = Riscos específicos da recomendação DELE, com mitigação e prazo.
2 = Riscos específicos, sem mitigação.
1 = Riscos genéricos (crise, concorrência, câmbio).
0 = Não fez.
TESTE: O risco listado some se a recomendação mudar? Se não some, é genérico.</t>
      </text>
    </comment>
    <comment ref="Z5" authorId="0" shapeId="0">
      <text>
        <t>======
ID#AAACG5PojOo
CCU    (2026-09-12 00:58:54)
A6  (3 pts)
Identificou a inconsistência plantada no material do case?
3 = Achou, apontou explicitamente e explicou como tratou.
2 = Achou e apontou.
1 = Contornou sem nomear — usou o número certo, mas não disse por quê.
0 = Construiu a análise inteira em cima do dado errado.
TESTE: Este é o item que a IA erra. Vale 3 pts e separa mais que qualquer outro.</t>
      </text>
    </comment>
    <comment ref="AB5" authorId="0" shapeId="0">
      <text>
        <t>======
ID#AAACG5PojOA
CCU    (2026-09-12 00:58:54)
E1  (3 pts)
Enviou planilha com a memória de cálculo.
1 = sim   ·   0 = não
TESTE: Sim = 1, Não = 0. Sem julgamento.</t>
      </text>
    </comment>
    <comment ref="AC5" authorId="0" shapeId="0">
      <text>
        <t>======
ID#AAACG5PojPI
CCU    (2026-09-12 00:58:54)
E2  (2 pts)
Enviou apresentação fechada (PPT ou relatório).
1 = sim   ·   0 = não
TESTE: Sim = 1, Não = 0.</t>
      </text>
    </comment>
    <comment ref="AD5" authorId="0" shapeId="0">
      <text>
        <t>======
ID#AAACG5PojOU
CCU    (2026-09-12 00:58:54)
E3  (2 pts)
Gravou o vídeo da entrega.
1 = sim   ·   0 = não
TESTE: Sim = 1, Não = 0.</t>
      </text>
    </comment>
    <comment ref="AE5" authorId="0" shapeId="0">
      <text>
        <t>======
ID#AAACG5PojPE
CCU    (2026-09-12 00:58:54)
E4  (3 pts)
O trabalho apresenta recursos textuais e visuais (gráficos, tabelas de DRE).
3 = Todo gráfico/tabela é citado no texto E sustenta uma afirmação da análise.
2 = Os recursos são corretos e citados, mas alguns são decorativos (não provam nada).
1 = Há recursos, mas soltos — não citados no texto, ou com erro de leitura (eixo, escala, unidade).
0 = Nenhum gráfico ou tabela.
TESTE: Quantidade não é critério: 3 gráficos que provam algo valem mais que 8 enfeitando. Para cada recurso pergunte: que afirmação ele sustenta?</t>
      </text>
    </comment>
    <comment ref="AF5" authorId="0" shapeId="0">
      <text>
        <t>======
ID#AAACG5PojOQ
CCU    (2026-09-12 00:58:54)
V1  (5 pts)
Clareza e naturalidade na fala.
3 = Fala com estrutura própria, sem ler. Dá pra acompanhar do começo ao fim.
2 = Boa fala, com apoio visível de roteiro.
1 = Lê integralmente, mas é compreensível.
0 = Não dá pra acompanhar, ou não gravou.
TESTE: Não julgue o conteúdo aqui, só a entrega da fala.</t>
      </text>
    </comment>
    <comment ref="AG5" authorId="0" shapeId="0">
      <text>
        <t>======
ID#AAACG5PojPA
CCU    (2026-09-12 00:58:54)
V2  (5 pts)
Apresenta motivo concreto para entrar no CCU.
3 = Cita algo específico do CCU (projeto, área, evento) e conecta com o que quer desenvolver.
2 = Motivo real, mas genérico (quero aprender consultoria).
1 = Motivo circunstancial (tenho tempo livre, tenho carro pra ir aos eventos).
0 = Não respondeu à pergunta.
TESTE: O motivo dele serviria pra qualquer entidade da Unicamp? Então é 1.</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C37"/>
  <sheetViews>
    <sheetView showGridLines="0" workbookViewId="0">
      <selection activeCell="A1" sqref="A1"/>
    </sheetView>
  </sheetViews>
  <sheetFormatPr baseColWidth="8" defaultColWidth="14.43" defaultRowHeight="15" customHeight="1"/>
  <cols>
    <col width="3" customWidth="1" style="60" min="1" max="1"/>
    <col width="26" customWidth="1" style="60" min="2" max="2"/>
    <col width="148" customWidth="1" style="60" min="3" max="3"/>
    <col width="8.710000000000001" customWidth="1" style="60" min="4" max="26"/>
  </cols>
  <sheetData>
    <row r="1" ht="14.25" customHeight="1" s="60"/>
    <row r="2" ht="30" customHeight="1" s="60">
      <c r="B2" s="61" t="inlineStr">
        <is>
          <t>PLANILHA DE AVALIAÇÃO — MODELO QUANTITATIVO</t>
        </is>
      </c>
    </row>
    <row r="3" ht="14.25" customHeight="1" s="60"/>
    <row r="4" ht="21.75" customHeight="1" s="60">
      <c r="B4" s="62" t="inlineStr">
        <is>
          <t>O QUE MUDOU</t>
        </is>
      </c>
    </row>
    <row r="5" ht="39" customHeight="1" s="60">
      <c r="B5" s="4" t="inlineStr">
        <is>
          <t>As perguntas</t>
        </is>
      </c>
      <c r="C5" s="5" t="inlineStr">
        <is>
          <t>São as mesmas da planilha antiga. Nenhuma pergunta nova, exceto A6 (inconsistência plantada), que entra no lugar de 'Resposta dos concorrentes' — item que ficou 89% zerado no PS 2026-1S e nem estava na Base.</t>
        </is>
      </c>
    </row>
    <row r="6" ht="25.5" customHeight="1" s="60">
      <c r="B6" s="4" t="inlineStr">
        <is>
          <t>A escala</t>
        </is>
      </c>
      <c r="C6" s="5" t="inlineStr">
        <is>
          <t>Toda nota agora é 0, 1, 2 ou 3. Acabaram os 0,7 / 1,2 / 2,8. Cada nível tem uma frase que o descreve na aba 'Base avaliação'. Se você não consegue apontar a frase, você não pode dar aquela nota.</t>
        </is>
      </c>
    </row>
    <row r="7" ht="25.5" customHeight="1" s="60">
      <c r="B7" s="4" t="inlineStr">
        <is>
          <t>Os pesos</t>
        </is>
      </c>
      <c r="C7" s="5" t="inlineStr">
        <is>
          <t>Comunicação 30 · Raciocínio 25 · Acurácia 25 · Entrega 10 · Vídeo 10. O peso agora está no bloco, não escondido no teto de cada pergunta.</t>
        </is>
      </c>
    </row>
    <row r="8" ht="15" customHeight="1" s="60">
      <c r="B8" s="4" t="inlineStr">
        <is>
          <t>A trava</t>
        </is>
      </c>
      <c r="C8" s="5" t="inlineStr">
        <is>
          <t>A célula só aceita 0/1/2/3. No PS passado, 8 das 27 linhas tinham nota acima do teto do critério.</t>
        </is>
      </c>
    </row>
    <row r="9" ht="64.5" customHeight="1" s="60">
      <c r="B9" s="4" t="inlineStr">
        <is>
          <t>O peso do vídeo</t>
        </is>
      </c>
      <c r="C9" s="6" t="n">
        <v>0.1</v>
      </c>
    </row>
    <row r="10" ht="39" customHeight="1" s="60">
      <c r="B10" s="4" t="inlineStr">
        <is>
          <t>R3 e E4</t>
        </is>
      </c>
      <c r="C10" s="5" t="inlineStr">
        <is>
          <t>Reescritos para premiar RELEVÂNCIA, não volume. Antes, análise extra tangencial pontuava 2 e fazer o pedido direito pontuava 0 — invertido. Agora tangente é 0 e entregar o pedido completo é 1. Em E4, contagem de gráficos saiu: o que vale é o recurso sustentar uma afirmação.</t>
        </is>
      </c>
    </row>
    <row r="11" ht="14.25" customHeight="1" s="60"/>
    <row r="12" ht="21.75" customHeight="1" s="60">
      <c r="B12" s="62" t="inlineStr">
        <is>
          <t>AS 5 REGRAS</t>
        </is>
      </c>
    </row>
    <row r="13" ht="64.5" customHeight="1" s="60">
      <c r="B13" s="4" t="inlineStr">
        <is>
          <t>1. Evidência obrigatória</t>
        </is>
      </c>
      <c r="C13" s="5" t="inlineStr">
        <is>
          <t>Ao lado da nota de cada bloco há uma coluna de evidência. Escreva o número do slide ou a minutagem do vídeo. É isso que torna a nota revisável e permite dar feedback ao candidato depois. NA PRÁTICA: preencha ao menos para todo 3 e todo 0  são as notas que afirmam algo forte e que o 2º avaliador contesta. O 2 é o meio-termo e raramente vira discussão. Veja a linha 6 (Modelo) para o formato.</t>
        </is>
      </c>
    </row>
    <row r="14" ht="39" customHeight="1" s="60">
      <c r="B14" s="4" t="inlineStr">
        <is>
          <t>2. Corrija por critério</t>
        </is>
      </c>
      <c r="C14" s="5" t="inlineStr">
        <is>
          <t>Avalie TODOS os candidatos no C1, depois todos no C2, e assim por diante. Nunca candidato por candidato. Comparar 27 respostas da mesma pergunta lado a lado é muito mais consistente  e é o que evita que uma boa impressão geral contamine as 20 notas.</t>
        </is>
      </c>
    </row>
    <row r="15" ht="39" customHeight="1" s="60">
      <c r="B15" s="4" t="inlineStr">
        <is>
          <t>3. Dois avaliadores</t>
        </is>
      </c>
      <c r="C15" s="5" t="inlineStr">
        <is>
          <t>Todo candidato precisa de 2 avaliações independentes. No PS 2026-1S só 37% tiveram. Se a diferença entre as duas notas finais passar de 1,0, a aba Consolidado acende alerta: vai para conversa de calibração ou terceiro avaliador.</t>
        </is>
      </c>
    </row>
    <row r="16" ht="39" customHeight="1" s="60">
      <c r="B16" s="4" t="inlineStr">
        <is>
          <t>4. Calibre antes de abrir</t>
        </is>
      </c>
      <c r="C16" s="5" t="inlineStr">
        <is>
          <t>Antes do PS começar: peguem 3 entregas do PS anterior (uma boa, uma média, uma ruim), todo mundo avalia, comparem e discutam as divergências. Uma hora de reunião. É a maior alavanca de consistência que existe e não custa nada.</t>
        </is>
      </c>
    </row>
    <row r="17" ht="25.5" customHeight="1" s="60">
      <c r="B17" s="4" t="inlineStr">
        <is>
          <t>5. Corte definido antes</t>
        </is>
      </c>
      <c r="C17" s="5" t="inlineStr">
        <is>
          <t>Número de vagas e nota mínima decididos ANTES de ver as notas. Desempate escrito: 1º acurácia · 2º comunicação · 3º entrevista.</t>
        </is>
      </c>
    </row>
    <row r="18" ht="14.25" customHeight="1" s="60"/>
    <row r="19" ht="21.75" customHeight="1" s="60">
      <c r="B19" s="62" t="inlineStr">
        <is>
          <t>A NOTA QUANDO DUAS PESSOAS CORRIGEM</t>
        </is>
      </c>
    </row>
    <row r="20" ht="25.5" customHeight="1" s="60">
      <c r="B20" s="4" t="inlineStr">
        <is>
          <t>Sim, é a média</t>
        </is>
      </c>
      <c r="C20" s="5" t="inlineStr">
        <is>
          <t>Se um avaliador dá 6,0 e o outro 7,0, a nota do candidato é 6,50. A aba Consolidado faz isso sozinha (AVERAGEIF por nome). Não arredonde na mão.</t>
        </is>
      </c>
    </row>
    <row r="21" ht="51.75" customHeight="1" s="60">
      <c r="B21" s="4" t="inlineStr">
        <is>
          <t>Onde a vírgula pode aparecer</t>
        </is>
      </c>
      <c r="C21" s="5" t="inlineStr">
        <is>
          <t>Só na MÉDIA ENTRE PESSOAS, nunca dentro da cabeça de uma pessoa. Cada avaliador só digita 0, 1, 2 ou 3 — e a célula não aceita outra coisa. O 6,50 é o resultado de duas leituras independentes; o antigo 6,5 era uma pessoa sentindo que valia meio ponto. Mesmo número, confiabilidade completamente diferente.</t>
        </is>
      </c>
    </row>
    <row r="22" ht="39" customHeight="1" s="60">
      <c r="B22" s="4" t="inlineStr">
        <is>
          <t>Quando a média NÃO vale</t>
        </is>
      </c>
      <c r="C22" s="5" t="inlineStr">
        <is>
          <t>Se a diferença passar de 1,0 (ex.: 5,8 e 7,2), a aba acende alerta e a média fica suspensa. Média de duas leituras que discordam muito não é consenso, é um número inventado no meio. Nesse caso: conversem, releiam juntos o critério que divergiu e refaçam — ou chamem um terceiro.</t>
        </is>
      </c>
    </row>
    <row r="23" ht="39" customHeight="1" s="60">
      <c r="B23" s="4" t="inlineStr">
        <is>
          <t>Por que 1,0 é o limite</t>
        </is>
      </c>
      <c r="C23" s="5" t="inlineStr">
        <is>
          <t>Com escala de 0 a 3 e 20 critérios, dois avaliadores calibrados raramente passam de 1 ponto de diferença na nota final. Se passou, quase sempre é um critério só sendo lido de dois jeitos — e é isso que a conversa resolve. As colunas 'Nota aval. 1' e 'Nota aval. 2' mostram as duas notas lado a lado.</t>
        </is>
      </c>
    </row>
    <row r="24" ht="14.25" customHeight="1" s="60"/>
    <row r="25" ht="21.75" customHeight="1" s="60">
      <c r="B25" s="62" t="inlineStr">
        <is>
          <t>ELEGIBILIDADE (estágio / intercâmbio / formatura)</t>
        </is>
      </c>
    </row>
    <row r="26" ht="25.5" customHeight="1" s="60">
      <c r="B26" s="4" t="inlineStr">
        <is>
          <t>Não é eliminatório</t>
        </is>
      </c>
      <c r="C26" s="5" t="inlineStr">
        <is>
          <t>Conforme o diretor: é um warning, não um corte. Por isso NÃO entra na nota e NÃO tem peso. Fica só na aba Consolidado.</t>
        </is>
      </c>
    </row>
    <row r="27" ht="39" customHeight="1" s="60">
      <c r="B27" s="4" t="inlineStr">
        <is>
          <t>Dois níveis</t>
        </is>
      </c>
      <c r="C27" s="5" t="inlineStr">
        <is>
          <t>🔴 EVASÃO — sai do ar em até 2 semestres (intercâmbio confirmado, formatura próxima).   🟡 CARGA — continua, mas com menos tempo (estagiando agora, estágio começando no ano). Estagiar não é ir embora: é ter menos tempo. São riscos diferentes.</t>
        </is>
      </c>
    </row>
    <row r="28" ht="25.5" customHeight="1" s="60">
      <c r="B28" s="4" t="inlineStr">
        <is>
          <t>Onde ela morde</t>
        </is>
      </c>
      <c r="C28" s="5" t="inlineStr">
        <is>
          <t>A flag não soma nem subtrai ponto e nunca elimina. Ela (i) obriga uma pergunta específica na entrevista e (ii) só desempata entre candidatos a menos de 0,3 ponto um do outro.</t>
        </is>
      </c>
    </row>
    <row r="29" ht="51.75" customHeight="1" s="60">
      <c r="B29" s="4" t="inlineStr">
        <is>
          <t>Horas por semana</t>
        </is>
      </c>
      <c r="C29" s="5" t="inlineStr">
        <is>
          <t>VOLTEM COM ESSA PERGUNTA NO FORMULÁRIO. 2025.2 perguntava quantas horas o candidato dedicaria (todos responderam: mediana 8h, variando de 4 a 40) e ela sumiu em 2026.1. Tem variância real e mede o risco de CARGA muito melhor que 'estagiando sim/não' — porque os 13 aprovados de 2025.2 declararam plano de estágio, TODOS os 13. Uma flag que dispara em 100% da lista não separa nada.</t>
        </is>
      </c>
    </row>
    <row r="30" ht="51.75" customHeight="1" s="60">
      <c r="B30" s="4" t="inlineStr">
        <is>
          <t>O que os dados já dizem</t>
        </is>
      </c>
      <c r="C30" s="5" t="inlineStr">
        <is>
          <t>Dos 13 aprovados em 2025.2, 4 apareceram como avaliadores em 2026.1 (Gustavo, Fred, Victor, AnaJu) — com planos de estágio variados, sem padrão. O único com formatura em 2026 não reaparece. É indício fraco (n=1), mas aponta para FORMATURA como a variável de risco real, não estágio. Por isso 🔴 EVASÃO e 🟡 CARGA são separados.</t>
        </is>
      </c>
    </row>
    <row r="31" ht="25.5" customHeight="1" s="60">
      <c r="B31" s="4" t="inlineStr">
        <is>
          <t>Medir</t>
        </is>
      </c>
      <c r="C31" s="5" t="inlineStr">
        <is>
          <t>Registrem a flag de cada aprovado. Daqui a 2 ou 3 PS, cruzem com quem de fato continuou no clube. Aí vocês saberão se a hipótese é verdadeira — hoje ninguém sabe.</t>
        </is>
      </c>
    </row>
    <row r="32" ht="14.25" customHeight="1" s="60"/>
    <row r="33" ht="21.75" customHeight="1" s="60">
      <c r="B33" s="62" t="inlineStr">
        <is>
          <t>O CASE E A IA</t>
        </is>
      </c>
    </row>
    <row r="34" ht="25.5" customHeight="1" s="60">
      <c r="B34" s="4" t="inlineStr">
        <is>
          <t>O problema</t>
        </is>
      </c>
      <c r="C34" s="5" t="inlineStr">
        <is>
          <t>3 dias em casa: acurácia deixa de discriminar. No PS 2026-1S, antes da IA virar padrão, 62% dos candidatos já tiravam ≥80% do teto em 'Loja 5' e 65% em 'SG&amp;A'. Peso sem variância não muda ranking.</t>
        </is>
      </c>
    </row>
    <row r="35" ht="39" customHeight="1" s="60">
      <c r="B35" s="4" t="inlineStr">
        <is>
          <t>Erro plantado (A6)</t>
        </is>
      </c>
      <c r="C35" s="5" t="inlineStr">
        <is>
          <t>Coloquem uma inconsistência de propósito no material: a DRE não fecha por X, ou o enunciado contradiz a tabela anexa. IA aceita o input como verdade e segue. Custa 10 minutos montando o case e é o melhor discriminador por esforço investido.</t>
        </is>
      </c>
    </row>
    <row r="36" ht="25.5" customHeight="1" s="60">
      <c r="B36" s="4" t="inlineStr">
        <is>
          <t>Premissa ausente</t>
        </is>
      </c>
      <c r="C36" s="5" t="inlineStr">
        <is>
          <t>Não deem o critério de rateio do SG&amp;A entre lojas. Aí não existe 'a resposta certa': pontua-se se declarou a premissa, se a carregou até a recomendação sem se contradizer e se testou outra.</t>
        </is>
      </c>
    </row>
    <row r="37" ht="39" customHeight="1" s="60">
      <c r="B37" s="4" t="inlineStr">
        <is>
          <t>Propriedade na ENTREVISTA</t>
        </is>
      </c>
      <c r="C37" s="5" t="inlineStr">
        <is>
          <t>Não tente detectar IA no take-home. Nos primeiros 10 minutos da entrevista, o candidato refaz UMA conta da própria entrega, ao vivo, com um parâmetro alterado. Quem montou o modelo resolve em 3 minutos. Registre em Consolidado!K como OK / Não OK.</t>
        </is>
      </c>
    </row>
    <row r="38" ht="14.25" customHeight="1" s="60"/>
    <row r="39" ht="14.25" customHeight="1" s="60"/>
    <row r="40" ht="14.25" customHeight="1" s="60"/>
    <row r="41" ht="14.25" customHeight="1" s="60"/>
    <row r="42" ht="14.25" customHeight="1" s="60"/>
    <row r="43" ht="14.25" customHeight="1" s="60"/>
    <row r="44" ht="14.25" customHeight="1" s="60"/>
    <row r="45" ht="14.25" customHeight="1" s="60"/>
    <row r="46" ht="14.25" customHeight="1" s="60"/>
    <row r="47" ht="14.25" customHeight="1" s="60"/>
    <row r="48" ht="14.25" customHeight="1" s="60"/>
    <row r="49" ht="14.25" customHeight="1" s="60"/>
    <row r="50" ht="14.25" customHeight="1" s="60"/>
    <row r="51" ht="14.25" customHeight="1" s="60"/>
    <row r="52" ht="14.25" customHeight="1" s="60"/>
    <row r="53" ht="14.25" customHeight="1" s="60"/>
    <row r="54" ht="14.25" customHeight="1" s="60"/>
    <row r="55" ht="14.25" customHeight="1" s="60"/>
    <row r="56" ht="14.25" customHeight="1" s="60"/>
    <row r="57" ht="14.25" customHeight="1" s="60"/>
    <row r="58" ht="14.25" customHeight="1" s="60"/>
    <row r="59" ht="14.25" customHeight="1" s="60"/>
    <row r="60" ht="14.25" customHeight="1" s="60"/>
    <row r="61" ht="14.25" customHeight="1" s="60"/>
    <row r="62" ht="14.25" customHeight="1" s="60"/>
    <row r="63" ht="14.25" customHeight="1" s="60"/>
    <row r="64" ht="14.25" customHeight="1" s="60"/>
    <row r="65" ht="14.25" customHeight="1" s="60"/>
    <row r="66" ht="14.25" customHeight="1" s="60"/>
    <row r="67" ht="14.25" customHeight="1" s="60"/>
    <row r="68" ht="14.25" customHeight="1" s="60"/>
    <row r="69" ht="14.25" customHeight="1" s="60"/>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6">
    <mergeCell ref="B2:C2"/>
    <mergeCell ref="B33:C33"/>
    <mergeCell ref="B25:C25"/>
    <mergeCell ref="B19:C19"/>
    <mergeCell ref="B4:C4"/>
    <mergeCell ref="B12:C12"/>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B2:E143"/>
  <sheetViews>
    <sheetView showGridLines="0" workbookViewId="0">
      <pane ySplit="3" topLeftCell="A4" activePane="bottomLeft" state="frozen"/>
      <selection pane="bottomLeft" activeCell="B5" sqref="B5"/>
    </sheetView>
  </sheetViews>
  <sheetFormatPr baseColWidth="8" defaultColWidth="14.43" defaultRowHeight="15" customHeight="1"/>
  <cols>
    <col width="3" customWidth="1" style="60" min="1" max="1"/>
    <col width="7" customWidth="1" style="60" min="2" max="2"/>
    <col width="9" customWidth="1" style="60" min="3" max="3"/>
    <col width="86" customWidth="1" style="60" min="4" max="4"/>
    <col width="44" customWidth="1" style="60" min="5" max="5"/>
    <col width="8.710000000000001" customWidth="1" style="60" min="6" max="26"/>
  </cols>
  <sheetData>
    <row r="1" ht="14.25" customHeight="1" s="60"/>
    <row r="2" ht="27.75" customHeight="1" s="60">
      <c r="B2" s="63" t="inlineStr">
        <is>
          <t>BASE DE AVALIAÇÃO — cada nível tem uma descrição. Sem descrição apontada, a nota não vale.</t>
        </is>
      </c>
    </row>
    <row r="3" ht="14.25" customHeight="1" s="60"/>
    <row r="4" ht="24" customHeight="1" s="60">
      <c r="B4" s="64" t="inlineStr">
        <is>
          <t>COMUNICAÇÃO &amp; ESTRUTURA  —  30 pontos de 100</t>
        </is>
      </c>
    </row>
    <row r="5" ht="27.75" customHeight="1" s="60">
      <c r="B5" s="13" t="inlineStr">
        <is>
          <t>C1</t>
        </is>
      </c>
      <c r="C5" s="15" t="inlineStr">
        <is>
          <t>10 pts</t>
        </is>
      </c>
      <c r="D5" s="16" t="inlineStr">
        <is>
          <t>A comunicação está clara e direto ao ponto.</t>
        </is>
      </c>
      <c r="E5" s="17" t="n"/>
    </row>
    <row r="6" ht="25.5" customHeight="1" s="60">
      <c r="C6" s="18" t="n">
        <v>3</v>
      </c>
      <c r="D6" s="19" t="inlineStr">
        <is>
          <t>A recomendação está escrita em UMA frase, nos 2 primeiros slides, com o número que a sustenta.</t>
        </is>
      </c>
      <c r="E6" s="45" t="n"/>
    </row>
    <row r="7" ht="25.5" customHeight="1" s="60">
      <c r="C7" s="22" t="n">
        <v>2</v>
      </c>
      <c r="D7" s="19" t="inlineStr">
        <is>
          <t>A recomendação é explícita e clara, mas só aparece depois da metade da entrega.</t>
        </is>
      </c>
      <c r="E7" s="45" t="n"/>
    </row>
    <row r="8" ht="25.5" customHeight="1" s="60">
      <c r="C8" s="23" t="n">
        <v>1</v>
      </c>
      <c r="D8" s="19" t="inlineStr">
        <is>
          <t>Dá pra inferir a recomendação, mas ela não está escrita em lugar nenhum.</t>
        </is>
      </c>
      <c r="E8" s="45" t="n"/>
    </row>
    <row r="9" ht="25.5" customHeight="1" s="60">
      <c r="C9" s="25" t="n">
        <v>0</v>
      </c>
      <c r="D9" s="19" t="inlineStr">
        <is>
          <t>Não há recomendação, ou há duas incompatíveis entre si.</t>
        </is>
      </c>
      <c r="E9" s="45" t="n"/>
    </row>
    <row r="10" ht="21.75" customHeight="1" s="60">
      <c r="D10" s="27" t="inlineStr">
        <is>
          <t>TESTE OPERACIONAL:  Aponte o slide e a frase. Não conseguiu apontar? Não é 3.</t>
        </is>
      </c>
    </row>
    <row r="11" ht="14.25" customHeight="1" s="60"/>
    <row r="12" ht="27.75" customHeight="1" s="60">
      <c r="B12" s="13" t="inlineStr">
        <is>
          <t>C2</t>
        </is>
      </c>
      <c r="C12" s="15" t="inlineStr">
        <is>
          <t>8 pts</t>
        </is>
      </c>
      <c r="D12" s="16" t="inlineStr">
        <is>
          <t>O desafio apresenta um formato que poderia ser apresentado a um cliente real.</t>
        </is>
      </c>
      <c r="E12" s="17" t="n"/>
    </row>
    <row r="13" ht="25.5" customHeight="1" s="60">
      <c r="C13" s="18" t="n">
        <v>3</v>
      </c>
      <c r="D13" s="19" t="inlineStr">
        <is>
          <t>Documento fechado (capa, estrutura, apêndice), sem rascunho visível. Um cliente receberia como está.</t>
        </is>
      </c>
      <c r="E13" s="45" t="n"/>
    </row>
    <row r="14" ht="25.5" customHeight="1" s="60">
      <c r="C14" s="22" t="n">
        <v>2</v>
      </c>
      <c r="D14" s="19" t="inlineStr">
        <is>
          <t>Estruturado, mas com pontas soltas: conta solta, slide inacabado, formatação inconsistente.</t>
        </is>
      </c>
      <c r="E14" s="45" t="n"/>
    </row>
    <row r="15" ht="25.5" customHeight="1" s="60">
      <c r="C15" s="23" t="n">
        <v>1</v>
      </c>
      <c r="D15" s="19" t="inlineStr">
        <is>
          <t>Responde as perguntas, mas em formato de lista ou rascunho.</t>
        </is>
      </c>
      <c r="E15" s="45" t="n"/>
    </row>
    <row r="16" ht="25.5" customHeight="1" s="60">
      <c r="C16" s="25" t="n">
        <v>0</v>
      </c>
      <c r="D16" s="19" t="inlineStr">
        <is>
          <t>Foto de papel, texto corrido no e-mail, ou arquivo sem estrutura nenhuma.</t>
        </is>
      </c>
      <c r="E16" s="45" t="n"/>
    </row>
    <row r="17" ht="21.75" customHeight="1" s="60">
      <c r="D17" s="27" t="inlineStr">
        <is>
          <t>TESTE OPERACIONAL:  Você mandaria esse arquivo, sem editar nada, pro cliente do seu projeto?</t>
        </is>
      </c>
    </row>
    <row r="18" ht="14.25" customHeight="1" s="60"/>
    <row r="19" ht="27.75" customHeight="1" s="60">
      <c r="B19" s="13" t="inlineStr">
        <is>
          <t>C3</t>
        </is>
      </c>
      <c r="C19" s="15" t="inlineStr">
        <is>
          <t>7 pts</t>
        </is>
      </c>
      <c r="D19" s="16" t="inlineStr">
        <is>
          <t>A apresentação apresenta um bom storytelling e envolve o leitor.</t>
        </is>
      </c>
      <c r="E19" s="17" t="n"/>
    </row>
    <row r="20" ht="25.5" customHeight="1" s="60">
      <c r="C20" s="18" t="n">
        <v>3</v>
      </c>
      <c r="D20" s="19" t="inlineStr">
        <is>
          <t>Lendo só os títulos, na ordem, a história fecha sozinha: contexto -&gt; problema -&gt; análise -&gt; recomendação -&gt; riscos.</t>
        </is>
      </c>
      <c r="E20" s="45" t="n"/>
    </row>
    <row r="21" ht="25.5" customHeight="1" s="60">
      <c r="C21" s="22" t="n">
        <v>2</v>
      </c>
      <c r="D21" s="19" t="inlineStr">
        <is>
          <t>A sequência é lógica, com 1 ou 2 saltos que obrigam o leitor a voltar.</t>
        </is>
      </c>
      <c r="E21" s="45" t="n"/>
    </row>
    <row r="22" ht="25.5" customHeight="1" s="60">
      <c r="C22" s="23" t="n">
        <v>1</v>
      </c>
      <c r="D22" s="19" t="inlineStr">
        <is>
          <t>Os blocos existem, mas soltos — um não puxa o outro.</t>
        </is>
      </c>
      <c r="E22" s="45" t="n"/>
    </row>
    <row r="23" ht="25.5" customHeight="1" s="60">
      <c r="C23" s="25" t="n">
        <v>0</v>
      </c>
      <c r="D23" s="19" t="inlineStr">
        <is>
          <t>Ordem aleatória, ou é só uma lista de respostas às perguntas.</t>
        </is>
      </c>
      <c r="E23" s="45" t="n"/>
    </row>
    <row r="24" ht="21.75" customHeight="1" s="60">
      <c r="D24" s="27" t="inlineStr">
        <is>
          <t>TESTE OPERACIONAL:  Leia SÓ os títulos em voz alta. Se a recomendação não aparecer, é no máximo 1.</t>
        </is>
      </c>
    </row>
    <row r="25" ht="14.25" customHeight="1" s="60"/>
    <row r="26" ht="27.75" customHeight="1" s="60">
      <c r="B26" s="13" t="inlineStr">
        <is>
          <t>C4</t>
        </is>
      </c>
      <c r="C26" s="15" t="inlineStr">
        <is>
          <t>5 pts</t>
        </is>
      </c>
      <c r="D26" s="16" t="inlineStr">
        <is>
          <t>O trabalho está visualmente bonito.</t>
        </is>
      </c>
      <c r="E26" s="17" t="n"/>
    </row>
    <row r="27" ht="25.5" customHeight="1" s="60">
      <c r="C27" s="18" t="n">
        <v>3</v>
      </c>
      <c r="D27" s="19" t="inlineStr">
        <is>
          <t>Padrão único de fonte, cor e alinhamento em toda a entrega. Nenhum slide com parágrafo corrido.</t>
        </is>
      </c>
      <c r="E27" s="45" t="n"/>
    </row>
    <row r="28" ht="25.5" customHeight="1" s="60">
      <c r="C28" s="22" t="n">
        <v>2</v>
      </c>
      <c r="D28" s="19" t="inlineStr">
        <is>
          <t>Consistente, com até 2 slides fora do padrão.</t>
        </is>
      </c>
      <c r="E28" s="45" t="n"/>
    </row>
    <row r="29" ht="25.5" customHeight="1" s="60">
      <c r="C29" s="23" t="n">
        <v>1</v>
      </c>
      <c r="D29" s="19" t="inlineStr">
        <is>
          <t>Formatação improvisada, mas legível.</t>
        </is>
      </c>
      <c r="E29" s="45" t="n"/>
    </row>
    <row r="30" ht="25.5" customHeight="1" s="60">
      <c r="C30" s="25" t="n">
        <v>0</v>
      </c>
      <c r="D30" s="19" t="inlineStr">
        <is>
          <t>Ilegível, desalinhado, ou é texto corrido.</t>
        </is>
      </c>
      <c r="E30" s="45" t="n"/>
    </row>
    <row r="31" ht="21.75" customHeight="1" s="60">
      <c r="D31" s="27" t="inlineStr">
        <is>
          <t>TESTE OPERACIONAL:  Conte os slides fora do padrão. É uma contagem, não uma impressão.</t>
        </is>
      </c>
    </row>
    <row r="32" ht="14.25" customHeight="1" s="60"/>
    <row r="33" ht="14.25" customHeight="1" s="60"/>
    <row r="34" ht="24" customHeight="1" s="60">
      <c r="B34" s="64" t="inlineStr">
        <is>
          <t>RACIOCÍNIO DE NEGÓCIO  —  25 pontos de 100</t>
        </is>
      </c>
    </row>
    <row r="35" ht="27.75" customHeight="1" s="60">
      <c r="B35" s="13" t="inlineStr">
        <is>
          <t>R1</t>
        </is>
      </c>
      <c r="C35" s="15" t="inlineStr">
        <is>
          <t>8 pts</t>
        </is>
      </c>
      <c r="D35" s="16" t="inlineStr">
        <is>
          <t>Sua recomendação leva em consideração ambas as partes qualitativas e quantitativas do case.</t>
        </is>
      </c>
      <c r="E35" s="17" t="n"/>
    </row>
    <row r="36" ht="25.5" customHeight="1" s="60">
      <c r="C36" s="18" t="n">
        <v>3</v>
      </c>
      <c r="D36" s="19" t="inlineStr">
        <is>
          <t>A recomendação cita o número que a sustenta E a razão de negócio; as duas partes se apoiam.</t>
        </is>
      </c>
      <c r="E36" s="45" t="n"/>
    </row>
    <row r="37" ht="25.5" customHeight="1" s="60">
      <c r="C37" s="22" t="n">
        <v>2</v>
      </c>
      <c r="D37" s="19" t="inlineStr">
        <is>
          <t>Cita as duas, mas uma é decorativa — o número não sustenta de fato a decisão.</t>
        </is>
      </c>
      <c r="E37" s="45" t="n"/>
    </row>
    <row r="38" ht="25.5" customHeight="1" s="60">
      <c r="C38" s="23" t="n">
        <v>1</v>
      </c>
      <c r="D38" s="19" t="inlineStr">
        <is>
          <t>Só quantitativa (número sem porquê) ou só qualitativa (opinião sem número).</t>
        </is>
      </c>
      <c r="E38" s="45" t="n"/>
    </row>
    <row r="39" ht="25.5" customHeight="1" s="60">
      <c r="C39" s="25" t="n">
        <v>0</v>
      </c>
      <c r="D39" s="19" t="inlineStr">
        <is>
          <t>Não há recomendação, ou ela contraria os próprios números apresentados.</t>
        </is>
      </c>
      <c r="E39" s="45" t="n"/>
    </row>
    <row r="40" ht="21.75" customHeight="1" s="60">
      <c r="D40" s="27" t="inlineStr">
        <is>
          <t>TESTE OPERACIONAL:  Tape o número: a recomendação ainda se sustenta? Tape o argumento: ainda se sustenta?</t>
        </is>
      </c>
    </row>
    <row r="41" ht="14.25" customHeight="1" s="60"/>
    <row r="42" ht="27.75" customHeight="1" s="60">
      <c r="B42" s="13" t="inlineStr">
        <is>
          <t>R2</t>
        </is>
      </c>
      <c r="C42" s="15" t="inlineStr">
        <is>
          <t>7 pts</t>
        </is>
      </c>
      <c r="D42" s="16" t="inlineStr">
        <is>
          <t>O trabalho apresenta uma discussão rica com diversos pontos de vista sobre a expansão.</t>
        </is>
      </c>
      <c r="E42" s="17" t="n"/>
    </row>
    <row r="43" ht="25.5" customHeight="1" s="60">
      <c r="C43" s="18" t="n">
        <v>3</v>
      </c>
      <c r="D43" s="19" t="inlineStr">
        <is>
          <t>Apresenta ao menos 2 caminhos, compara com critério explícito e justifica o que descartou.</t>
        </is>
      </c>
      <c r="E43" s="45" t="n"/>
    </row>
    <row r="44" ht="25.5" customHeight="1" s="60">
      <c r="C44" s="22" t="n">
        <v>2</v>
      </c>
      <c r="D44" s="19" t="inlineStr">
        <is>
          <t>Cita alternativas, mas não compara — escolhe sem justificar.</t>
        </is>
      </c>
      <c r="E44" s="45" t="n"/>
    </row>
    <row r="45" ht="25.5" customHeight="1" s="60">
      <c r="C45" s="23" t="n">
        <v>1</v>
      </c>
      <c r="D45" s="19" t="inlineStr">
        <is>
          <t>Menciona que existem alternativas, sem desenvolver nenhuma.</t>
        </is>
      </c>
      <c r="E45" s="45" t="n"/>
    </row>
    <row r="46" ht="25.5" customHeight="1" s="60">
      <c r="C46" s="25" t="n">
        <v>0</v>
      </c>
      <c r="D46" s="19" t="inlineStr">
        <is>
          <t>Caminho único, sem discussão.</t>
        </is>
      </c>
      <c r="E46" s="45" t="n"/>
    </row>
    <row r="47" ht="21.75" customHeight="1" s="60">
      <c r="D47" s="27" t="inlineStr">
        <is>
          <t>TESTE OPERACIONAL:  Ele descartou alguma coisa por escrito? Se não descartou nada, não discutiu.</t>
        </is>
      </c>
    </row>
    <row r="48" ht="14.25" customHeight="1" s="60"/>
    <row r="49" ht="27.75" customHeight="1" s="60">
      <c r="B49" s="13" t="inlineStr">
        <is>
          <t>R3</t>
        </is>
      </c>
      <c r="C49" s="15" t="inlineStr">
        <is>
          <t>5 pts</t>
        </is>
      </c>
      <c r="D49" s="16" t="inlineStr">
        <is>
          <t>Foi além do pedido e trouxe análises interessantes.</t>
        </is>
      </c>
      <c r="E49" s="17" t="n"/>
    </row>
    <row r="50" ht="25.5" customHeight="1" s="60">
      <c r="C50" s="18" t="n">
        <v>3</v>
      </c>
      <c r="D50" s="19" t="inlineStr">
        <is>
          <t>Trouxe algo não pedido que MUDA ou FORTALECE a recomendação.</t>
        </is>
      </c>
      <c r="E50" s="45" t="n"/>
    </row>
    <row r="51" ht="25.5" customHeight="1" s="60">
      <c r="C51" s="22" t="n">
        <v>2</v>
      </c>
      <c r="D51" s="19" t="inlineStr">
        <is>
          <t>Trouxe algo não pedido, correto e LIGADO À DECISÃO, mas que não altera a conclusão.</t>
        </is>
      </c>
      <c r="E51" s="45" t="n"/>
    </row>
    <row r="52" ht="25.5" customHeight="1" s="60">
      <c r="C52" s="23" t="n">
        <v>1</v>
      </c>
      <c r="D52" s="19" t="inlineStr">
        <is>
          <t>Não trouxe nada além, mas entregou o pedido de forma completa e correta.</t>
        </is>
      </c>
      <c r="E52" s="45" t="n"/>
    </row>
    <row r="53" ht="25.5" customHeight="1" s="60">
      <c r="C53" s="25" t="n">
        <v>0</v>
      </c>
      <c r="D53" s="19" t="inlineStr">
        <is>
          <t>O material extra NÃO SE CONECTA à decisão (tangenciou), ou o pedido ficou incompleto.</t>
        </is>
      </c>
      <c r="E53" s="45" t="n"/>
    </row>
    <row r="54" ht="21.75" customHeight="1" s="60">
      <c r="D54" s="27" t="inlineStr">
        <is>
          <t>TESTE OPERACIONAL:  A análise extra responde a uma pergunta que o cliente deveria ter feito? Se não dá pra dizer qual decisão ela informa, é 0 — não 2. Volume não conta: três páginas de análise tangencial valem menos que nenhuma.</t>
        </is>
      </c>
    </row>
    <row r="55" ht="14.25" customHeight="1" s="60"/>
    <row r="56" ht="27.75" customHeight="1" s="60">
      <c r="B56" s="13" t="inlineStr">
        <is>
          <t>R4</t>
        </is>
      </c>
      <c r="C56" s="15" t="inlineStr">
        <is>
          <t>5 pts</t>
        </is>
      </c>
      <c r="D56" s="16" t="inlineStr">
        <is>
          <t>Foi além das interpretações óbvias dos indicadores e agregou valor à análise.</t>
        </is>
      </c>
      <c r="E56" s="17" t="n"/>
    </row>
    <row r="57" ht="25.5" customHeight="1" s="60">
      <c r="C57" s="18" t="n">
        <v>3</v>
      </c>
      <c r="D57" s="19" t="inlineStr">
        <is>
          <t>Explica a CAUSA por trás do indicador e o que fazer com ela.</t>
        </is>
      </c>
      <c r="E57" s="45" t="n"/>
    </row>
    <row r="58" ht="25.5" customHeight="1" s="60">
      <c r="C58" s="22" t="n">
        <v>2</v>
      </c>
      <c r="D58" s="19" t="inlineStr">
        <is>
          <t>Compara o indicador com algo (outra loja, outro ano, benchmark) e tira conclusão.</t>
        </is>
      </c>
      <c r="E58" s="45" t="n"/>
    </row>
    <row r="59" ht="25.5" customHeight="1" s="60">
      <c r="C59" s="23" t="n">
        <v>1</v>
      </c>
      <c r="D59" s="19" t="inlineStr">
        <is>
          <t>Lê o indicador corretamente (ex.: a margem caiu).</t>
        </is>
      </c>
      <c r="E59" s="45" t="n"/>
    </row>
    <row r="60" ht="25.5" customHeight="1" s="60">
      <c r="C60" s="25" t="n">
        <v>0</v>
      </c>
      <c r="D60" s="19" t="inlineStr">
        <is>
          <t>Repete o número sem interpretar.</t>
        </is>
      </c>
      <c r="E60" s="45" t="n"/>
    </row>
    <row r="61" ht="21.75" customHeight="1" s="60">
      <c r="D61" s="27" t="inlineStr">
        <is>
          <t>TESTE OPERACIONAL:  Ele respondeu 'por quê', 'comparado a quê', ou só 'quanto'?</t>
        </is>
      </c>
    </row>
    <row r="62" ht="14.25" customHeight="1" s="60"/>
    <row r="63" ht="14.25" customHeight="1" s="60"/>
    <row r="64" ht="24" customHeight="1" s="60">
      <c r="B64" s="64" t="inlineStr">
        <is>
          <t>ACURÁCIA TÉCNICA  —  25 pontos de 100</t>
        </is>
      </c>
    </row>
    <row r="65" ht="61.5" customHeight="1" s="60">
      <c r="B65" s="65" t="inlineStr">
        <is>
          <t>⚠  ESTE É O ÚNICO BLOCO QUE DEPENDE DO CASE.  As ÂNCORAS (3/2/1/0) e os PESOS não mudam nunca — valem para qualquer case, todo semestre. O que muda a cada PS é só o TEXTO DA PERGUNTA de A1 a A4 e os valores da aba Gabarito. A1/A2 = contas com resposta única · A3 = a projeção pedida · A4 = a alternativa · A5 e A6 já são genéricos, não precisa reescrever.   Se o case novo tiver 3 contas centrais em vez de 2, divida os 12 pontos de A1+A2 entre elas; se tiver 1, ela leva os 12. O total do bloco (25) e as âncoras é que não podem mudar.</t>
        </is>
      </c>
    </row>
    <row r="66" ht="27.75" customHeight="1" s="60">
      <c r="B66" s="13" t="inlineStr">
        <is>
          <t>A1</t>
        </is>
      </c>
      <c r="C66" s="15" t="inlineStr">
        <is>
          <t>6 pts</t>
        </is>
      </c>
      <c r="D66" s="16" t="inlineStr">
        <is>
          <t>[CONTA CENTRAL 1 — escrever aqui a pergunta do case deste semestre]</t>
        </is>
      </c>
      <c r="E66" s="17" t="inlineStr">
        <is>
          <t>col. Z · no PS 2026-1S era: 'Identificou corretamente a Margem Direta e o impacto no EBITDA ao fechar a Loja 5?'</t>
        </is>
      </c>
    </row>
    <row r="67" ht="25.5" customHeight="1" s="60">
      <c r="C67" s="18" t="n">
        <v>3</v>
      </c>
      <c r="D67" s="19" t="inlineStr">
        <is>
          <t>Valor dentro da tolerância definida na aba Gabarito E memória de cálculo visível.</t>
        </is>
      </c>
      <c r="E67" s="45" t="n"/>
    </row>
    <row r="68" ht="25.5" customHeight="1" s="60">
      <c r="C68" s="22" t="n">
        <v>2</v>
      </c>
      <c r="D68" s="19" t="inlineStr">
        <is>
          <t>Método correto, valor fora da tolerância (erro aritmético).</t>
        </is>
      </c>
      <c r="E68" s="45" t="n"/>
    </row>
    <row r="69" ht="25.5" customHeight="1" s="60">
      <c r="C69" s="23" t="n">
        <v>1</v>
      </c>
      <c r="D69" s="19" t="inlineStr">
        <is>
          <t>Identificou a lógica correta, não fechou o número.</t>
        </is>
      </c>
      <c r="E69" s="45" t="n"/>
    </row>
    <row r="70" ht="25.5" customHeight="1" s="60">
      <c r="C70" s="25" t="n">
        <v>0</v>
      </c>
      <c r="D70" s="19" t="inlineStr">
        <is>
          <t>Não respondeu, ou o método está errado.</t>
        </is>
      </c>
      <c r="E70" s="45" t="n"/>
    </row>
    <row r="71" ht="21.75" customHeight="1" s="60">
      <c r="D71" s="27" t="inlineStr">
        <is>
          <t>TESTE OPERACIONAL:  Confira contra a aba Gabarito. Dois avaliadores têm que chegar no mesmo número.</t>
        </is>
      </c>
    </row>
    <row r="72" ht="14.25" customHeight="1" s="60"/>
    <row r="73" ht="27.75" customHeight="1" s="60">
      <c r="B73" s="13" t="inlineStr">
        <is>
          <t>A2</t>
        </is>
      </c>
      <c r="C73" s="15" t="inlineStr">
        <is>
          <t>6 pts</t>
        </is>
      </c>
      <c r="D73" s="16" t="inlineStr">
        <is>
          <t>[CONTA CENTRAL 2 — escrever aqui a pergunta do case deste semestre]</t>
        </is>
      </c>
      <c r="E73" s="17" t="inlineStr">
        <is>
          <t>col. AA · no PS 2026-1S era: 'Calculou corretamente o SG&amp;A como % da receita e a redução de custos necessária para atingir 50%?'</t>
        </is>
      </c>
    </row>
    <row r="74" ht="25.5" customHeight="1" s="60">
      <c r="C74" s="18" t="n">
        <v>3</v>
      </c>
      <c r="D74" s="19" t="inlineStr">
        <is>
          <t>Valor dentro da tolerância definida na aba Gabarito E memória de cálculo visível.</t>
        </is>
      </c>
      <c r="E74" s="45" t="n"/>
    </row>
    <row r="75" ht="25.5" customHeight="1" s="60">
      <c r="C75" s="22" t="n">
        <v>2</v>
      </c>
      <c r="D75" s="19" t="inlineStr">
        <is>
          <t>Método correto, valor fora da tolerância (erro aritmético).</t>
        </is>
      </c>
      <c r="E75" s="45" t="n"/>
    </row>
    <row r="76" ht="25.5" customHeight="1" s="60">
      <c r="C76" s="23" t="n">
        <v>1</v>
      </c>
      <c r="D76" s="19" t="inlineStr">
        <is>
          <t>Identificou a lógica correta, não fechou o número.</t>
        </is>
      </c>
      <c r="E76" s="45" t="n"/>
    </row>
    <row r="77" ht="25.5" customHeight="1" s="60">
      <c r="C77" s="25" t="n">
        <v>0</v>
      </c>
      <c r="D77" s="19" t="inlineStr">
        <is>
          <t>Não respondeu, ou o método está errado.</t>
        </is>
      </c>
      <c r="E77" s="45" t="n"/>
    </row>
    <row r="78" ht="21.75" customHeight="1" s="60">
      <c r="D78" s="27" t="inlineStr">
        <is>
          <t>TESTE OPERACIONAL:  Confira contra a aba Gabarito.</t>
        </is>
      </c>
    </row>
    <row r="79" ht="14.25" customHeight="1" s="60"/>
    <row r="80" ht="27.75" customHeight="1" s="60">
      <c r="B80" s="13" t="inlineStr">
        <is>
          <t>A3</t>
        </is>
      </c>
      <c r="C80" s="15" t="inlineStr">
        <is>
          <t>4 pts</t>
        </is>
      </c>
      <c r="D80" s="16" t="inlineStr">
        <is>
          <t>[PROJEÇÃO / PLANO — a projeção pedida no case fecha com a meta declarada?]</t>
        </is>
      </c>
      <c r="E80" s="17" t="inlineStr">
        <is>
          <t>estava na Base antiga SEM coluna · no PS 2026-1S era: 'O planejamento estratégico 2026-2030 é coerente com as metas de faturamento (+70%) e EBITDA (20%)?'</t>
        </is>
      </c>
    </row>
    <row r="81" ht="25.5" customHeight="1" s="60">
      <c r="C81" s="18" t="n">
        <v>3</v>
      </c>
      <c r="D81" s="19" t="inlineStr">
        <is>
          <t>Os números da projeção chegam às metas do case E batem com o modelo que ele mesmo montou.</t>
        </is>
      </c>
      <c r="E81" s="45" t="n"/>
    </row>
    <row r="82" ht="25.5" customHeight="1" s="60">
      <c r="C82" s="22" t="n">
        <v>2</v>
      </c>
      <c r="D82" s="19" t="inlineStr">
        <is>
          <t>Chega a parte das metas, ou chega a todas sem mostrar a ponte entre os anos.</t>
        </is>
      </c>
      <c r="E82" s="45" t="n"/>
    </row>
    <row r="83" ht="25.5" customHeight="1" s="60">
      <c r="C83" s="23" t="n">
        <v>1</v>
      </c>
      <c r="D83" s="19" t="inlineStr">
        <is>
          <t>Plano narrativo, sem número.</t>
        </is>
      </c>
      <c r="E83" s="45" t="n"/>
    </row>
    <row r="84" ht="25.5" customHeight="1" s="60">
      <c r="C84" s="25" t="n">
        <v>0</v>
      </c>
      <c r="D84" s="19" t="inlineStr">
        <is>
          <t>Não fez.</t>
        </is>
      </c>
      <c r="E84" s="45" t="n"/>
    </row>
    <row r="85" ht="21.75" customHeight="1" s="60">
      <c r="D85" s="27" t="inlineStr">
        <is>
          <t>TESTE OPERACIONAL:  Some os anos da projeção dele. Bate com a meta que ele mesmo escreveu?</t>
        </is>
      </c>
    </row>
    <row r="86" ht="14.25" customHeight="1" s="60"/>
    <row r="87" ht="27.75" customHeight="1" s="60">
      <c r="B87" s="13" t="inlineStr">
        <is>
          <t>A4</t>
        </is>
      </c>
      <c r="C87" s="15" t="inlineStr">
        <is>
          <t>3 pts</t>
        </is>
      </c>
      <c r="D87" s="16" t="inlineStr">
        <is>
          <t>[ALTERNATIVA — propôs caminho alternativo coerente com o case?]</t>
        </is>
      </c>
      <c r="E87" s="17" t="inlineStr">
        <is>
          <t>col. AB · no PS 2026-1S era: 'Trouxe alternativas coerentes para melhorar a rentabilidade (ex: expansão B2B, otimização de marketing)?'</t>
        </is>
      </c>
    </row>
    <row r="88" ht="25.5" customHeight="1" s="60">
      <c r="C88" s="18" t="n">
        <v>3</v>
      </c>
      <c r="D88" s="19" t="inlineStr">
        <is>
          <t>Propõe alternativa com número estimado de impacto.</t>
        </is>
      </c>
      <c r="E88" s="45" t="n"/>
    </row>
    <row r="89" ht="25.5" customHeight="1" s="60">
      <c r="C89" s="22" t="n">
        <v>2</v>
      </c>
      <c r="D89" s="19" t="inlineStr">
        <is>
          <t>Propõe alternativa coerente com o case, sem quantificar.</t>
        </is>
      </c>
      <c r="E89" s="45" t="n"/>
    </row>
    <row r="90" ht="25.5" customHeight="1" s="60">
      <c r="C90" s="23" t="n">
        <v>1</v>
      </c>
      <c r="D90" s="19" t="inlineStr">
        <is>
          <t>Alternativa genérica — serviria pra qualquer empresa.</t>
        </is>
      </c>
      <c r="E90" s="45" t="n"/>
    </row>
    <row r="91" ht="25.5" customHeight="1" s="60">
      <c r="C91" s="25" t="n">
        <v>0</v>
      </c>
      <c r="D91" s="19" t="inlineStr">
        <is>
          <t>Não propôs, ou propõe algo que contraria o case.</t>
        </is>
      </c>
      <c r="E91" s="45" t="n"/>
    </row>
    <row r="92" ht="21.75" customHeight="1" s="60">
      <c r="D92" s="27" t="inlineStr">
        <is>
          <t>TESTE OPERACIONAL:  A alternativa cita algo que só existe NESTE case? Se não, é 1.</t>
        </is>
      </c>
    </row>
    <row r="93" ht="14.25" customHeight="1" s="60"/>
    <row r="94" ht="27.75" customHeight="1" s="60">
      <c r="B94" s="13" t="inlineStr">
        <is>
          <t>A5</t>
        </is>
      </c>
      <c r="C94" s="15" t="inlineStr">
        <is>
          <t>3 pts</t>
        </is>
      </c>
      <c r="D94" s="16" t="inlineStr">
        <is>
          <t>Analisou riscos e próximos passos de forma lógica e estruturada?</t>
        </is>
      </c>
      <c r="E94" s="17" t="inlineStr">
        <is>
          <t>col. AC (era 1 pt) — serve para qualquer case, não precisa reescrever</t>
        </is>
      </c>
    </row>
    <row r="95" ht="25.5" customHeight="1" s="60">
      <c r="C95" s="18" t="n">
        <v>3</v>
      </c>
      <c r="D95" s="19" t="inlineStr">
        <is>
          <t>Riscos específicos da recomendação DELE, com mitigação e prazo.</t>
        </is>
      </c>
      <c r="E95" s="45" t="n"/>
    </row>
    <row r="96" ht="25.5" customHeight="1" s="60">
      <c r="C96" s="22" t="n">
        <v>2</v>
      </c>
      <c r="D96" s="19" t="inlineStr">
        <is>
          <t>Riscos específicos, sem mitigação.</t>
        </is>
      </c>
      <c r="E96" s="45" t="n"/>
    </row>
    <row r="97" ht="25.5" customHeight="1" s="60">
      <c r="C97" s="23" t="n">
        <v>1</v>
      </c>
      <c r="D97" s="19" t="inlineStr">
        <is>
          <t>Riscos genéricos (crise, concorrência, câmbio).</t>
        </is>
      </c>
      <c r="E97" s="45" t="n"/>
    </row>
    <row r="98" ht="25.5" customHeight="1" s="60">
      <c r="C98" s="25" t="n">
        <v>0</v>
      </c>
      <c r="D98" s="19" t="inlineStr">
        <is>
          <t>Não fez.</t>
        </is>
      </c>
      <c r="E98" s="45" t="n"/>
    </row>
    <row r="99" ht="21.75" customHeight="1" s="60">
      <c r="D99" s="27" t="inlineStr">
        <is>
          <t>TESTE OPERACIONAL:  O risco listado some se a recomendação mudar? Se não some, é genérico.</t>
        </is>
      </c>
    </row>
    <row r="100" ht="14.25" customHeight="1" s="60"/>
    <row r="101" ht="27.75" customHeight="1" s="60">
      <c r="B101" s="13" t="inlineStr">
        <is>
          <t>A6</t>
        </is>
      </c>
      <c r="C101" s="15" t="inlineStr">
        <is>
          <t>3 pts</t>
        </is>
      </c>
      <c r="D101" s="16" t="inlineStr">
        <is>
          <t>Identificou a inconsistência plantada no material do case?</t>
        </is>
      </c>
      <c r="E101" s="17" t="inlineStr">
        <is>
          <t>NOVO — substitui a col. AD · serve para qualquer case, basta plantar o erro</t>
        </is>
      </c>
    </row>
    <row r="102" ht="25.5" customHeight="1" s="60">
      <c r="C102" s="18" t="n">
        <v>3</v>
      </c>
      <c r="D102" s="19" t="inlineStr">
        <is>
          <t>Achou, apontou explicitamente e explicou como tratou.</t>
        </is>
      </c>
      <c r="E102" s="45" t="n"/>
    </row>
    <row r="103" ht="25.5" customHeight="1" s="60">
      <c r="C103" s="22" t="n">
        <v>2</v>
      </c>
      <c r="D103" s="19" t="inlineStr">
        <is>
          <t>Achou e apontou.</t>
        </is>
      </c>
      <c r="E103" s="45" t="n"/>
    </row>
    <row r="104" ht="25.5" customHeight="1" s="60">
      <c r="C104" s="23" t="n">
        <v>1</v>
      </c>
      <c r="D104" s="19" t="inlineStr">
        <is>
          <t>Contornou sem nomear — usou o número certo, mas não disse por quê.</t>
        </is>
      </c>
      <c r="E104" s="45" t="n"/>
    </row>
    <row r="105" ht="25.5" customHeight="1" s="60">
      <c r="C105" s="25" t="n">
        <v>0</v>
      </c>
      <c r="D105" s="19" t="inlineStr">
        <is>
          <t>Construiu a análise inteira em cima do dado errado.</t>
        </is>
      </c>
      <c r="E105" s="45" t="n"/>
    </row>
    <row r="106" ht="21.75" customHeight="1" s="60">
      <c r="D106" s="27" t="inlineStr">
        <is>
          <t>TESTE OPERACIONAL:  Este é o item que a IA erra. Vale 3 pts e separa mais que qualquer outro.</t>
        </is>
      </c>
    </row>
    <row r="107" ht="14.25" customHeight="1" s="60"/>
    <row r="108" ht="14.25" customHeight="1" s="60"/>
    <row r="109" ht="24" customHeight="1" s="60">
      <c r="B109" s="64" t="inlineStr">
        <is>
          <t>ENTREGA (CHECKLIST)  —  10 pontos de 100</t>
        </is>
      </c>
    </row>
    <row r="110" ht="27.75" customHeight="1" s="60">
      <c r="B110" s="13" t="inlineStr">
        <is>
          <t>E1</t>
        </is>
      </c>
      <c r="C110" s="15" t="inlineStr">
        <is>
          <t>3 pts</t>
        </is>
      </c>
      <c r="D110" s="16" t="inlineStr">
        <is>
          <t>Enviou planilha com a memória de cálculo.</t>
        </is>
      </c>
      <c r="E110" s="17" t="inlineStr">
        <is>
          <t>col. U (era 'Excel = 0,5')</t>
        </is>
      </c>
    </row>
    <row r="111" ht="14.25" customHeight="1" s="60">
      <c r="C111" s="43" t="inlineStr">
        <is>
          <t>1 / 0</t>
        </is>
      </c>
      <c r="D111" s="19" t="inlineStr">
        <is>
          <t>Item binário: enviou = 1, não enviou = 0.</t>
        </is>
      </c>
      <c r="E111" s="44" t="n"/>
    </row>
    <row r="112" ht="21.75" customHeight="1" s="60">
      <c r="D112" s="27" t="inlineStr">
        <is>
          <t>TESTE OPERACIONAL:  Sim = 1, Não = 0. Sem julgamento.</t>
        </is>
      </c>
    </row>
    <row r="113" ht="14.25" customHeight="1" s="60"/>
    <row r="114" ht="27.75" customHeight="1" s="60">
      <c r="B114" s="13" t="inlineStr">
        <is>
          <t>E2</t>
        </is>
      </c>
      <c r="C114" s="15" t="inlineStr">
        <is>
          <t>2 pts</t>
        </is>
      </c>
      <c r="D114" s="16" t="inlineStr">
        <is>
          <t>Enviou apresentação fechada (PPT ou relatório).</t>
        </is>
      </c>
      <c r="E114" s="17" t="inlineStr">
        <is>
          <t>col. U (era 'PPT = 0,5')</t>
        </is>
      </c>
    </row>
    <row r="115" ht="14.25" customHeight="1" s="60">
      <c r="C115" s="43" t="inlineStr">
        <is>
          <t>1 / 0</t>
        </is>
      </c>
      <c r="D115" s="19" t="inlineStr">
        <is>
          <t>Item binário: enviou = 1, não enviou = 0.</t>
        </is>
      </c>
      <c r="E115" s="44" t="n"/>
    </row>
    <row r="116" ht="21.75" customHeight="1" s="60">
      <c r="D116" s="27" t="inlineStr">
        <is>
          <t>TESTE OPERACIONAL:  Sim = 1, Não = 0.</t>
        </is>
      </c>
    </row>
    <row r="117" ht="14.25" customHeight="1" s="60"/>
    <row r="118" ht="27.75" customHeight="1" s="60">
      <c r="B118" s="13" t="inlineStr">
        <is>
          <t>E3</t>
        </is>
      </c>
      <c r="C118" s="15" t="inlineStr">
        <is>
          <t>2 pts</t>
        </is>
      </c>
      <c r="D118" s="16" t="inlineStr">
        <is>
          <t>Gravou o vídeo da entrega.</t>
        </is>
      </c>
      <c r="E118" s="17" t="inlineStr">
        <is>
          <t>col. AE (era 'Mandou vídeo = 1 ponto')</t>
        </is>
      </c>
    </row>
    <row r="119" ht="14.25" customHeight="1" s="60">
      <c r="C119" s="43" t="inlineStr">
        <is>
          <t>1 / 0</t>
        </is>
      </c>
      <c r="D119" s="19" t="inlineStr">
        <is>
          <t>Item binário: enviou = 1, não enviou = 0.</t>
        </is>
      </c>
      <c r="E119" s="44" t="n"/>
    </row>
    <row r="120" ht="21.75" customHeight="1" s="60">
      <c r="D120" s="27" t="inlineStr">
        <is>
          <t>TESTE OPERACIONAL:  Sim = 1, Não = 0.</t>
        </is>
      </c>
    </row>
    <row r="121" ht="14.25" customHeight="1" s="60"/>
    <row r="122" ht="27.75" customHeight="1" s="60">
      <c r="B122" s="13" t="inlineStr">
        <is>
          <t>E4</t>
        </is>
      </c>
      <c r="C122" s="15" t="inlineStr">
        <is>
          <t>3 pts</t>
        </is>
      </c>
      <c r="D122" s="16" t="inlineStr">
        <is>
          <t>O trabalho apresenta recursos textuais e visuais (gráficos, tabelas de DRE).</t>
        </is>
      </c>
      <c r="E122" s="17" t="inlineStr">
        <is>
          <t>col. AF (era 2 pts)</t>
        </is>
      </c>
    </row>
    <row r="123" ht="25.5" customHeight="1" s="60">
      <c r="C123" s="18" t="n">
        <v>3</v>
      </c>
      <c r="D123" s="19" t="inlineStr">
        <is>
          <t>Todo gráfico/tabela é citado no texto E sustenta uma afirmação da análise.</t>
        </is>
      </c>
      <c r="E123" s="45" t="n"/>
    </row>
    <row r="124" ht="25.5" customHeight="1" s="60">
      <c r="C124" s="22" t="n">
        <v>2</v>
      </c>
      <c r="D124" s="19" t="inlineStr">
        <is>
          <t>Os recursos são corretos e citados, mas alguns são decorativos (não provam nada).</t>
        </is>
      </c>
      <c r="E124" s="45" t="n"/>
    </row>
    <row r="125" ht="25.5" customHeight="1" s="60">
      <c r="C125" s="23" t="n">
        <v>1</v>
      </c>
      <c r="D125" s="19" t="inlineStr">
        <is>
          <t>Há recursos, mas soltos — não citados no texto, ou com erro de leitura (eixo, escala, unidade).</t>
        </is>
      </c>
      <c r="E125" s="45" t="n"/>
    </row>
    <row r="126" ht="25.5" customHeight="1" s="60">
      <c r="C126" s="25" t="n">
        <v>0</v>
      </c>
      <c r="D126" s="19" t="inlineStr">
        <is>
          <t>Nenhum gráfico ou tabela.</t>
        </is>
      </c>
      <c r="E126" s="45" t="n"/>
    </row>
    <row r="127" ht="21.75" customHeight="1" s="60">
      <c r="D127" s="27" t="inlineStr">
        <is>
          <t>TESTE OPERACIONAL:  Quantidade não é critério: 3 gráficos que provam algo valem mais que 8 enfeitando. Para cada recurso pergunte: que afirmação ele sustenta?</t>
        </is>
      </c>
    </row>
    <row r="128" ht="14.25" customHeight="1" s="60"/>
    <row r="129" ht="14.25" customHeight="1" s="60"/>
    <row r="130" ht="24" customHeight="1" s="60">
      <c r="B130" s="64" t="inlineStr">
        <is>
          <t>VÍDEO DO FORMULÁRIO  —  10 pontos de 100</t>
        </is>
      </c>
    </row>
    <row r="131" ht="27.75" customHeight="1" s="60">
      <c r="B131" s="13" t="inlineStr">
        <is>
          <t>V1</t>
        </is>
      </c>
      <c r="C131" s="15" t="inlineStr">
        <is>
          <t>5 pts</t>
        </is>
      </c>
      <c r="D131" s="16" t="inlineStr">
        <is>
          <t>Clareza e naturalidade na fala.</t>
        </is>
      </c>
      <c r="E131" s="17" t="inlineStr">
        <is>
          <t>col. R — substitui a nota única 0-10</t>
        </is>
      </c>
    </row>
    <row r="132" ht="25.5" customHeight="1" s="60">
      <c r="C132" s="18" t="n">
        <v>3</v>
      </c>
      <c r="D132" s="19" t="inlineStr">
        <is>
          <t>Fala com estrutura própria, sem ler. Dá pra acompanhar do começo ao fim.</t>
        </is>
      </c>
      <c r="E132" s="45" t="n"/>
    </row>
    <row r="133" ht="25.5" customHeight="1" s="60">
      <c r="C133" s="22" t="n">
        <v>2</v>
      </c>
      <c r="D133" s="19" t="inlineStr">
        <is>
          <t>Boa fala, com apoio visível de roteiro.</t>
        </is>
      </c>
      <c r="E133" s="45" t="n"/>
    </row>
    <row r="134" ht="25.5" customHeight="1" s="60">
      <c r="C134" s="23" t="n">
        <v>1</v>
      </c>
      <c r="D134" s="19" t="inlineStr">
        <is>
          <t>Lê integralmente, mas é compreensível.</t>
        </is>
      </c>
      <c r="E134" s="45" t="n"/>
    </row>
    <row r="135" ht="25.5" customHeight="1" s="60">
      <c r="C135" s="25" t="n">
        <v>0</v>
      </c>
      <c r="D135" s="19" t="inlineStr">
        <is>
          <t>Não dá pra acompanhar, ou não gravou.</t>
        </is>
      </c>
      <c r="E135" s="45" t="n"/>
    </row>
    <row r="136" ht="21.75" customHeight="1" s="60">
      <c r="D136" s="27" t="inlineStr">
        <is>
          <t>TESTE OPERACIONAL:  Não julgue o conteúdo aqui, só a entrega da fala.</t>
        </is>
      </c>
    </row>
    <row r="137" ht="14.25" customHeight="1" s="60"/>
    <row r="138" ht="27.75" customHeight="1" s="60">
      <c r="B138" s="13" t="inlineStr">
        <is>
          <t>V2</t>
        </is>
      </c>
      <c r="C138" s="15" t="inlineStr">
        <is>
          <t>5 pts</t>
        </is>
      </c>
      <c r="D138" s="16" t="inlineStr">
        <is>
          <t>Apresenta motivo concreto para entrar no CCU.</t>
        </is>
      </c>
      <c r="E138" s="17" t="inlineStr">
        <is>
          <t>col. R — substitui a nota única 0-10</t>
        </is>
      </c>
    </row>
    <row r="139" ht="25.5" customHeight="1" s="60">
      <c r="C139" s="18" t="n">
        <v>3</v>
      </c>
      <c r="D139" s="19" t="inlineStr">
        <is>
          <t>Cita algo específico do CCU (projeto, área, evento) e conecta com o que quer desenvolver.</t>
        </is>
      </c>
      <c r="E139" s="45" t="n"/>
    </row>
    <row r="140" ht="25.5" customHeight="1" s="60">
      <c r="C140" s="22" t="n">
        <v>2</v>
      </c>
      <c r="D140" s="19" t="inlineStr">
        <is>
          <t>Motivo real, mas genérico (quero aprender consultoria).</t>
        </is>
      </c>
      <c r="E140" s="45" t="n"/>
    </row>
    <row r="141" ht="25.5" customHeight="1" s="60">
      <c r="C141" s="23" t="n">
        <v>1</v>
      </c>
      <c r="D141" s="19" t="inlineStr">
        <is>
          <t>Motivo circunstancial (tenho tempo livre, tenho carro pra ir aos eventos).</t>
        </is>
      </c>
      <c r="E141" s="45" t="n"/>
    </row>
    <row r="142" ht="25.5" customHeight="1" s="60">
      <c r="C142" s="25" t="n">
        <v>0</v>
      </c>
      <c r="D142" s="19" t="inlineStr">
        <is>
          <t>Não respondeu à pergunta.</t>
        </is>
      </c>
      <c r="E142" s="45" t="n"/>
    </row>
    <row r="143" ht="21.75" customHeight="1" s="60">
      <c r="D143" s="27" t="inlineStr">
        <is>
          <t>TESTE OPERACIONAL:  O motivo dele serviria pra qualquer entidade da Unicamp? Então é 1.</t>
        </is>
      </c>
    </row>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7">
    <mergeCell ref="B4:E4"/>
    <mergeCell ref="B65:E65"/>
    <mergeCell ref="B64:E64"/>
    <mergeCell ref="B130:E130"/>
    <mergeCell ref="B109:E109"/>
    <mergeCell ref="B2:E2"/>
    <mergeCell ref="B34:E34"/>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2:AI209"/>
  <sheetViews>
    <sheetView workbookViewId="0">
      <pane xSplit="4" ySplit="5" topLeftCell="E6" activePane="bottomRight" state="frozen"/>
      <selection pane="topRight" activeCell="E1" sqref="E1"/>
      <selection pane="bottomLeft" activeCell="A6" sqref="A6"/>
      <selection pane="bottomRight" activeCell="E6" sqref="E6"/>
    </sheetView>
  </sheetViews>
  <sheetFormatPr baseColWidth="8" defaultColWidth="14.43" defaultRowHeight="15" customHeight="1"/>
  <cols>
    <col width="5" customWidth="1" style="60" min="1" max="1"/>
    <col width="26" customWidth="1" style="60" min="2" max="2"/>
    <col width="34" customWidth="1" style="60" min="3" max="3"/>
    <col width="16" customWidth="1" style="60" min="4" max="4"/>
    <col width="11" customWidth="1" style="60" min="5" max="10"/>
    <col width="6" customWidth="1" style="60" min="11" max="14"/>
    <col width="30" customWidth="1" style="60" min="15" max="15"/>
    <col width="6" customWidth="1" style="60" min="16" max="19"/>
    <col width="30" customWidth="1" style="60" min="20" max="20"/>
    <col width="6" customWidth="1" style="60" min="21" max="26"/>
    <col width="30" customWidth="1" style="60" min="27" max="27"/>
    <col width="6" customWidth="1" style="60" min="28" max="33"/>
    <col width="30" customWidth="1" style="60" min="34" max="34"/>
    <col width="40" customWidth="1" style="60" min="35" max="35"/>
  </cols>
  <sheetData>
    <row r="1" ht="14.25" customHeight="1" s="60"/>
    <row r="2" ht="25.5" customHeight="1" s="60">
      <c r="B2" s="66" t="inlineStr">
        <is>
          <t>AVALIAÇÃO — uma linha por candidato POR AVALIADOR. Cada candidato deve aparecer 2 vezes.</t>
        </is>
      </c>
    </row>
    <row r="3" ht="14.25" customHeight="1" s="60"/>
    <row r="4" ht="19.5" customHeight="1" s="60">
      <c r="B4" s="11" t="inlineStr">
        <is>
          <t>Cada nome aparece 2 vezes pra terem 2 avaliadores por pessoa!</t>
        </is>
      </c>
      <c r="C4" s="42" t="n"/>
      <c r="D4" s="42" t="n"/>
      <c r="K4" s="67" t="inlineStr">
        <is>
          <t>COMUNICAÇÃO &amp; ESTRUTURA  (30)</t>
        </is>
      </c>
      <c r="P4" s="67" t="inlineStr">
        <is>
          <t>RACIOCÍNIO DE NEGÓCIO  (25)</t>
        </is>
      </c>
      <c r="U4" s="67" t="inlineStr">
        <is>
          <t>ACURÁCIA TÉCNICA  (25)</t>
        </is>
      </c>
      <c r="AB4" s="67" t="inlineStr">
        <is>
          <t>ENTREGA (CHECKLIST)  (10)</t>
        </is>
      </c>
      <c r="AF4" s="67" t="inlineStr">
        <is>
          <t>VÍDEO DO FORMULÁRIO  (10)</t>
        </is>
      </c>
    </row>
    <row r="5" ht="33.75" customHeight="1" s="60">
      <c r="A5" s="24" t="inlineStr">
        <is>
          <t>#</t>
        </is>
      </c>
      <c r="B5" s="24" t="inlineStr">
        <is>
          <t>E-mail</t>
        </is>
      </c>
      <c r="C5" s="24" t="inlineStr">
        <is>
          <t>Candidato(a)</t>
        </is>
      </c>
      <c r="D5" s="24" t="inlineStr">
        <is>
          <t>Avaliador</t>
        </is>
      </c>
      <c r="E5" s="24" t="inlineStr">
        <is>
          <t>NOTA FINAL</t>
        </is>
      </c>
      <c r="F5" s="24" t="inlineStr">
        <is>
          <t>Comunic. /30</t>
        </is>
      </c>
      <c r="G5" s="24" t="inlineStr">
        <is>
          <t>Racioc. /25</t>
        </is>
      </c>
      <c r="H5" s="24" t="inlineStr">
        <is>
          <t>Acurácia /25</t>
        </is>
      </c>
      <c r="I5" s="24" t="inlineStr">
        <is>
          <t>Entrega /10</t>
        </is>
      </c>
      <c r="J5" s="24" t="inlineStr">
        <is>
          <t>Vídeo /10</t>
        </is>
      </c>
      <c r="K5" s="26" t="inlineStr">
        <is>
          <t>C1</t>
        </is>
      </c>
      <c r="L5" s="26" t="inlineStr">
        <is>
          <t>C2</t>
        </is>
      </c>
      <c r="M5" s="26" t="inlineStr">
        <is>
          <t>C3</t>
        </is>
      </c>
      <c r="N5" s="26" t="inlineStr">
        <is>
          <t>C4</t>
        </is>
      </c>
      <c r="O5" s="28" t="inlineStr">
        <is>
          <t>Evidência — Comunicação</t>
        </is>
      </c>
      <c r="P5" s="26" t="inlineStr">
        <is>
          <t>R1</t>
        </is>
      </c>
      <c r="Q5" s="26" t="inlineStr">
        <is>
          <t>R2</t>
        </is>
      </c>
      <c r="R5" s="26" t="inlineStr">
        <is>
          <t>R3</t>
        </is>
      </c>
      <c r="S5" s="26" t="inlineStr">
        <is>
          <t>R4</t>
        </is>
      </c>
      <c r="T5" s="28" t="inlineStr">
        <is>
          <t>Evidência — Raciocínio</t>
        </is>
      </c>
      <c r="U5" s="26" t="inlineStr">
        <is>
          <t>A1</t>
        </is>
      </c>
      <c r="V5" s="26" t="inlineStr">
        <is>
          <t>A2</t>
        </is>
      </c>
      <c r="W5" s="26" t="inlineStr">
        <is>
          <t>A3</t>
        </is>
      </c>
      <c r="X5" s="26" t="inlineStr">
        <is>
          <t>A4</t>
        </is>
      </c>
      <c r="Y5" s="26" t="inlineStr">
        <is>
          <t>A5</t>
        </is>
      </c>
      <c r="Z5" s="26" t="inlineStr">
        <is>
          <t>A6</t>
        </is>
      </c>
      <c r="AA5" s="28" t="inlineStr">
        <is>
          <t>Evidência — Acurácia</t>
        </is>
      </c>
      <c r="AB5" s="26" t="inlineStr">
        <is>
          <t>E1</t>
        </is>
      </c>
      <c r="AC5" s="26" t="inlineStr">
        <is>
          <t>E2</t>
        </is>
      </c>
      <c r="AD5" s="26" t="inlineStr">
        <is>
          <t>E3</t>
        </is>
      </c>
      <c r="AE5" s="26" t="inlineStr">
        <is>
          <t>E4</t>
        </is>
      </c>
      <c r="AF5" s="26" t="inlineStr">
        <is>
          <t>V1</t>
        </is>
      </c>
      <c r="AG5" s="26" t="inlineStr">
        <is>
          <t>V2</t>
        </is>
      </c>
      <c r="AH5" s="28" t="inlineStr">
        <is>
          <t>Evidência — Vídeo</t>
        </is>
      </c>
      <c r="AI5" s="24" t="inlineStr">
        <is>
          <t>Comentário geral</t>
        </is>
      </c>
    </row>
    <row r="6" ht="14.25" customHeight="1" s="60">
      <c r="C6" s="31" t="inlineStr">
        <is>
          <t>Modelo (entrega nota máxima)</t>
        </is>
      </c>
      <c r="E6" s="33">
        <f>IF(COUNT(K6:AG6)=0,"",ROUND((F6+G6+H6+I6+J6)/10,2))</f>
        <v/>
      </c>
      <c r="F6" s="34">
        <f>IF(COUNT(K6:AG6)=0,"",(K6*10+L6*8+M6*7+N6*5)/3)</f>
        <v/>
      </c>
      <c r="G6" s="34">
        <f>IF(COUNT(K6:AG6)=0,"",(P6*8+Q6*7+R6*5+S6*5)/3)</f>
        <v/>
      </c>
      <c r="H6" s="34">
        <f>IF(COUNT(K6:AG6)=0,"",(U6*6+V6*6+W6*4+X6*3+Y6*3+Z6*3)/3)</f>
        <v/>
      </c>
      <c r="I6" s="34">
        <f>IF(COUNT(K6:AG6)=0,"",AB6*3+AC6*2+AD6*2+AE6*1)</f>
        <v/>
      </c>
      <c r="J6" s="34">
        <f>IF(COUNT(K6:AG6)=0,"",(AF6*5+AG6*5)/3)</f>
        <v/>
      </c>
      <c r="K6" s="41" t="n">
        <v>3</v>
      </c>
      <c r="L6" s="41" t="n">
        <v>3</v>
      </c>
      <c r="M6" s="41" t="n">
        <v>3</v>
      </c>
      <c r="N6" s="41" t="n">
        <v>3</v>
      </c>
      <c r="O6" s="37" t="inlineStr">
        <is>
          <t>C1=3: slide 2, "Fechar a Loja 5 e migrar p/ B2B eleva o EBITDA em R$ 4,1mi" · C3=3: lendo só os títulos (slides 1-9) a história fecha · C4=3: padrão único em toda a entrega</t>
        </is>
      </c>
      <c r="P6" s="41" t="n">
        <v>3</v>
      </c>
      <c r="Q6" s="41" t="n">
        <v>3</v>
      </c>
      <c r="R6" s="41" t="n">
        <v>3</v>
      </c>
      <c r="S6" s="41" t="n">
        <v>3</v>
      </c>
      <c r="T6" s="37" t="inlineStr">
        <is>
          <t>R1=3: slide 2 liga o número ao argumento de negócio · R2=3: compara fechar vs. reformar no slide 7 e justifica o descarte · R3=3: análise de sazonalidade (slide 10) mudou a recomendação</t>
        </is>
      </c>
      <c r="U6" s="41" t="n">
        <v>3</v>
      </c>
      <c r="V6" s="41" t="n">
        <v>3</v>
      </c>
      <c r="W6" s="41" t="n">
        <v>3</v>
      </c>
      <c r="X6" s="41" t="n">
        <v>3</v>
      </c>
      <c r="Y6" s="41" t="n">
        <v>3</v>
      </c>
      <c r="Z6" s="41" t="n">
        <v>3</v>
      </c>
      <c r="AA6" s="37" t="inlineStr">
        <is>
          <t>A1=3: Excel, aba "Loja 5", D12-D18 · A2=3: aba "SG&amp;A", C4-C11 · A6=3: apontou no slide 3 que a DRE não fecha por R$ 120k e explicou como tratou</t>
        </is>
      </c>
      <c r="AB6" s="41" t="n">
        <v>1</v>
      </c>
      <c r="AC6" s="41" t="n">
        <v>1</v>
      </c>
      <c r="AD6" s="41" t="n">
        <v>1</v>
      </c>
      <c r="AE6" s="41" t="n">
        <v>3</v>
      </c>
      <c r="AF6" s="41" t="n">
        <v>3</v>
      </c>
      <c r="AG6" s="41" t="n">
        <v>3</v>
      </c>
      <c r="AH6" s="37" t="inlineStr">
        <is>
          <t>V1=3: fala solta o vídeo inteiro, sem ler · V2=3: cita o projeto X aos 2:15</t>
        </is>
      </c>
    </row>
    <row r="7" ht="14.25" customHeight="1" s="60">
      <c r="B7" s="38" t="inlineStr">
        <is>
          <t>g278083@dac.unicamp.br</t>
        </is>
      </c>
      <c r="C7" s="30" t="inlineStr">
        <is>
          <t>Gabrielle Cristofani do Rosario</t>
        </is>
      </c>
      <c r="D7" s="30" t="inlineStr">
        <is>
          <t xml:space="preserve">victor </t>
        </is>
      </c>
      <c r="E7" s="33">
        <f>IF(COUNT(K7:AG7)=0,"",ROUND((F7+G7+H7+I7+J7)/10,2))</f>
        <v/>
      </c>
      <c r="F7" s="34">
        <f>IF(COUNT(K7:AG7)=0,"",(K7*10+L7*8+M7*7+N7*5)/3)</f>
        <v/>
      </c>
      <c r="G7" s="34">
        <f>IF(COUNT(K7:AG7)=0,"",(P7*8+Q7*7+R7*5+S7*5)/3)</f>
        <v/>
      </c>
      <c r="H7" s="34">
        <f>IF(COUNT(K7:AG7)=0,"",(U7*6+V7*6+W7*4+X7*3+Y7*3+Z7*3)/3)</f>
        <v/>
      </c>
      <c r="I7" s="34">
        <f>IF(COUNT(K7:AG7)=0,"",AB7*3+AC7*2+AD7*2+AE7*1)</f>
        <v/>
      </c>
      <c r="J7" s="34">
        <f>IF(COUNT(K7:AG7)=0,"",(AF7*5+AG7*5)/3)</f>
        <v/>
      </c>
      <c r="K7" s="41" t="n"/>
      <c r="L7" s="41" t="n"/>
      <c r="M7" s="41" t="n"/>
      <c r="N7" s="41" t="n"/>
      <c r="P7" s="41" t="n"/>
      <c r="Q7" s="41" t="n"/>
      <c r="R7" s="41" t="n"/>
      <c r="S7" s="41" t="n"/>
      <c r="U7" s="41" t="n"/>
      <c r="V7" s="41" t="n"/>
      <c r="W7" s="41" t="n"/>
      <c r="X7" s="41" t="n"/>
      <c r="Y7" s="41" t="n"/>
      <c r="Z7" s="41" t="n"/>
      <c r="AB7" s="41" t="n"/>
      <c r="AC7" s="41" t="n"/>
      <c r="AD7" s="41" t="n"/>
      <c r="AE7" s="41" t="n"/>
      <c r="AF7" s="41" t="n">
        <v>2</v>
      </c>
      <c r="AG7" s="41" t="n">
        <v>2</v>
      </c>
      <c r="AI7" s="30" t="inlineStr">
        <is>
          <t xml:space="preserve">v2 talvez seja 3 </t>
        </is>
      </c>
    </row>
    <row r="8" ht="14.25" customHeight="1" s="60">
      <c r="B8" s="38" t="inlineStr">
        <is>
          <t>b309603@dac.unicamp.br</t>
        </is>
      </c>
      <c r="C8" s="30" t="inlineStr">
        <is>
          <t>Bruno Heberth Oliveira Bastos</t>
        </is>
      </c>
      <c r="D8" s="30" t="inlineStr">
        <is>
          <t xml:space="preserve">victor </t>
        </is>
      </c>
      <c r="E8" s="33">
        <f>IF(COUNT(K8:AG8)=0,"",ROUND((F8+G8+H8+I8+J8)/10,2))</f>
        <v/>
      </c>
      <c r="F8" s="34">
        <f>IF(COUNT(K8:AG8)=0,"",(K8*10+L8*8+M8*7+N8*5)/3)</f>
        <v/>
      </c>
      <c r="G8" s="34">
        <f>IF(COUNT(K8:AG8)=0,"",(P8*8+Q8*7+R8*5+S8*5)/3)</f>
        <v/>
      </c>
      <c r="H8" s="34">
        <f>IF(COUNT(K8:AG8)=0,"",(U8*6+V8*6+W8*4+X8*3+Y8*3+Z8*3)/3)</f>
        <v/>
      </c>
      <c r="I8" s="34">
        <f>IF(COUNT(K8:AG8)=0,"",AB8*3+AC8*2+AD8*2+AE8*1)</f>
        <v/>
      </c>
      <c r="J8" s="34">
        <f>IF(COUNT(K8:AG8)=0,"",(AF8*5+AG8*5)/3)</f>
        <v/>
      </c>
      <c r="K8" s="41" t="n"/>
      <c r="L8" s="41" t="n"/>
      <c r="M8" s="41" t="n"/>
      <c r="N8" s="41" t="n"/>
      <c r="P8" s="41" t="n"/>
      <c r="Q8" s="41" t="n"/>
      <c r="R8" s="41" t="n"/>
      <c r="S8" s="41" t="n"/>
      <c r="U8" s="41" t="n"/>
      <c r="V8" s="41" t="n"/>
      <c r="W8" s="41" t="n"/>
      <c r="X8" s="41" t="n"/>
      <c r="Y8" s="41" t="n"/>
      <c r="Z8" s="41" t="n"/>
      <c r="AB8" s="41" t="n"/>
      <c r="AC8" s="41" t="n"/>
      <c r="AD8" s="41" t="n"/>
      <c r="AE8" s="41" t="n"/>
      <c r="AF8" s="41" t="n">
        <v>3</v>
      </c>
      <c r="AG8" s="41" t="n">
        <v>1</v>
      </c>
      <c r="AI8" s="30" t="inlineStr">
        <is>
          <t xml:space="preserve">É da Adm n dá </t>
        </is>
      </c>
    </row>
    <row r="9" ht="14.25" customHeight="1" s="60">
      <c r="B9" s="42" t="inlineStr">
        <is>
          <t>j309764@dac.unicamp.br</t>
        </is>
      </c>
      <c r="C9" s="30" t="inlineStr">
        <is>
          <t>João Pedro Mendes Stama</t>
        </is>
      </c>
      <c r="D9" s="30" t="inlineStr">
        <is>
          <t xml:space="preserve">victor </t>
        </is>
      </c>
      <c r="E9" s="33">
        <f>IF(COUNT(K9:AG9)=0,"",ROUND((F9+G9+H9+I9+J9)/10,2))</f>
        <v/>
      </c>
      <c r="F9" s="34">
        <f>IF(COUNT(K9:AG9)=0,"",(K9*10+L9*8+M9*7+N9*5)/3)</f>
        <v/>
      </c>
      <c r="G9" s="34">
        <f>IF(COUNT(K9:AG9)=0,"",(P9*8+Q9*7+R9*5+S9*5)/3)</f>
        <v/>
      </c>
      <c r="H9" s="34">
        <f>IF(COUNT(K9:AG9)=0,"",(U9*6+V9*6+W9*4+X9*3+Y9*3+Z9*3)/3)</f>
        <v/>
      </c>
      <c r="I9" s="34">
        <f>IF(COUNT(K9:AG9)=0,"",AB9*3+AC9*2+AD9*2+AE9*1)</f>
        <v/>
      </c>
      <c r="J9" s="34">
        <f>IF(COUNT(K9:AG9)=0,"",(AF9*5+AG9*5)/3)</f>
        <v/>
      </c>
      <c r="K9" s="41" t="n"/>
      <c r="L9" s="41" t="n"/>
      <c r="M9" s="41" t="n"/>
      <c r="N9" s="41" t="n"/>
      <c r="P9" s="41" t="n"/>
      <c r="Q9" s="41" t="n"/>
      <c r="R9" s="41" t="n"/>
      <c r="S9" s="41" t="n"/>
      <c r="U9" s="41" t="n"/>
      <c r="V9" s="41" t="n"/>
      <c r="W9" s="41" t="n"/>
      <c r="X9" s="41" t="n"/>
      <c r="Y9" s="41" t="n"/>
      <c r="Z9" s="41" t="n"/>
      <c r="AB9" s="41" t="n"/>
      <c r="AC9" s="41" t="n"/>
      <c r="AD9" s="41" t="n"/>
      <c r="AE9" s="41" t="n"/>
      <c r="AF9" s="41" t="n">
        <v>3</v>
      </c>
      <c r="AG9" s="41" t="n">
        <v>2</v>
      </c>
      <c r="AI9" s="30" t="inlineStr">
        <is>
          <t>N passaria fez o gmat na cama mas parece legal</t>
        </is>
      </c>
    </row>
    <row r="10" ht="14.25" customHeight="1" s="60">
      <c r="B10" s="38" t="inlineStr">
        <is>
          <t>r238449@dac.unicamp.br</t>
        </is>
      </c>
      <c r="C10" s="30" t="inlineStr">
        <is>
          <t>Rafael Ponciano Rodrigues dos Santos</t>
        </is>
      </c>
      <c r="D10" s="30" t="inlineStr">
        <is>
          <t>luis</t>
        </is>
      </c>
      <c r="E10" s="33">
        <f>IF(COUNT(K10:AG10)=0,"",ROUND((F10+G10+H10+I10+J10)/10,2))</f>
        <v/>
      </c>
      <c r="F10" s="34">
        <f>IF(COUNT(K10:AG10)=0,"",(K10*10+L10*8+M10*7+N10*5)/3)</f>
        <v/>
      </c>
      <c r="G10" s="34">
        <f>IF(COUNT(K10:AG10)=0,"",(P10*8+Q10*7+R10*5+S10*5)/3)</f>
        <v/>
      </c>
      <c r="H10" s="34">
        <f>IF(COUNT(K10:AG10)=0,"",(U10*6+V10*6+W10*4+X10*3+Y10*3+Z10*3)/3)</f>
        <v/>
      </c>
      <c r="I10" s="34">
        <f>IF(COUNT(K10:AG10)=0,"",AB10*3+AC10*2+AD10*2+AE10*1)</f>
        <v/>
      </c>
      <c r="J10" s="34">
        <f>IF(COUNT(K10:AG10)=0,"",(AF10*5+AG10*5)/3)</f>
        <v/>
      </c>
      <c r="K10" s="41" t="n"/>
      <c r="L10" s="41" t="n"/>
      <c r="M10" s="41" t="n"/>
      <c r="N10" s="41" t="n"/>
      <c r="P10" s="41" t="n"/>
      <c r="Q10" s="41" t="n"/>
      <c r="R10" s="41" t="n"/>
      <c r="S10" s="41" t="n"/>
      <c r="U10" s="41" t="n"/>
      <c r="V10" s="41" t="n"/>
      <c r="W10" s="41" t="n"/>
      <c r="X10" s="41" t="n"/>
      <c r="Y10" s="41" t="n"/>
      <c r="Z10" s="41" t="n"/>
      <c r="AB10" s="41" t="n"/>
      <c r="AC10" s="41" t="n"/>
      <c r="AD10" s="41" t="n"/>
      <c r="AE10" s="41" t="n"/>
      <c r="AF10" s="41" t="n">
        <v>3</v>
      </c>
      <c r="AG10" s="41" t="n">
        <v>2</v>
      </c>
      <c r="AI10" s="30" t="inlineStr">
        <is>
          <t>n falou nada do clube e tem um canal de 40 k de inscritos👍</t>
        </is>
      </c>
    </row>
    <row r="11" ht="14.25" customHeight="1" s="60">
      <c r="B11" s="38" t="inlineStr">
        <is>
          <t>enzo.gag17@gmail.com</t>
        </is>
      </c>
      <c r="C11" s="30" t="inlineStr">
        <is>
          <t>Enzo Chofakian Gagliardi</t>
        </is>
      </c>
      <c r="D11" s="30" t="inlineStr">
        <is>
          <t xml:space="preserve">victor </t>
        </is>
      </c>
      <c r="E11" s="33">
        <f>IF(COUNT(K11:AG11)=0,"",ROUND((F11+G11+H11+I11+J11)/10,2))</f>
        <v/>
      </c>
      <c r="F11" s="34">
        <f>IF(COUNT(K11:AG11)=0,"",(K11*10+L11*8+M11*7+N11*5)/3)</f>
        <v/>
      </c>
      <c r="G11" s="34">
        <f>IF(COUNT(K11:AG11)=0,"",(P11*8+Q11*7+R11*5+S11*5)/3)</f>
        <v/>
      </c>
      <c r="H11" s="34">
        <f>IF(COUNT(K11:AG11)=0,"",(U11*6+V11*6+W11*4+X11*3+Y11*3+Z11*3)/3)</f>
        <v/>
      </c>
      <c r="I11" s="34">
        <f>IF(COUNT(K11:AG11)=0,"",AB11*3+AC11*2+AD11*2+AE11*1)</f>
        <v/>
      </c>
      <c r="J11" s="34">
        <f>IF(COUNT(K11:AG11)=0,"",(AF11*5+AG11*5)/3)</f>
        <v/>
      </c>
      <c r="K11" s="41" t="n"/>
      <c r="L11" s="41" t="n"/>
      <c r="M11" s="41" t="n"/>
      <c r="N11" s="41" t="n"/>
      <c r="P11" s="41" t="n"/>
      <c r="Q11" s="41" t="n"/>
      <c r="R11" s="41" t="n"/>
      <c r="S11" s="41" t="n"/>
      <c r="U11" s="41" t="n"/>
      <c r="V11" s="41" t="n"/>
      <c r="W11" s="41" t="n"/>
      <c r="X11" s="41" t="n"/>
      <c r="Y11" s="41" t="n"/>
      <c r="Z11" s="41" t="n"/>
      <c r="AB11" s="41" t="n"/>
      <c r="AC11" s="41" t="n"/>
      <c r="AD11" s="41" t="n"/>
      <c r="AE11" s="41" t="n"/>
      <c r="AF11" s="41" t="n">
        <v>2</v>
      </c>
      <c r="AG11" s="41" t="n">
        <v>2</v>
      </c>
      <c r="AI11" s="30" t="inlineStr">
        <is>
          <t>ok</t>
        </is>
      </c>
    </row>
    <row r="12" ht="14.25" customHeight="1" s="60">
      <c r="B12" s="38" t="inlineStr">
        <is>
          <t>e278588@dac.unicamp.br</t>
        </is>
      </c>
      <c r="C12" s="30" t="inlineStr">
        <is>
          <t>Enrico Tristão e Mello de Oliveira</t>
        </is>
      </c>
      <c r="D12" s="30" t="inlineStr">
        <is>
          <t xml:space="preserve">victor </t>
        </is>
      </c>
      <c r="E12" s="33">
        <f>IF(COUNT(K12:AG12)=0,"",ROUND((F12+G12+H12+I12+J12)/10,2))</f>
        <v/>
      </c>
      <c r="F12" s="34">
        <f>IF(COUNT(K12:AG12)=0,"",(K12*10+L12*8+M12*7+N12*5)/3)</f>
        <v/>
      </c>
      <c r="G12" s="34">
        <f>IF(COUNT(K12:AG12)=0,"",(P12*8+Q12*7+R12*5+S12*5)/3)</f>
        <v/>
      </c>
      <c r="H12" s="34">
        <f>IF(COUNT(K12:AG12)=0,"",(U12*6+V12*6+W12*4+X12*3+Y12*3+Z12*3)/3)</f>
        <v/>
      </c>
      <c r="I12" s="34">
        <f>IF(COUNT(K12:AG12)=0,"",AB12*3+AC12*2+AD12*2+AE12*1)</f>
        <v/>
      </c>
      <c r="J12" s="34">
        <f>IF(COUNT(K12:AG12)=0,"",(AF12*5+AG12*5)/3)</f>
        <v/>
      </c>
      <c r="K12" s="41" t="n"/>
      <c r="L12" s="41" t="n"/>
      <c r="M12" s="41" t="n"/>
      <c r="N12" s="41" t="n"/>
      <c r="P12" s="41" t="n"/>
      <c r="Q12" s="41" t="n"/>
      <c r="R12" s="41" t="n"/>
      <c r="S12" s="41" t="n"/>
      <c r="U12" s="41" t="n"/>
      <c r="V12" s="41" t="n"/>
      <c r="W12" s="41" t="n"/>
      <c r="X12" s="41" t="n"/>
      <c r="Y12" s="41" t="n"/>
      <c r="Z12" s="41" t="n"/>
      <c r="AB12" s="41" t="n"/>
      <c r="AC12" s="41" t="n"/>
      <c r="AD12" s="41" t="n"/>
      <c r="AE12" s="41" t="n"/>
      <c r="AF12" s="41" t="n">
        <v>2</v>
      </c>
      <c r="AG12" s="41" t="n">
        <v>1</v>
      </c>
      <c r="AI12" s="30" t="inlineStr">
        <is>
          <t xml:space="preserve">N falou nada do clube só do mercado </t>
        </is>
      </c>
    </row>
    <row r="13" ht="14.25" customHeight="1" s="60">
      <c r="B13" s="38" t="inlineStr">
        <is>
          <t>e221509@dac.unicamp.br</t>
        </is>
      </c>
      <c r="C13" s="30" t="inlineStr">
        <is>
          <t>Eduardo Alves Henrique</t>
        </is>
      </c>
      <c r="D13" s="30" t="inlineStr">
        <is>
          <t xml:space="preserve">victor </t>
        </is>
      </c>
      <c r="E13" s="33">
        <f>IF(COUNT(K13:AG13)=0,"",ROUND((F13+G13+H13+I13+J13)/10,2))</f>
        <v/>
      </c>
      <c r="F13" s="34">
        <f>IF(COUNT(K13:AG13)=0,"",(K13*10+L13*8+M13*7+N13*5)/3)</f>
        <v/>
      </c>
      <c r="G13" s="34">
        <f>IF(COUNT(K13:AG13)=0,"",(P13*8+Q13*7+R13*5+S13*5)/3)</f>
        <v/>
      </c>
      <c r="H13" s="34">
        <f>IF(COUNT(K13:AG13)=0,"",(U13*6+V13*6+W13*4+X13*3+Y13*3+Z13*3)/3)</f>
        <v/>
      </c>
      <c r="I13" s="34">
        <f>IF(COUNT(K13:AG13)=0,"",AB13*3+AC13*2+AD13*2+AE13*1)</f>
        <v/>
      </c>
      <c r="J13" s="34">
        <f>IF(COUNT(K13:AG13)=0,"",(AF13*5+AG13*5)/3)</f>
        <v/>
      </c>
      <c r="K13" s="41" t="n"/>
      <c r="L13" s="41" t="n"/>
      <c r="M13" s="41" t="n"/>
      <c r="N13" s="41" t="n"/>
      <c r="P13" s="41" t="n"/>
      <c r="Q13" s="41" t="n"/>
      <c r="R13" s="41" t="n"/>
      <c r="S13" s="41" t="n"/>
      <c r="U13" s="41" t="n"/>
      <c r="V13" s="41" t="n"/>
      <c r="W13" s="41" t="n"/>
      <c r="X13" s="41" t="n"/>
      <c r="Y13" s="41" t="n"/>
      <c r="Z13" s="41" t="n"/>
      <c r="AB13" s="41" t="n"/>
      <c r="AC13" s="41" t="n"/>
      <c r="AD13" s="41" t="n"/>
      <c r="AE13" s="41" t="n"/>
      <c r="AF13" s="41" t="n">
        <v>2</v>
      </c>
      <c r="AG13" s="41" t="n">
        <v>0</v>
      </c>
      <c r="AI13" s="30" t="inlineStr">
        <is>
          <t>Só falou que queria o CCU pra pegar cargo e ter no currículo</t>
        </is>
      </c>
    </row>
    <row r="14" ht="14.25" customHeight="1" s="60">
      <c r="B14" s="38" t="inlineStr">
        <is>
          <t>l304532@dac.unicamp.br</t>
        </is>
      </c>
      <c r="C14" s="30" t="inlineStr">
        <is>
          <t>Leandra Cunha de Souza</t>
        </is>
      </c>
      <c r="D14" s="30" t="inlineStr">
        <is>
          <t xml:space="preserve">victor </t>
        </is>
      </c>
      <c r="E14" s="33">
        <f>IF(COUNT(K14:AG14)=0,"",ROUND((F14+G14+H14+I14+J14)/10,2))</f>
        <v/>
      </c>
      <c r="F14" s="34">
        <f>IF(COUNT(K14:AG14)=0,"",(K14*10+L14*8+M14*7+N14*5)/3)</f>
        <v/>
      </c>
      <c r="G14" s="34">
        <f>IF(COUNT(K14:AG14)=0,"",(P14*8+Q14*7+R14*5+S14*5)/3)</f>
        <v/>
      </c>
      <c r="H14" s="34">
        <f>IF(COUNT(K14:AG14)=0,"",(U14*6+V14*6+W14*4+X14*3+Y14*3+Z14*3)/3)</f>
        <v/>
      </c>
      <c r="I14" s="34">
        <f>IF(COUNT(K14:AG14)=0,"",AB14*3+AC14*2+AD14*2+AE14*1)</f>
        <v/>
      </c>
      <c r="J14" s="34">
        <f>IF(COUNT(K14:AG14)=0,"",(AF14*5+AG14*5)/3)</f>
        <v/>
      </c>
      <c r="K14" s="41" t="n"/>
      <c r="L14" s="41" t="n"/>
      <c r="M14" s="41" t="n"/>
      <c r="N14" s="41" t="n"/>
      <c r="P14" s="41" t="n"/>
      <c r="Q14" s="41" t="n"/>
      <c r="R14" s="41" t="n"/>
      <c r="S14" s="41" t="n"/>
      <c r="U14" s="41" t="n"/>
      <c r="V14" s="41" t="n"/>
      <c r="W14" s="41" t="n"/>
      <c r="X14" s="41" t="n"/>
      <c r="Y14" s="41" t="n"/>
      <c r="Z14" s="41" t="n"/>
      <c r="AB14" s="41" t="n"/>
      <c r="AC14" s="41" t="n"/>
      <c r="AD14" s="41" t="n"/>
      <c r="AE14" s="41" t="n"/>
      <c r="AF14" s="41" t="n">
        <v>2</v>
      </c>
      <c r="AG14" s="41" t="n">
        <v>2</v>
      </c>
      <c r="AI14" s="30" t="inlineStr">
        <is>
          <t>Mid, muitas experiencias mas todas na escola, achei confusa a resposta só saiu citando coisas q fez</t>
        </is>
      </c>
    </row>
    <row r="15" ht="14.25" customHeight="1" s="60">
      <c r="B15" s="38" t="inlineStr">
        <is>
          <t>v188630@dac.unicamp.br</t>
        </is>
      </c>
      <c r="C15" s="30" t="inlineStr">
        <is>
          <t>Vagner Ássimos Gomes Carlos Filho</t>
        </is>
      </c>
      <c r="D15" s="30" t="inlineStr">
        <is>
          <t>victor</t>
        </is>
      </c>
      <c r="E15" s="33">
        <f>IF(COUNT(K15:AG15)=0,"",ROUND((F15+G15+H15+I15+J15)/10,2))</f>
        <v/>
      </c>
      <c r="F15" s="34">
        <f>IF(COUNT(K15:AG15)=0,"",(K15*10+L15*8+M15*7+N15*5)/3)</f>
        <v/>
      </c>
      <c r="G15" s="34">
        <f>IF(COUNT(K15:AG15)=0,"",(P15*8+Q15*7+R15*5+S15*5)/3)</f>
        <v/>
      </c>
      <c r="H15" s="34">
        <f>IF(COUNT(K15:AG15)=0,"",(U15*6+V15*6+W15*4+X15*3+Y15*3+Z15*3)/3)</f>
        <v/>
      </c>
      <c r="I15" s="34">
        <f>IF(COUNT(K15:AG15)=0,"",AB15*3+AC15*2+AD15*2+AE15*1)</f>
        <v/>
      </c>
      <c r="J15" s="34">
        <f>IF(COUNT(K15:AG15)=0,"",(AF15*5+AG15*5)/3)</f>
        <v/>
      </c>
      <c r="K15" s="41" t="n"/>
      <c r="L15" s="41" t="n"/>
      <c r="M15" s="41" t="n"/>
      <c r="N15" s="41" t="n"/>
      <c r="P15" s="41" t="n"/>
      <c r="Q15" s="41" t="n"/>
      <c r="R15" s="41" t="n"/>
      <c r="S15" s="41" t="n"/>
      <c r="U15" s="41" t="n"/>
      <c r="V15" s="41" t="n"/>
      <c r="W15" s="41" t="n"/>
      <c r="X15" s="41" t="n"/>
      <c r="Y15" s="41" t="n"/>
      <c r="Z15" s="41" t="n"/>
      <c r="AB15" s="41" t="n"/>
      <c r="AC15" s="41" t="n"/>
      <c r="AD15" s="41" t="n"/>
      <c r="AE15" s="41" t="n"/>
      <c r="AF15" s="41" t="n">
        <v>2</v>
      </c>
      <c r="AG15" s="41" t="n">
        <v>3</v>
      </c>
      <c r="AI15" s="30" t="inlineStr">
        <is>
          <t>Falou das palestras, n sei se tava lendo ou só olhado pra camera mas falou bem ent talvez seja 3</t>
        </is>
      </c>
    </row>
    <row r="16" ht="14.25" customHeight="1" s="60">
      <c r="B16" s="38" t="inlineStr">
        <is>
          <t>m277865@dac.unicamp.br</t>
        </is>
      </c>
      <c r="C16" s="30" t="inlineStr">
        <is>
          <t>Mariana Nunes Galvão Sant'Anna</t>
        </is>
      </c>
      <c r="D16" s="30" t="inlineStr">
        <is>
          <t xml:space="preserve">luis </t>
        </is>
      </c>
      <c r="E16" s="33">
        <f>IF(COUNT(K16:AG16)=0,"",ROUND((F16+G16+H16+I16+J16)/10,2))</f>
        <v/>
      </c>
      <c r="F16" s="34">
        <f>IF(COUNT(K16:AG16)=0,"",(K16*10+L16*8+M16*7+N16*5)/3)</f>
        <v/>
      </c>
      <c r="G16" s="34">
        <f>IF(COUNT(K16:AG16)=0,"",(P16*8+Q16*7+R16*5+S16*5)/3)</f>
        <v/>
      </c>
      <c r="H16" s="34">
        <f>IF(COUNT(K16:AG16)=0,"",(U16*6+V16*6+W16*4+X16*3+Y16*3+Z16*3)/3)</f>
        <v/>
      </c>
      <c r="I16" s="34">
        <f>IF(COUNT(K16:AG16)=0,"",AB16*3+AC16*2+AD16*2+AE16*1)</f>
        <v/>
      </c>
      <c r="J16" s="34">
        <f>IF(COUNT(K16:AG16)=0,"",(AF16*5+AG16*5)/3)</f>
        <v/>
      </c>
      <c r="K16" s="41" t="n"/>
      <c r="L16" s="41" t="n"/>
      <c r="M16" s="41" t="n"/>
      <c r="N16" s="41" t="n"/>
      <c r="P16" s="41" t="n"/>
      <c r="Q16" s="41" t="n"/>
      <c r="R16" s="41" t="n"/>
      <c r="S16" s="41" t="n"/>
      <c r="U16" s="41" t="n"/>
      <c r="V16" s="41" t="n"/>
      <c r="W16" s="41" t="n"/>
      <c r="X16" s="41" t="n"/>
      <c r="Y16" s="41" t="n"/>
      <c r="Z16" s="41" t="n"/>
      <c r="AB16" s="41" t="n"/>
      <c r="AC16" s="41" t="n"/>
      <c r="AD16" s="41" t="n"/>
      <c r="AE16" s="41" t="n"/>
      <c r="AF16" s="41" t="n">
        <v>3</v>
      </c>
      <c r="AG16" s="41" t="n">
        <v>2</v>
      </c>
      <c r="AI16" s="30" t="inlineStr">
        <is>
          <t>motivo genérico</t>
        </is>
      </c>
    </row>
    <row r="17" ht="14.25" customHeight="1" s="60">
      <c r="B17" s="38" t="inlineStr">
        <is>
          <t>a266739@dac.unicamp.br</t>
        </is>
      </c>
      <c r="C17" s="30" t="inlineStr">
        <is>
          <t>Aslan Rodrigues Maia</t>
        </is>
      </c>
      <c r="D17" s="30" t="inlineStr">
        <is>
          <t>Ferro</t>
        </is>
      </c>
      <c r="E17" s="33">
        <f>IF(COUNT(K17:AG17)=0,"",ROUND((F17+G17+H17+I17+J17)/10,2))</f>
        <v/>
      </c>
      <c r="F17" s="34">
        <f>IF(COUNT(K17:AG17)=0,"",(K17*10+L17*8+M17*7+N17*5)/3)</f>
        <v/>
      </c>
      <c r="G17" s="34">
        <f>IF(COUNT(K17:AG17)=0,"",(P17*8+Q17*7+R17*5+S17*5)/3)</f>
        <v/>
      </c>
      <c r="H17" s="34">
        <f>IF(COUNT(K17:AG17)=0,"",(U17*6+V17*6+W17*4+X17*3+Y17*3+Z17*3)/3)</f>
        <v/>
      </c>
      <c r="I17" s="34">
        <f>IF(COUNT(K17:AG17)=0,"",AB17*3+AC17*2+AD17*2+AE17*1)</f>
        <v/>
      </c>
      <c r="J17" s="34">
        <f>IF(COUNT(K17:AG17)=0,"",(AF17*5+AG17*5)/3)</f>
        <v/>
      </c>
      <c r="K17" s="41" t="n"/>
      <c r="L17" s="41" t="n"/>
      <c r="M17" s="41" t="n"/>
      <c r="N17" s="41" t="n"/>
      <c r="P17" s="41" t="n"/>
      <c r="Q17" s="41" t="n"/>
      <c r="R17" s="41" t="n"/>
      <c r="S17" s="41" t="n"/>
      <c r="U17" s="41" t="n"/>
      <c r="V17" s="41" t="n"/>
      <c r="W17" s="41" t="n"/>
      <c r="X17" s="41" t="n"/>
      <c r="Y17" s="41" t="n"/>
      <c r="Z17" s="41" t="n"/>
      <c r="AB17" s="41" t="n"/>
      <c r="AC17" s="41" t="n"/>
      <c r="AD17" s="41" t="n"/>
      <c r="AE17" s="41" t="n"/>
      <c r="AF17" s="41" t="n">
        <v>1</v>
      </c>
      <c r="AG17" s="41" t="n">
        <v>2</v>
      </c>
      <c r="AI17" s="30" t="inlineStr">
        <is>
          <t>TIrou 2/3 do Gmat, e falou um pouco travado no vídeo, mas foi bem (não é bixo)</t>
        </is>
      </c>
    </row>
    <row r="18" ht="14.25" customHeight="1" s="60">
      <c r="B18" s="38" t="inlineStr">
        <is>
          <t>j278641@dac.unicamp.br</t>
        </is>
      </c>
      <c r="C18" s="30" t="inlineStr">
        <is>
          <t>João Gabriel de Oliveira Morcelli</t>
        </is>
      </c>
      <c r="D18" s="30" t="inlineStr">
        <is>
          <t>Ferro</t>
        </is>
      </c>
      <c r="E18" s="33">
        <f>IF(COUNT(K18:AG18)=0,"",ROUND((F18+G18+H18+I18+J18)/10,2))</f>
        <v/>
      </c>
      <c r="F18" s="34">
        <f>IF(COUNT(K18:AG18)=0,"",(K18*10+L18*8+M18*7+N18*5)/3)</f>
        <v/>
      </c>
      <c r="G18" s="34">
        <f>IF(COUNT(K18:AG18)=0,"",(P18*8+Q18*7+R18*5+S18*5)/3)</f>
        <v/>
      </c>
      <c r="H18" s="34">
        <f>IF(COUNT(K18:AG18)=0,"",(U18*6+V18*6+W18*4+X18*3+Y18*3+Z18*3)/3)</f>
        <v/>
      </c>
      <c r="I18" s="34">
        <f>IF(COUNT(K18:AG18)=0,"",AB18*3+AC18*2+AD18*2+AE18*1)</f>
        <v/>
      </c>
      <c r="J18" s="34">
        <f>IF(COUNT(K18:AG18)=0,"",(AF18*5+AG18*5)/3)</f>
        <v/>
      </c>
      <c r="K18" s="41" t="n"/>
      <c r="L18" s="41" t="n"/>
      <c r="M18" s="41" t="n"/>
      <c r="N18" s="41" t="n"/>
      <c r="P18" s="41" t="n"/>
      <c r="Q18" s="41" t="n"/>
      <c r="R18" s="41" t="n"/>
      <c r="S18" s="41" t="n"/>
      <c r="U18" s="41" t="n"/>
      <c r="V18" s="41" t="n"/>
      <c r="W18" s="41" t="n"/>
      <c r="X18" s="41" t="n"/>
      <c r="Y18" s="41" t="n"/>
      <c r="Z18" s="41" t="n"/>
      <c r="AB18" s="41" t="n"/>
      <c r="AC18" s="41" t="n"/>
      <c r="AD18" s="41" t="n"/>
      <c r="AE18" s="41" t="n"/>
      <c r="AF18" s="41" t="n">
        <v>3</v>
      </c>
      <c r="AG18" s="41" t="n">
        <v>2</v>
      </c>
      <c r="AI18" s="73" t="inlineStr">
        <is>
          <t>2/3 Gmat, fez no final sem energia, cara foi resiliente, falou muito bem no vídeo</t>
        </is>
      </c>
    </row>
    <row r="19" ht="14.25" customHeight="1" s="60">
      <c r="B19" s="38" t="inlineStr">
        <is>
          <t>r278709@dac.unicamp.br</t>
        </is>
      </c>
      <c r="C19" s="30" t="inlineStr">
        <is>
          <t>Raphael Negrini Saggioro</t>
        </is>
      </c>
      <c r="D19" s="30" t="inlineStr">
        <is>
          <t>Ferro</t>
        </is>
      </c>
      <c r="E19" s="33">
        <f>IF(COUNT(K19:AG19)=0,"",ROUND((F19+G19+H19+I19+J19)/10,2))</f>
        <v/>
      </c>
      <c r="F19" s="34">
        <f>IF(COUNT(K19:AG19)=0,"",(K19*10+L19*8+M19*7+N19*5)/3)</f>
        <v/>
      </c>
      <c r="G19" s="34">
        <f>IF(COUNT(K19:AG19)=0,"",(P19*8+Q19*7+R19*5+S19*5)/3)</f>
        <v/>
      </c>
      <c r="H19" s="34">
        <f>IF(COUNT(K19:AG19)=0,"",(U19*6+V19*6+W19*4+X19*3+Y19*3+Z19*3)/3)</f>
        <v/>
      </c>
      <c r="I19" s="34">
        <f>IF(COUNT(K19:AG19)=0,"",AB19*3+AC19*2+AD19*2+AE19*1)</f>
        <v/>
      </c>
      <c r="J19" s="34">
        <f>IF(COUNT(K19:AG19)=0,"",(AF19*5+AG19*5)/3)</f>
        <v/>
      </c>
      <c r="K19" s="41" t="n"/>
      <c r="L19" s="41" t="n"/>
      <c r="M19" s="41" t="n"/>
      <c r="N19" s="41" t="n"/>
      <c r="P19" s="41" t="n"/>
      <c r="Q19" s="41" t="n"/>
      <c r="R19" s="41" t="n"/>
      <c r="S19" s="41" t="n"/>
      <c r="U19" s="41" t="n"/>
      <c r="V19" s="41" t="n"/>
      <c r="W19" s="41" t="n"/>
      <c r="X19" s="41" t="n"/>
      <c r="Y19" s="41" t="n"/>
      <c r="Z19" s="41" t="n"/>
      <c r="AB19" s="41" t="n"/>
      <c r="AC19" s="41" t="n"/>
      <c r="AD19" s="41" t="n"/>
      <c r="AE19" s="41" t="n"/>
      <c r="AF19" s="41" t="n">
        <v>2</v>
      </c>
      <c r="AG19" s="41" t="n">
        <v>3</v>
      </c>
      <c r="AI19" s="30" t="inlineStr">
        <is>
          <t>2/3 Gmat na média, vídeo foi muito bem, citou todos projetos</t>
        </is>
      </c>
    </row>
    <row r="20" ht="14.25" customHeight="1" s="60">
      <c r="B20" s="38" t="inlineStr">
        <is>
          <t>g278107@dac.unicamp.br</t>
        </is>
      </c>
      <c r="C20" s="30" t="inlineStr">
        <is>
          <t>Gustavo Daher Pereira</t>
        </is>
      </c>
      <c r="D20" s="30" t="inlineStr">
        <is>
          <t>Ferro</t>
        </is>
      </c>
      <c r="E20" s="33">
        <f>IF(COUNT(K20:AG20)=0,"",ROUND((F20+G20+H20+I20+J20)/10,2))</f>
        <v/>
      </c>
      <c r="F20" s="34">
        <f>IF(COUNT(K20:AG20)=0,"",(K20*10+L20*8+M20*7+N20*5)/3)</f>
        <v/>
      </c>
      <c r="G20" s="34">
        <f>IF(COUNT(K20:AG20)=0,"",(P20*8+Q20*7+R20*5+S20*5)/3)</f>
        <v/>
      </c>
      <c r="H20" s="34">
        <f>IF(COUNT(K20:AG20)=0,"",(U20*6+V20*6+W20*4+X20*3+Y20*3+Z20*3)/3)</f>
        <v/>
      </c>
      <c r="I20" s="34">
        <f>IF(COUNT(K20:AG20)=0,"",AB20*3+AC20*2+AD20*2+AE20*1)</f>
        <v/>
      </c>
      <c r="J20" s="34">
        <f>IF(COUNT(K20:AG20)=0,"",(AF20*5+AG20*5)/3)</f>
        <v/>
      </c>
      <c r="K20" s="41" t="n"/>
      <c r="L20" s="41" t="n"/>
      <c r="M20" s="41" t="n"/>
      <c r="N20" s="41" t="n"/>
      <c r="P20" s="41" t="n"/>
      <c r="Q20" s="41" t="n"/>
      <c r="R20" s="41" t="n"/>
      <c r="S20" s="41" t="n"/>
      <c r="U20" s="41" t="n"/>
      <c r="V20" s="41" t="n"/>
      <c r="W20" s="41" t="n"/>
      <c r="X20" s="41" t="n"/>
      <c r="Y20" s="41" t="n"/>
      <c r="Z20" s="41" t="n"/>
      <c r="AB20" s="41" t="n"/>
      <c r="AC20" s="41" t="n"/>
      <c r="AD20" s="41" t="n"/>
      <c r="AE20" s="41" t="n"/>
      <c r="AF20" s="41" t="n">
        <v>2</v>
      </c>
      <c r="AG20" s="41" t="n">
        <v>2</v>
      </c>
      <c r="AI20" s="30" t="inlineStr">
        <is>
          <t>2/3 Gmat. Mano esse cara é a definição de estar na média</t>
        </is>
      </c>
    </row>
    <row r="21" ht="14.25" customHeight="1" s="60">
      <c r="B21" s="38" t="inlineStr">
        <is>
          <t>rickfilho2007@gmail.com</t>
        </is>
      </c>
      <c r="C21" s="30" t="inlineStr">
        <is>
          <t>Ricardo Augusto Schmitt Filho</t>
        </is>
      </c>
      <c r="D21" s="30" t="inlineStr">
        <is>
          <t>Ferro</t>
        </is>
      </c>
      <c r="E21" s="33">
        <f>IF(COUNT(K21:AG21)=0,"",ROUND((F21+G21+H21+I21+J21)/10,2))</f>
        <v/>
      </c>
      <c r="F21" s="34">
        <f>IF(COUNT(K21:AG21)=0,"",(K21*10+L21*8+M21*7+N21*5)/3)</f>
        <v/>
      </c>
      <c r="G21" s="34">
        <f>IF(COUNT(K21:AG21)=0,"",(P21*8+Q21*7+R21*5+S21*5)/3)</f>
        <v/>
      </c>
      <c r="H21" s="34">
        <f>IF(COUNT(K21:AG21)=0,"",(U21*6+V21*6+W21*4+X21*3+Y21*3+Z21*3)/3)</f>
        <v/>
      </c>
      <c r="I21" s="34">
        <f>IF(COUNT(K21:AG21)=0,"",AB21*3+AC21*2+AD21*2+AE21*1)</f>
        <v/>
      </c>
      <c r="J21" s="34">
        <f>IF(COUNT(K21:AG21)=0,"",(AF21*5+AG21*5)/3)</f>
        <v/>
      </c>
      <c r="K21" s="41" t="n"/>
      <c r="L21" s="41" t="n"/>
      <c r="M21" s="41" t="n"/>
      <c r="N21" s="41" t="n"/>
      <c r="P21" s="41" t="n"/>
      <c r="Q21" s="41" t="n"/>
      <c r="R21" s="41" t="n"/>
      <c r="S21" s="41" t="n"/>
      <c r="U21" s="41" t="n"/>
      <c r="V21" s="41" t="n"/>
      <c r="W21" s="41" t="n"/>
      <c r="X21" s="41" t="n"/>
      <c r="Y21" s="41" t="n"/>
      <c r="Z21" s="41" t="n"/>
      <c r="AB21" s="41" t="n"/>
      <c r="AC21" s="41" t="n"/>
      <c r="AD21" s="41" t="n"/>
      <c r="AE21" s="41" t="n"/>
      <c r="AF21" s="41" t="n">
        <v>2</v>
      </c>
      <c r="AG21" s="41" t="n">
        <v>2</v>
      </c>
      <c r="AI21" s="30" t="inlineStr">
        <is>
          <t>2/3 Gmat, falou bem, mas parecia ler as vezes</t>
        </is>
      </c>
    </row>
    <row r="22" ht="18.75" customHeight="1" s="60">
      <c r="B22" s="42" t="inlineStr">
        <is>
          <t>m306365@dac.unicamp.br</t>
        </is>
      </c>
      <c r="C22" s="30" t="inlineStr">
        <is>
          <t>Matheus Dias Freitas</t>
        </is>
      </c>
      <c r="D22" s="30" t="inlineStr">
        <is>
          <t>Ferro</t>
        </is>
      </c>
      <c r="E22" s="33">
        <f>IF(COUNT(K22:AG22)=0,"",ROUND((F22+G22+H22+I22+J22)/10,2))</f>
        <v/>
      </c>
      <c r="F22" s="34">
        <f>IF(COUNT(K22:AG22)=0,"",(K22*10+L22*8+M22*7+N22*5)/3)</f>
        <v/>
      </c>
      <c r="G22" s="34">
        <f>IF(COUNT(K22:AG22)=0,"",(P22*8+Q22*7+R22*5+S22*5)/3)</f>
        <v/>
      </c>
      <c r="H22" s="34">
        <f>IF(COUNT(K22:AG22)=0,"",(U22*6+V22*6+W22*4+X22*3+Y22*3+Z22*3)/3)</f>
        <v/>
      </c>
      <c r="I22" s="34">
        <f>IF(COUNT(K22:AG22)=0,"",AB22*3+AC22*2+AD22*2+AE22*1)</f>
        <v/>
      </c>
      <c r="J22" s="34">
        <f>IF(COUNT(K22:AG22)=0,"",(AF22*5+AG22*5)/3)</f>
        <v/>
      </c>
      <c r="K22" s="41" t="n"/>
      <c r="L22" s="41" t="n"/>
      <c r="M22" s="41" t="n"/>
      <c r="N22" s="41" t="n"/>
      <c r="P22" s="41" t="n"/>
      <c r="Q22" s="41" t="n"/>
      <c r="R22" s="41" t="n"/>
      <c r="S22" s="41" t="n"/>
      <c r="U22" s="41" t="n"/>
      <c r="V22" s="41" t="n"/>
      <c r="W22" s="41" t="n"/>
      <c r="X22" s="41" t="n"/>
      <c r="Y22" s="41" t="n"/>
      <c r="Z22" s="41" t="n"/>
      <c r="AB22" s="41" t="n"/>
      <c r="AC22" s="41" t="n"/>
      <c r="AD22" s="41" t="n"/>
      <c r="AE22" s="41" t="n"/>
      <c r="AF22" s="41" t="n">
        <v>0</v>
      </c>
      <c r="AG22" s="41" t="n">
        <v>0</v>
      </c>
      <c r="AI22" s="30" t="inlineStr">
        <is>
          <t>(BIXO) Vídeo de toca e perguntou se o gmat era em inglês mesmo, reportado</t>
        </is>
      </c>
    </row>
    <row r="23" ht="18.75" customHeight="1" s="60">
      <c r="B23" s="38" t="inlineStr">
        <is>
          <t>k267983@dac.unicamp.br</t>
        </is>
      </c>
      <c r="C23" s="30" t="inlineStr">
        <is>
          <t>Klaus Augusto Santos da Silva</t>
        </is>
      </c>
      <c r="D23" s="30" t="inlineStr">
        <is>
          <t>Ferro</t>
        </is>
      </c>
      <c r="E23" s="33">
        <f>IF(COUNT(K23:AG23)=0,"",ROUND((F23+G23+H23+I23+J23)/10,2))</f>
        <v/>
      </c>
      <c r="F23" s="34">
        <f>IF(COUNT(K23:AG23)=0,"",(K23*10+L23*8+M23*7+N23*5)/3)</f>
        <v/>
      </c>
      <c r="G23" s="34">
        <f>IF(COUNT(K23:AG23)=0,"",(P23*8+Q23*7+R23*5+S23*5)/3)</f>
        <v/>
      </c>
      <c r="H23" s="34">
        <f>IF(COUNT(K23:AG23)=0,"",(U23*6+V23*6+W23*4+X23*3+Y23*3+Z23*3)/3)</f>
        <v/>
      </c>
      <c r="I23" s="34">
        <f>IF(COUNT(K23:AG23)=0,"",AB23*3+AC23*2+AD23*2+AE23*1)</f>
        <v/>
      </c>
      <c r="J23" s="34">
        <f>IF(COUNT(K23:AG23)=0,"",(AF23*5+AG23*5)/3)</f>
        <v/>
      </c>
      <c r="K23" s="41" t="n"/>
      <c r="L23" s="41" t="n"/>
      <c r="M23" s="41" t="n"/>
      <c r="N23" s="41" t="n"/>
      <c r="P23" s="41" t="n"/>
      <c r="Q23" s="41" t="n"/>
      <c r="R23" s="41" t="n"/>
      <c r="S23" s="41" t="n"/>
      <c r="U23" s="41" t="n"/>
      <c r="V23" s="41" t="n"/>
      <c r="W23" s="41" t="n"/>
      <c r="X23" s="41" t="n"/>
      <c r="Y23" s="41" t="n"/>
      <c r="Z23" s="41" t="n"/>
      <c r="AB23" s="41" t="n"/>
      <c r="AC23" s="41" t="n"/>
      <c r="AD23" s="41" t="n"/>
      <c r="AE23" s="41" t="n"/>
      <c r="AF23" s="41" t="n">
        <v>2</v>
      </c>
      <c r="AG23" s="41" t="n">
        <v>1</v>
      </c>
      <c r="AI23" s="30" t="inlineStr">
        <is>
          <t>Achei o vídeo meio merda, ele fala bem, mas achei q falou umas coisas nada a ver</t>
        </is>
      </c>
    </row>
    <row r="24" ht="18.75" customHeight="1" s="60">
      <c r="B24" s="38" t="inlineStr">
        <is>
          <t>r302729@dac.unicamp.br</t>
        </is>
      </c>
      <c r="C24" s="30" t="inlineStr">
        <is>
          <t>Rafael Rodrigues Moreira</t>
        </is>
      </c>
      <c r="D24" s="30" t="inlineStr">
        <is>
          <t>Ferro</t>
        </is>
      </c>
      <c r="E24" s="33">
        <f>IF(COUNT(K24:AG24)=0,"",ROUND((F24+G24+H24+I24+J24)/10,2))</f>
        <v/>
      </c>
      <c r="F24" s="34">
        <f>IF(COUNT(K24:AG24)=0,"",(K24*10+L24*8+M24*7+N24*5)/3)</f>
        <v/>
      </c>
      <c r="G24" s="34">
        <f>IF(COUNT(K24:AG24)=0,"",(P24*8+Q24*7+R24*5+S24*5)/3)</f>
        <v/>
      </c>
      <c r="H24" s="34">
        <f>IF(COUNT(K24:AG24)=0,"",(U24*6+V24*6+W24*4+X24*3+Y24*3+Z24*3)/3)</f>
        <v/>
      </c>
      <c r="I24" s="34">
        <f>IF(COUNT(K24:AG24)=0,"",AB24*3+AC24*2+AD24*2+AE24*1)</f>
        <v/>
      </c>
      <c r="J24" s="34">
        <f>IF(COUNT(K24:AG24)=0,"",(AF24*5+AG24*5)/3)</f>
        <v/>
      </c>
      <c r="K24" s="41" t="n"/>
      <c r="L24" s="41" t="n"/>
      <c r="M24" s="41" t="n"/>
      <c r="N24" s="41" t="n"/>
      <c r="P24" s="41" t="n"/>
      <c r="Q24" s="41" t="n"/>
      <c r="R24" s="41" t="n"/>
      <c r="S24" s="41" t="n"/>
      <c r="U24" s="41" t="n"/>
      <c r="V24" s="41" t="n"/>
      <c r="W24" s="41" t="n"/>
      <c r="X24" s="41" t="n"/>
      <c r="Y24" s="41" t="n"/>
      <c r="Z24" s="41" t="n"/>
      <c r="AB24" s="41" t="n"/>
      <c r="AC24" s="41" t="n"/>
      <c r="AD24" s="41" t="n"/>
      <c r="AE24" s="41" t="n"/>
      <c r="AF24" s="41" t="n">
        <v>2</v>
      </c>
      <c r="AG24" s="41" t="n">
        <v>3</v>
      </c>
      <c r="AI24" s="30" t="inlineStr">
        <is>
          <t>(BIXO) Mas falou bem, tava lendo, mas sempre cola nas palestras</t>
        </is>
      </c>
    </row>
    <row r="25" ht="18.75" customHeight="1" s="60">
      <c r="B25" s="38" t="inlineStr">
        <is>
          <t>c258388@dac.unicamp.br</t>
        </is>
      </c>
      <c r="C25" s="30" t="inlineStr">
        <is>
          <t>Caio Augusto Saab</t>
        </is>
      </c>
      <c r="D25" s="30" t="inlineStr">
        <is>
          <t>luis</t>
        </is>
      </c>
      <c r="E25" s="33">
        <f>IF(COUNT(K25:AG25)=0,"",ROUND((F25+G25+H25+I25+J25)/10,2))</f>
        <v/>
      </c>
      <c r="F25" s="34">
        <f>IF(COUNT(K25:AG25)=0,"",(K25*10+L25*8+M25*7+N25*5)/3)</f>
        <v/>
      </c>
      <c r="G25" s="34">
        <f>IF(COUNT(K25:AG25)=0,"",(P25*8+Q25*7+R25*5+S25*5)/3)</f>
        <v/>
      </c>
      <c r="H25" s="34">
        <f>IF(COUNT(K25:AG25)=0,"",(U25*6+V25*6+W25*4+X25*3+Y25*3+Z25*3)/3)</f>
        <v/>
      </c>
      <c r="I25" s="34">
        <f>IF(COUNT(K25:AG25)=0,"",AB25*3+AC25*2+AD25*2+AE25*1)</f>
        <v/>
      </c>
      <c r="J25" s="34">
        <f>IF(COUNT(K25:AG25)=0,"",(AF25*5+AG25*5)/3)</f>
        <v/>
      </c>
      <c r="K25" s="41" t="n"/>
      <c r="L25" s="41" t="n"/>
      <c r="M25" s="41" t="n"/>
      <c r="N25" s="41" t="n"/>
      <c r="P25" s="41" t="n"/>
      <c r="Q25" s="41" t="n"/>
      <c r="R25" s="41" t="n"/>
      <c r="S25" s="41" t="n"/>
      <c r="U25" s="41" t="n"/>
      <c r="V25" s="41" t="n"/>
      <c r="W25" s="41" t="n"/>
      <c r="X25" s="41" t="n"/>
      <c r="Y25" s="41" t="n"/>
      <c r="Z25" s="41" t="n"/>
      <c r="AB25" s="41" t="n"/>
      <c r="AC25" s="41" t="n"/>
      <c r="AD25" s="41" t="n"/>
      <c r="AE25" s="41" t="n"/>
      <c r="AF25" s="41" t="n">
        <v>2</v>
      </c>
      <c r="AG25" s="41" t="n">
        <v>2</v>
      </c>
      <c r="AI25" s="30" t="inlineStr">
        <is>
          <t>fala com pouca naturalidade e sem motivo concreto</t>
        </is>
      </c>
    </row>
    <row r="26" ht="18.75" customHeight="1" s="60">
      <c r="B26" s="38" t="inlineStr">
        <is>
          <t>j260826@dac.unicamp.br</t>
        </is>
      </c>
      <c r="C26" s="30" t="inlineStr">
        <is>
          <t>José Vitor Dias Tutu</t>
        </is>
      </c>
      <c r="D26" s="30" t="inlineStr">
        <is>
          <t>luis</t>
        </is>
      </c>
      <c r="E26" s="33">
        <f>IF(COUNT(K26:AG26)=0,"",ROUND((F26+G26+H26+I26+J26)/10,2))</f>
        <v/>
      </c>
      <c r="F26" s="34">
        <f>IF(COUNT(K26:AG26)=0,"",(K26*10+L26*8+M26*7+N26*5)/3)</f>
        <v/>
      </c>
      <c r="G26" s="34">
        <f>IF(COUNT(K26:AG26)=0,"",(P26*8+Q26*7+R26*5+S26*5)/3)</f>
        <v/>
      </c>
      <c r="H26" s="34">
        <f>IF(COUNT(K26:AG26)=0,"",(U26*6+V26*6+W26*4+X26*3+Y26*3+Z26*3)/3)</f>
        <v/>
      </c>
      <c r="I26" s="34">
        <f>IF(COUNT(K26:AG26)=0,"",AB26*3+AC26*2+AD26*2+AE26*1)</f>
        <v/>
      </c>
      <c r="J26" s="34">
        <f>IF(COUNT(K26:AG26)=0,"",(AF26*5+AG26*5)/3)</f>
        <v/>
      </c>
      <c r="K26" s="41" t="n"/>
      <c r="L26" s="41" t="n"/>
      <c r="M26" s="41" t="n"/>
      <c r="N26" s="41" t="n"/>
      <c r="P26" s="41" t="n"/>
      <c r="Q26" s="41" t="n"/>
      <c r="R26" s="41" t="n"/>
      <c r="S26" s="41" t="n"/>
      <c r="U26" s="41" t="n"/>
      <c r="V26" s="41" t="n"/>
      <c r="W26" s="41" t="n"/>
      <c r="X26" s="41" t="n"/>
      <c r="Y26" s="41" t="n"/>
      <c r="Z26" s="41" t="n"/>
      <c r="AB26" s="41" t="n"/>
      <c r="AC26" s="41" t="n"/>
      <c r="AD26" s="41" t="n"/>
      <c r="AE26" s="41" t="n"/>
      <c r="AF26" s="41" t="n">
        <v>3</v>
      </c>
      <c r="AG26" s="41" t="n">
        <v>2</v>
      </c>
      <c r="AI26" s="30" t="inlineStr">
        <is>
          <t>n falou nada do CCU</t>
        </is>
      </c>
    </row>
    <row r="27" ht="18.75" customHeight="1" s="60">
      <c r="B27" s="38" t="inlineStr">
        <is>
          <t xml:space="preserve">i253464@dac.unicamp.br
</t>
        </is>
      </c>
      <c r="C27" s="30" t="inlineStr">
        <is>
          <t>Isadora Kluge Dorigan</t>
        </is>
      </c>
      <c r="D27" s="30" t="inlineStr">
        <is>
          <t>Proc</t>
        </is>
      </c>
      <c r="E27" s="33">
        <f>IF(COUNT(K27:AG27)=0,"",ROUND((F27+G27+H27+I27+J27)/10,2))</f>
        <v/>
      </c>
      <c r="F27" s="34">
        <f>IF(COUNT(K27:AG27)=0,"",(K27*10+L27*8+M27*7+N27*5)/3)</f>
        <v/>
      </c>
      <c r="G27" s="34">
        <f>IF(COUNT(K27:AG27)=0,"",(P27*8+Q27*7+R27*5+S27*5)/3)</f>
        <v/>
      </c>
      <c r="H27" s="34">
        <f>IF(COUNT(K27:AG27)=0,"",(U27*6+V27*6+W27*4+X27*3+Y27*3+Z27*3)/3)</f>
        <v/>
      </c>
      <c r="I27" s="34">
        <f>IF(COUNT(K27:AG27)=0,"",AB27*3+AC27*2+AD27*2+AE27*1)</f>
        <v/>
      </c>
      <c r="J27" s="34">
        <f>IF(COUNT(K27:AG27)=0,"",(AF27*5+AG27*5)/3)</f>
        <v/>
      </c>
      <c r="K27" s="41" t="n"/>
      <c r="L27" s="41" t="n"/>
      <c r="M27" s="41" t="n"/>
      <c r="N27" s="41" t="n"/>
      <c r="P27" s="41" t="n"/>
      <c r="Q27" s="41" t="n"/>
      <c r="R27" s="41" t="n"/>
      <c r="S27" s="41" t="n"/>
      <c r="U27" s="41" t="n"/>
      <c r="V27" s="41" t="n"/>
      <c r="W27" s="41" t="n"/>
      <c r="X27" s="41" t="n"/>
      <c r="Y27" s="41" t="n"/>
      <c r="Z27" s="41" t="n"/>
      <c r="AB27" s="41" t="n"/>
      <c r="AC27" s="41" t="n"/>
      <c r="AD27" s="41" t="n"/>
      <c r="AE27" s="41" t="n"/>
      <c r="AF27" s="41" t="n">
        <v>2</v>
      </c>
      <c r="AG27" s="41" t="n">
        <v>3</v>
      </c>
      <c r="AI27" s="30" t="inlineStr">
        <is>
          <t>43% do GMAT. Senti que lia. Falou bem. Trajetória sólida.</t>
        </is>
      </c>
    </row>
    <row r="28" ht="14.25" customHeight="1" s="60">
      <c r="B28" s="47" t="inlineStr">
        <is>
          <t>SEGUNDO AVALIADOR</t>
        </is>
      </c>
      <c r="C28" s="48" t="inlineStr">
        <is>
          <t>SEGUNDO AVALIADOR</t>
        </is>
      </c>
      <c r="E28" s="33">
        <f>IF(COUNT(K28:AG28)=0,"",ROUND((F28+G28+H28+I28+J28)/10,2))</f>
        <v/>
      </c>
      <c r="F28" s="34">
        <f>IF(COUNT(K28:AG28)=0,"",(K28*10+L28*8+M28*7+N28*5)/3)</f>
        <v/>
      </c>
      <c r="G28" s="34">
        <f>IF(COUNT(K28:AG28)=0,"",(P28*8+Q28*7+R28*5+S28*5)/3)</f>
        <v/>
      </c>
      <c r="H28" s="34">
        <f>IF(COUNT(K28:AG28)=0,"",(U28*6+V28*6+W28*4+X28*3+Y28*3+Z28*3)/3)</f>
        <v/>
      </c>
      <c r="I28" s="34">
        <f>IF(COUNT(K28:AG28)=0,"",AB28*3+AC28*2+AD28*2+AE28*1)</f>
        <v/>
      </c>
      <c r="J28" s="34">
        <f>IF(COUNT(K28:AG28)=0,"",(AF28*5+AG28*5)/3)</f>
        <v/>
      </c>
      <c r="K28" s="41" t="n"/>
      <c r="L28" s="41" t="n"/>
      <c r="M28" s="41" t="n"/>
      <c r="N28" s="41" t="n"/>
      <c r="P28" s="41" t="n"/>
      <c r="Q28" s="41" t="n"/>
      <c r="R28" s="41" t="n"/>
      <c r="S28" s="41" t="n"/>
      <c r="U28" s="41" t="n"/>
      <c r="V28" s="41" t="n"/>
      <c r="W28" s="41" t="n"/>
      <c r="X28" s="41" t="n"/>
      <c r="Y28" s="41" t="n"/>
      <c r="Z28" s="41" t="n"/>
      <c r="AB28" s="41" t="n"/>
      <c r="AC28" s="41" t="n"/>
      <c r="AD28" s="41" t="n"/>
      <c r="AE28" s="41" t="n"/>
      <c r="AF28" s="41" t="n"/>
      <c r="AG28" s="41" t="n"/>
    </row>
    <row r="29" ht="14.25" customHeight="1" s="60">
      <c r="B29" s="50" t="inlineStr">
        <is>
          <t>g278083@dac.unicamp.br</t>
        </is>
      </c>
      <c r="C29" s="50" t="inlineStr">
        <is>
          <t>Gabrielle Cristofani do Rosario</t>
        </is>
      </c>
      <c r="D29" s="30" t="inlineStr">
        <is>
          <t>Fred</t>
        </is>
      </c>
      <c r="E29" s="33">
        <f>IF(COUNT(K29:AG29)=0,"",ROUND((F29+G29+H29+I29+J29)/10,2))</f>
        <v/>
      </c>
      <c r="F29" s="34">
        <f>IF(COUNT(K29:AG29)=0,"",(K29*10+L29*8+M29*7+N29*5)/3)</f>
        <v/>
      </c>
      <c r="G29" s="34">
        <f>IF(COUNT(K29:AG29)=0,"",(P29*8+Q29*7+R29*5+S29*5)/3)</f>
        <v/>
      </c>
      <c r="H29" s="34">
        <f>IF(COUNT(K29:AG29)=0,"",(U29*6+V29*6+W29*4+X29*3+Y29*3+Z29*3)/3)</f>
        <v/>
      </c>
      <c r="I29" s="34">
        <f>IF(COUNT(K29:AG29)=0,"",AB29*3+AC29*2+AD29*2+AE29*1)</f>
        <v/>
      </c>
      <c r="J29" s="34">
        <f>IF(COUNT(K29:AG29)=0,"",(AF29*5+AG29*5)/3)</f>
        <v/>
      </c>
      <c r="K29" s="41" t="n"/>
      <c r="L29" s="41" t="n"/>
      <c r="M29" s="41" t="n"/>
      <c r="N29" s="41" t="n"/>
      <c r="P29" s="41" t="n"/>
      <c r="Q29" s="41" t="n"/>
      <c r="R29" s="41" t="n"/>
      <c r="S29" s="41" t="n"/>
      <c r="U29" s="41" t="n"/>
      <c r="V29" s="41" t="n"/>
      <c r="W29" s="41" t="n"/>
      <c r="X29" s="41" t="n"/>
      <c r="Y29" s="41" t="n"/>
      <c r="Z29" s="41" t="n"/>
      <c r="AB29" s="41" t="n"/>
      <c r="AC29" s="41" t="n"/>
      <c r="AD29" s="41" t="n"/>
      <c r="AE29" s="41" t="n"/>
      <c r="AF29" s="41" t="n">
        <v>3</v>
      </c>
      <c r="AG29" s="41" t="n">
        <v>2</v>
      </c>
      <c r="AI29" s="30" t="inlineStr">
        <is>
          <t>feagri 3° ano de curso, falou bem, mas foi generica em falar de consultoria</t>
        </is>
      </c>
    </row>
    <row r="30" ht="14.25" customHeight="1" s="60">
      <c r="B30" s="50" t="inlineStr">
        <is>
          <t>b309603@dac.unicamp.br</t>
        </is>
      </c>
      <c r="C30" s="50" t="inlineStr">
        <is>
          <t>Bruno Heberth Oliveira Bastos</t>
        </is>
      </c>
      <c r="D30" s="30" t="inlineStr">
        <is>
          <t>Fred</t>
        </is>
      </c>
      <c r="E30" s="33">
        <f>IF(COUNT(K30:AG30)=0,"",ROUND((F30+G30+H30+I30+J30)/10,2))</f>
        <v/>
      </c>
      <c r="F30" s="34">
        <f>IF(COUNT(K30:AG30)=0,"",(K30*10+L30*8+M30*7+N30*5)/3)</f>
        <v/>
      </c>
      <c r="G30" s="34">
        <f>IF(COUNT(K30:AG30)=0,"",(P30*8+Q30*7+R30*5+S30*5)/3)</f>
        <v/>
      </c>
      <c r="H30" s="34">
        <f>IF(COUNT(K30:AG30)=0,"",(U30*6+V30*6+W30*4+X30*3+Y30*3+Z30*3)/3)</f>
        <v/>
      </c>
      <c r="I30" s="34">
        <f>IF(COUNT(K30:AG30)=0,"",AB30*3+AC30*2+AD30*2+AE30*1)</f>
        <v/>
      </c>
      <c r="J30" s="34">
        <f>IF(COUNT(K30:AG30)=0,"",(AF30*5+AG30*5)/3)</f>
        <v/>
      </c>
      <c r="K30" s="41" t="n"/>
      <c r="L30" s="41" t="n"/>
      <c r="M30" s="41" t="n"/>
      <c r="N30" s="41" t="n"/>
      <c r="P30" s="41" t="n"/>
      <c r="Q30" s="41" t="n"/>
      <c r="R30" s="41" t="n"/>
      <c r="S30" s="41" t="n"/>
      <c r="U30" s="41" t="n"/>
      <c r="V30" s="41" t="n"/>
      <c r="W30" s="41" t="n"/>
      <c r="X30" s="41" t="n"/>
      <c r="Y30" s="41" t="n"/>
      <c r="Z30" s="41" t="n"/>
      <c r="AB30" s="41" t="n"/>
      <c r="AC30" s="41" t="n"/>
      <c r="AD30" s="41" t="n"/>
      <c r="AE30" s="41" t="n"/>
      <c r="AF30" s="41" t="n">
        <v>3</v>
      </c>
      <c r="AG30" s="41" t="n">
        <v>1</v>
      </c>
    </row>
    <row r="31">
      <c r="B31" s="50" t="inlineStr">
        <is>
          <t>j309764@dac.unicamp.br</t>
        </is>
      </c>
      <c r="C31" s="50" t="inlineStr">
        <is>
          <t>JOÃO PEDRO STAMA</t>
        </is>
      </c>
      <c r="D31" s="30" t="inlineStr">
        <is>
          <t>Fred</t>
        </is>
      </c>
      <c r="E31" s="33">
        <f>IF(COUNT(K31:AG31)=0,"",ROUND((F31+G31+H31+I31+J31)/10,2))</f>
        <v/>
      </c>
      <c r="F31" s="34">
        <f>IF(COUNT(K31:AG31)=0,"",(K31*10+L31*8+M31*7+N31*5)/3)</f>
        <v/>
      </c>
      <c r="G31" s="34">
        <f>IF(COUNT(K31:AG31)=0,"",(P31*8+Q31*7+R31*5+S31*5)/3)</f>
        <v/>
      </c>
      <c r="H31" s="34">
        <f>IF(COUNT(K31:AG31)=0,"",(U31*6+V31*6+W31*4+X31*3+Y31*3+Z31*3)/3)</f>
        <v/>
      </c>
      <c r="I31" s="34">
        <f>IF(COUNT(K31:AG31)=0,"",AB31*3+AC31*2+AD31*2+AE31*1)</f>
        <v/>
      </c>
      <c r="J31" s="34">
        <f>IF(COUNT(K31:AG31)=0,"",(AF31*5+AG31*5)/3)</f>
        <v/>
      </c>
      <c r="K31" s="41" t="n"/>
      <c r="L31" s="41" t="n"/>
      <c r="M31" s="41" t="n"/>
      <c r="N31" s="41" t="n"/>
      <c r="P31" s="41" t="n"/>
      <c r="Q31" s="41" t="n"/>
      <c r="R31" s="41" t="n"/>
      <c r="S31" s="41" t="n"/>
      <c r="U31" s="41" t="n"/>
      <c r="V31" s="41" t="n"/>
      <c r="W31" s="41" t="n"/>
      <c r="X31" s="41" t="n"/>
      <c r="Y31" s="41" t="n"/>
      <c r="Z31" s="41" t="n"/>
      <c r="AB31" s="41" t="n"/>
      <c r="AC31" s="41" t="n"/>
      <c r="AD31" s="41" t="n"/>
      <c r="AE31" s="41" t="n"/>
      <c r="AF31" s="41" t="n">
        <v>1</v>
      </c>
      <c r="AG31" s="41" t="n">
        <v>2</v>
      </c>
      <c r="AI31" s="30" t="inlineStr">
        <is>
          <t>colou no gmat</t>
        </is>
      </c>
    </row>
    <row r="32" ht="14.25" customHeight="1" s="60">
      <c r="B32" s="50" t="inlineStr">
        <is>
          <t>r238449@dac.unicamp.br</t>
        </is>
      </c>
      <c r="C32" s="50" t="inlineStr">
        <is>
          <t>Rafael Ponciano Rodrigues dos Santos</t>
        </is>
      </c>
      <c r="D32" s="30" t="inlineStr">
        <is>
          <t>Fred</t>
        </is>
      </c>
      <c r="E32" s="33">
        <f>IF(COUNT(K32:AG32)=0,"",ROUND((F32+G32+H32+I32+J32)/10,2))</f>
        <v/>
      </c>
      <c r="F32" s="34">
        <f>IF(COUNT(K32:AG32)=0,"",(K32*10+L32*8+M32*7+N32*5)/3)</f>
        <v/>
      </c>
      <c r="G32" s="34">
        <f>IF(COUNT(K32:AG32)=0,"",(P32*8+Q32*7+R32*5+S32*5)/3)</f>
        <v/>
      </c>
      <c r="H32" s="34">
        <f>IF(COUNT(K32:AG32)=0,"",(U32*6+V32*6+W32*4+X32*3+Y32*3+Z32*3)/3)</f>
        <v/>
      </c>
      <c r="I32" s="34">
        <f>IF(COUNT(K32:AG32)=0,"",AB32*3+AC32*2+AD32*2+AE32*1)</f>
        <v/>
      </c>
      <c r="J32" s="34">
        <f>IF(COUNT(K32:AG32)=0,"",(AF32*5+AG32*5)/3)</f>
        <v/>
      </c>
      <c r="K32" s="41" t="n"/>
      <c r="L32" s="41" t="n"/>
      <c r="M32" s="41" t="n"/>
      <c r="N32" s="41" t="n"/>
      <c r="P32" s="41" t="n"/>
      <c r="Q32" s="41" t="n"/>
      <c r="R32" s="41" t="n"/>
      <c r="S32" s="41" t="n"/>
      <c r="U32" s="41" t="n"/>
      <c r="V32" s="41" t="n"/>
      <c r="W32" s="41" t="n"/>
      <c r="X32" s="41" t="n"/>
      <c r="Y32" s="41" t="n"/>
      <c r="Z32" s="41" t="n"/>
      <c r="AB32" s="41" t="n"/>
      <c r="AC32" s="41" t="n"/>
      <c r="AD32" s="41" t="n"/>
      <c r="AE32" s="41" t="n"/>
      <c r="AF32" s="41" t="n">
        <v>3</v>
      </c>
      <c r="AG32" s="41" t="n">
        <v>2</v>
      </c>
      <c r="AI32" s="30" t="inlineStr">
        <is>
          <t>Falou bem no vídeo (levemente robótico) e mandou bem no gmat</t>
        </is>
      </c>
    </row>
    <row r="33" ht="14.25" customHeight="1" s="60">
      <c r="B33" s="50" t="inlineStr">
        <is>
          <t>enzo.gag17@gmail.com</t>
        </is>
      </c>
      <c r="C33" s="50" t="inlineStr">
        <is>
          <t>Enzo Chofakian Gagliardi</t>
        </is>
      </c>
      <c r="D33" s="30" t="inlineStr">
        <is>
          <t>Ferro</t>
        </is>
      </c>
      <c r="E33" s="33">
        <f>IF(COUNT(K33:AG33)=0,"",ROUND((F33+G33+H33+I33+J33)/10,2))</f>
        <v/>
      </c>
      <c r="F33" s="34">
        <f>IF(COUNT(K33:AG33)=0,"",(K33*10+L33*8+M33*7+N33*5)/3)</f>
        <v/>
      </c>
      <c r="G33" s="34">
        <f>IF(COUNT(K33:AG33)=0,"",(P33*8+Q33*7+R33*5+S33*5)/3)</f>
        <v/>
      </c>
      <c r="H33" s="34">
        <f>IF(COUNT(K33:AG33)=0,"",(U33*6+V33*6+W33*4+X33*3+Y33*3+Z33*3)/3)</f>
        <v/>
      </c>
      <c r="I33" s="34">
        <f>IF(COUNT(K33:AG33)=0,"",AB33*3+AC33*2+AD33*2+AE33*1)</f>
        <v/>
      </c>
      <c r="J33" s="34">
        <f>IF(COUNT(K33:AG33)=0,"",(AF33*5+AG33*5)/3)</f>
        <v/>
      </c>
      <c r="K33" s="41" t="n"/>
      <c r="L33" s="41" t="n"/>
      <c r="M33" s="41" t="n"/>
      <c r="N33" s="41" t="n"/>
      <c r="P33" s="41" t="n"/>
      <c r="Q33" s="41" t="n"/>
      <c r="R33" s="41" t="n"/>
      <c r="S33" s="41" t="n"/>
      <c r="U33" s="41" t="n"/>
      <c r="V33" s="41" t="n"/>
      <c r="W33" s="41" t="n"/>
      <c r="X33" s="41" t="n"/>
      <c r="Y33" s="41" t="n"/>
      <c r="Z33" s="41" t="n"/>
      <c r="AB33" s="41" t="n"/>
      <c r="AC33" s="41" t="n"/>
      <c r="AD33" s="41" t="n"/>
      <c r="AE33" s="41" t="n"/>
      <c r="AF33" s="41" t="n">
        <v>2</v>
      </c>
      <c r="AG33" s="41" t="n">
        <v>2</v>
      </c>
      <c r="AI33" s="30" t="inlineStr">
        <is>
          <t>Acho q da pra passar, foi bem até</t>
        </is>
      </c>
    </row>
    <row r="34" ht="14.25" customHeight="1" s="60">
      <c r="B34" s="50" t="inlineStr">
        <is>
          <t>e278588@dac.unicamp.br</t>
        </is>
      </c>
      <c r="C34" s="50" t="inlineStr">
        <is>
          <t>Enrico Tristão e Mello de Oliveira</t>
        </is>
      </c>
      <c r="D34" s="30" t="inlineStr">
        <is>
          <t>Ferro</t>
        </is>
      </c>
      <c r="E34" s="33">
        <f>IF(COUNT(K34:AG34)=0,"",ROUND((F34+G34+H34+I34+J34)/10,2))</f>
        <v/>
      </c>
      <c r="F34" s="34">
        <f>IF(COUNT(K34:AG34)=0,"",(K34*10+L34*8+M34*7+N34*5)/3)</f>
        <v/>
      </c>
      <c r="G34" s="34">
        <f>IF(COUNT(K34:AG34)=0,"",(P34*8+Q34*7+R34*5+S34*5)/3)</f>
        <v/>
      </c>
      <c r="H34" s="34">
        <f>IF(COUNT(K34:AG34)=0,"",(U34*6+V34*6+W34*4+X34*3+Y34*3+Z34*3)/3)</f>
        <v/>
      </c>
      <c r="I34" s="34">
        <f>IF(COUNT(K34:AG34)=0,"",AB34*3+AC34*2+AD34*2+AE34*1)</f>
        <v/>
      </c>
      <c r="J34" s="34">
        <f>IF(COUNT(K34:AG34)=0,"",(AF34*5+AG34*5)/3)</f>
        <v/>
      </c>
      <c r="K34" s="41" t="n"/>
      <c r="L34" s="41" t="n"/>
      <c r="M34" s="41" t="n"/>
      <c r="N34" s="41" t="n"/>
      <c r="P34" s="41" t="n"/>
      <c r="Q34" s="41" t="n"/>
      <c r="R34" s="41" t="n"/>
      <c r="S34" s="41" t="n"/>
      <c r="U34" s="41" t="n"/>
      <c r="V34" s="41" t="n"/>
      <c r="W34" s="41" t="n"/>
      <c r="X34" s="41" t="n"/>
      <c r="Y34" s="41" t="n"/>
      <c r="Z34" s="41" t="n"/>
      <c r="AB34" s="41" t="n"/>
      <c r="AC34" s="41" t="n"/>
      <c r="AD34" s="41" t="n"/>
      <c r="AE34" s="41" t="n"/>
      <c r="AF34" s="41" t="n">
        <v>2</v>
      </c>
      <c r="AG34" s="41" t="n">
        <v>1</v>
      </c>
      <c r="AI34" s="30" t="inlineStr">
        <is>
          <t>Achei q falou bem até, mas n acho q falou pq quer entrar no CCU</t>
        </is>
      </c>
    </row>
    <row r="35" ht="14.25" customHeight="1" s="60">
      <c r="B35" s="50" t="inlineStr">
        <is>
          <t>e221509@dac.unicamp.br</t>
        </is>
      </c>
      <c r="C35" s="50" t="inlineStr">
        <is>
          <t>Eduardo Alves Henrique</t>
        </is>
      </c>
      <c r="D35" s="30" t="inlineStr">
        <is>
          <t>Proc</t>
        </is>
      </c>
      <c r="E35" s="33">
        <f>IF(COUNT(K35:AG35)=0,"",ROUND((F35+G35+H35+I35+J35)/10,2))</f>
        <v/>
      </c>
      <c r="F35" s="34">
        <f>IF(COUNT(K35:AG35)=0,"",(K35*10+L35*8+M35*7+N35*5)/3)</f>
        <v/>
      </c>
      <c r="G35" s="34">
        <f>IF(COUNT(K35:AG35)=0,"",(P35*8+Q35*7+R35*5+S35*5)/3)</f>
        <v/>
      </c>
      <c r="H35" s="34">
        <f>IF(COUNT(K35:AG35)=0,"",(U35*6+V35*6+W35*4+X35*3+Y35*3+Z35*3)/3)</f>
        <v/>
      </c>
      <c r="I35" s="34">
        <f>IF(COUNT(K35:AG35)=0,"",AB35*3+AC35*2+AD35*2+AE35*1)</f>
        <v/>
      </c>
      <c r="J35" s="34">
        <f>IF(COUNT(K35:AG35)=0,"",(AF35*5+AG35*5)/3)</f>
        <v/>
      </c>
      <c r="K35" s="41" t="n"/>
      <c r="L35" s="41" t="n"/>
      <c r="M35" s="41" t="n"/>
      <c r="N35" s="41" t="n"/>
      <c r="P35" s="41" t="n"/>
      <c r="Q35" s="41" t="n"/>
      <c r="R35" s="41" t="n"/>
      <c r="S35" s="41" t="n"/>
      <c r="U35" s="41" t="n"/>
      <c r="V35" s="41" t="n"/>
      <c r="W35" s="41" t="n"/>
      <c r="X35" s="41" t="n"/>
      <c r="Y35" s="41" t="n"/>
      <c r="Z35" s="41" t="n"/>
      <c r="AB35" s="41" t="n"/>
      <c r="AC35" s="41" t="n"/>
      <c r="AD35" s="41" t="n"/>
      <c r="AE35" s="41" t="n"/>
      <c r="AF35" s="41" t="n">
        <v>2</v>
      </c>
      <c r="AG35" s="41" t="n">
        <v>1</v>
      </c>
      <c r="AI35" s="30" t="inlineStr">
        <is>
          <t>80% no GMAT. Ao mesmo tempo fala que pode não se interessar pelo CCU, como pode se tornar liderança (???).</t>
        </is>
      </c>
    </row>
    <row r="36" ht="14.25" customHeight="1" s="60">
      <c r="B36" s="50" t="inlineStr">
        <is>
          <t>l304532@dac.unicamp.br</t>
        </is>
      </c>
      <c r="C36" s="50" t="inlineStr">
        <is>
          <t>Leandra Cunha de Souza</t>
        </is>
      </c>
      <c r="D36" s="30" t="inlineStr">
        <is>
          <t>Proc</t>
        </is>
      </c>
      <c r="E36" s="33">
        <f>IF(COUNT(K36:AG36)=0,"",ROUND((F36+G36+H36+I36+J36)/10,2))</f>
        <v/>
      </c>
      <c r="F36" s="34">
        <f>IF(COUNT(K36:AG36)=0,"",(K36*10+L36*8+M36*7+N36*5)/3)</f>
        <v/>
      </c>
      <c r="G36" s="34">
        <f>IF(COUNT(K36:AG36)=0,"",(P36*8+Q36*7+R36*5+S36*5)/3)</f>
        <v/>
      </c>
      <c r="H36" s="34">
        <f>IF(COUNT(K36:AG36)=0,"",(U36*6+V36*6+W36*4+X36*3+Y36*3+Z36*3)/3)</f>
        <v/>
      </c>
      <c r="I36" s="34">
        <f>IF(COUNT(K36:AG36)=0,"",AB36*3+AC36*2+AD36*2+AE36*1)</f>
        <v/>
      </c>
      <c r="J36" s="34">
        <f>IF(COUNT(K36:AG36)=0,"",(AF36*5+AG36*5)/3)</f>
        <v/>
      </c>
      <c r="K36" s="41" t="n"/>
      <c r="L36" s="41" t="n"/>
      <c r="M36" s="41" t="n"/>
      <c r="N36" s="41" t="n"/>
      <c r="P36" s="41" t="n"/>
      <c r="Q36" s="41" t="n"/>
      <c r="R36" s="41" t="n"/>
      <c r="S36" s="41" t="n"/>
      <c r="U36" s="41" t="n"/>
      <c r="V36" s="41" t="n"/>
      <c r="W36" s="41" t="n"/>
      <c r="X36" s="41" t="n"/>
      <c r="Y36" s="41" t="n"/>
      <c r="Z36" s="41" t="n"/>
      <c r="AB36" s="41" t="n"/>
      <c r="AC36" s="41" t="n"/>
      <c r="AD36" s="41" t="n"/>
      <c r="AE36" s="41" t="n"/>
      <c r="AF36" s="41" t="n">
        <v>2</v>
      </c>
      <c r="AG36" s="41" t="n">
        <v>2</v>
      </c>
      <c r="AI36" s="30" t="inlineStr">
        <is>
          <t>GMAT inconclusivo se ela colou. Nada de especial.</t>
        </is>
      </c>
    </row>
    <row r="37" ht="14.25" customHeight="1" s="60">
      <c r="B37" s="50" t="inlineStr">
        <is>
          <t>v188630@dac.unicamp.br</t>
        </is>
      </c>
      <c r="C37" s="50" t="inlineStr">
        <is>
          <t>Vagner Ássimos Gomes Carlos Filho</t>
        </is>
      </c>
      <c r="D37" s="30" t="inlineStr">
        <is>
          <t>Proc</t>
        </is>
      </c>
      <c r="E37" s="33">
        <f>IF(COUNT(K37:AG37)=0,"",ROUND((F37+G37+H37+I37+J37)/10,2))</f>
        <v/>
      </c>
      <c r="F37" s="34">
        <f>IF(COUNT(K37:AG37)=0,"",(K37*10+L37*8+M37*7+N37*5)/3)</f>
        <v/>
      </c>
      <c r="G37" s="34">
        <f>IF(COUNT(K37:AG37)=0,"",(P37*8+Q37*7+R37*5+S37*5)/3)</f>
        <v/>
      </c>
      <c r="H37" s="34">
        <f>IF(COUNT(K37:AG37)=0,"",(U37*6+V37*6+W37*4+X37*3+Y37*3+Z37*3)/3)</f>
        <v/>
      </c>
      <c r="I37" s="34">
        <f>IF(COUNT(K37:AG37)=0,"",AB37*3+AC37*2+AD37*2+AE37*1)</f>
        <v/>
      </c>
      <c r="J37" s="34">
        <f>IF(COUNT(K37:AG37)=0,"",(AF37*5+AG37*5)/3)</f>
        <v/>
      </c>
      <c r="K37" s="41" t="n"/>
      <c r="L37" s="41" t="n"/>
      <c r="M37" s="41" t="n"/>
      <c r="N37" s="41" t="n"/>
      <c r="P37" s="41" t="n"/>
      <c r="Q37" s="41" t="n"/>
      <c r="R37" s="41" t="n"/>
      <c r="S37" s="41" t="n"/>
      <c r="U37" s="41" t="n"/>
      <c r="V37" s="41" t="n"/>
      <c r="W37" s="41" t="n"/>
      <c r="X37" s="41" t="n"/>
      <c r="Y37" s="41" t="n"/>
      <c r="Z37" s="41" t="n"/>
      <c r="AB37" s="41" t="n"/>
      <c r="AC37" s="41" t="n"/>
      <c r="AD37" s="41" t="n"/>
      <c r="AE37" s="41" t="n"/>
      <c r="AF37" s="41" t="n">
        <v>3</v>
      </c>
      <c r="AG37" s="41" t="n">
        <v>1</v>
      </c>
      <c r="AI37" s="30" t="inlineStr">
        <is>
          <t>Mais de 80% no GMAT. Falou quer CCU e ia nas palestras mas NÃO falou sobre ele, haviam mais 30s para falar.</t>
        </is>
      </c>
    </row>
    <row r="38" ht="14.25" customHeight="1" s="60">
      <c r="B38" s="50" t="inlineStr">
        <is>
          <t>m277865@dac.unicamp.br</t>
        </is>
      </c>
      <c r="C38" s="50" t="inlineStr">
        <is>
          <t>Mariana Nunes Galvão Sant'Anna</t>
        </is>
      </c>
      <c r="D38" s="30" t="inlineStr">
        <is>
          <t>Proc</t>
        </is>
      </c>
      <c r="E38" s="33">
        <f>IF(COUNT(K38:AG38)=0,"",ROUND((F38+G38+H38+I38+J38)/10,2))</f>
        <v/>
      </c>
      <c r="F38" s="34">
        <f>IF(COUNT(K38:AG38)=0,"",(K38*10+L38*8+M38*7+N38*5)/3)</f>
        <v/>
      </c>
      <c r="G38" s="34">
        <f>IF(COUNT(K38:AG38)=0,"",(P38*8+Q38*7+R38*5+S38*5)/3)</f>
        <v/>
      </c>
      <c r="H38" s="34">
        <f>IF(COUNT(K38:AG38)=0,"",(U38*6+V38*6+W38*4+X38*3+Y38*3+Z38*3)/3)</f>
        <v/>
      </c>
      <c r="I38" s="34">
        <f>IF(COUNT(K38:AG38)=0,"",AB38*3+AC38*2+AD38*2+AE38*1)</f>
        <v/>
      </c>
      <c r="J38" s="34">
        <f>IF(COUNT(K38:AG38)=0,"",(AF38*5+AG38*5)/3)</f>
        <v/>
      </c>
      <c r="K38" s="41" t="n"/>
      <c r="L38" s="41" t="n"/>
      <c r="M38" s="41" t="n"/>
      <c r="N38" s="41" t="n"/>
      <c r="P38" s="41" t="n"/>
      <c r="Q38" s="41" t="n"/>
      <c r="R38" s="41" t="n"/>
      <c r="S38" s="41" t="n"/>
      <c r="U38" s="41" t="n"/>
      <c r="V38" s="41" t="n"/>
      <c r="W38" s="41" t="n"/>
      <c r="X38" s="41" t="n"/>
      <c r="Y38" s="41" t="n"/>
      <c r="Z38" s="41" t="n"/>
      <c r="AB38" s="41" t="n"/>
      <c r="AC38" s="41" t="n"/>
      <c r="AD38" s="41" t="n"/>
      <c r="AE38" s="41" t="n"/>
      <c r="AF38" s="41" t="n">
        <v>2</v>
      </c>
      <c r="AG38" s="41" t="n">
        <v>3</v>
      </c>
      <c r="AI38" s="30" t="inlineStr">
        <is>
          <t>Foi bem no GMAT. Falou muito rápido, mas trouxe ótima história. Se mostrou engajada.</t>
        </is>
      </c>
    </row>
    <row r="39" ht="14.25" customHeight="1" s="60">
      <c r="B39" s="50" t="inlineStr">
        <is>
          <t>a266739@dac.unicamp.br</t>
        </is>
      </c>
      <c r="C39" s="50" t="inlineStr">
        <is>
          <t>Aslan Rodrigues Maia</t>
        </is>
      </c>
      <c r="D39" s="30" t="inlineStr">
        <is>
          <t>Proc</t>
        </is>
      </c>
      <c r="E39" s="33">
        <f>IF(COUNT(K39:AG39)=0,"",ROUND((F39+G39+H39+I39+J39)/10,2))</f>
        <v/>
      </c>
      <c r="F39" s="34">
        <f>IF(COUNT(K39:AG39)=0,"",(K39*10+L39*8+M39*7+N39*5)/3)</f>
        <v/>
      </c>
      <c r="G39" s="34">
        <f>IF(COUNT(K39:AG39)=0,"",(P39*8+Q39*7+R39*5+S39*5)/3)</f>
        <v/>
      </c>
      <c r="H39" s="34">
        <f>IF(COUNT(K39:AG39)=0,"",(U39*6+V39*6+W39*4+X39*3+Y39*3+Z39*3)/3)</f>
        <v/>
      </c>
      <c r="I39" s="34">
        <f>IF(COUNT(K39:AG39)=0,"",AB39*3+AC39*2+AD39*2+AE39*1)</f>
        <v/>
      </c>
      <c r="J39" s="34">
        <f>IF(COUNT(K39:AG39)=0,"",(AF39*5+AG39*5)/3)</f>
        <v/>
      </c>
      <c r="K39" s="41" t="n"/>
      <c r="L39" s="41" t="n"/>
      <c r="M39" s="41" t="n"/>
      <c r="N39" s="41" t="n"/>
      <c r="P39" s="41" t="n"/>
      <c r="Q39" s="41" t="n"/>
      <c r="R39" s="41" t="n"/>
      <c r="S39" s="41" t="n"/>
      <c r="U39" s="41" t="n"/>
      <c r="V39" s="41" t="n"/>
      <c r="W39" s="41" t="n"/>
      <c r="X39" s="41" t="n"/>
      <c r="Y39" s="41" t="n"/>
      <c r="Z39" s="41" t="n"/>
      <c r="AB39" s="41" t="n"/>
      <c r="AC39" s="41" t="n"/>
      <c r="AD39" s="41" t="n"/>
      <c r="AE39" s="41" t="n"/>
      <c r="AF39" s="41" t="n">
        <v>2</v>
      </c>
      <c r="AG39" s="41" t="n">
        <v>3</v>
      </c>
      <c r="AI39" s="30" t="inlineStr">
        <is>
          <t xml:space="preserve">quase 70% do GMAT. Vídeo parece que lia um teleprompter, mas fala bem. </t>
        </is>
      </c>
    </row>
    <row r="40" ht="14.25" customHeight="1" s="60">
      <c r="B40" s="50" t="inlineStr">
        <is>
          <t>j278641@dac.unicamp.br</t>
        </is>
      </c>
      <c r="C40" s="50" t="inlineStr">
        <is>
          <t>João Gabriel de Oliveira Morcelli</t>
        </is>
      </c>
      <c r="D40" s="30" t="inlineStr">
        <is>
          <t>victor</t>
        </is>
      </c>
      <c r="E40" s="33">
        <f>IF(COUNT(K40:AG40)=0,"",ROUND((F40+G40+H40+I40+J40)/10,2))</f>
        <v/>
      </c>
      <c r="F40" s="34">
        <f>IF(COUNT(K40:AG40)=0,"",(K40*10+L40*8+M40*7+N40*5)/3)</f>
        <v/>
      </c>
      <c r="G40" s="34">
        <f>IF(COUNT(K40:AG40)=0,"",(P40*8+Q40*7+R40*5+S40*5)/3)</f>
        <v/>
      </c>
      <c r="H40" s="34">
        <f>IF(COUNT(K40:AG40)=0,"",(U40*6+V40*6+W40*4+X40*3+Y40*3+Z40*3)/3)</f>
        <v/>
      </c>
      <c r="I40" s="34">
        <f>IF(COUNT(K40:AG40)=0,"",AB40*3+AC40*2+AD40*2+AE40*1)</f>
        <v/>
      </c>
      <c r="J40" s="34">
        <f>IF(COUNT(K40:AG40)=0,"",(AF40*5+AG40*5)/3)</f>
        <v/>
      </c>
      <c r="K40" s="41" t="n"/>
      <c r="L40" s="41" t="n"/>
      <c r="M40" s="41" t="n"/>
      <c r="N40" s="41" t="n"/>
      <c r="P40" s="41" t="n"/>
      <c r="Q40" s="41" t="n"/>
      <c r="R40" s="41" t="n"/>
      <c r="S40" s="41" t="n"/>
      <c r="U40" s="41" t="n"/>
      <c r="V40" s="41" t="n"/>
      <c r="W40" s="41" t="n"/>
      <c r="X40" s="41" t="n"/>
      <c r="Y40" s="41" t="n"/>
      <c r="Z40" s="41" t="n"/>
      <c r="AB40" s="41" t="n"/>
      <c r="AC40" s="41" t="n"/>
      <c r="AD40" s="41" t="n"/>
      <c r="AE40" s="41" t="n"/>
      <c r="AF40" s="41" t="n">
        <v>2</v>
      </c>
      <c r="AG40" s="41" t="n">
        <v>2</v>
      </c>
      <c r="AI40" s="30" t="inlineStr">
        <is>
          <t xml:space="preserve">motivos bons mas não falou do clube, tinha roteiro claramente no vídeo </t>
        </is>
      </c>
    </row>
    <row r="41" ht="14.25" customHeight="1" s="60">
      <c r="B41" s="50" t="inlineStr">
        <is>
          <t>r278709@dac.unicamp.br</t>
        </is>
      </c>
      <c r="C41" s="50" t="inlineStr">
        <is>
          <t>Raphael Negrini Saggioro</t>
        </is>
      </c>
      <c r="D41" s="30" t="inlineStr">
        <is>
          <t>victor</t>
        </is>
      </c>
      <c r="E41" s="33">
        <f>IF(COUNT(K41:AG41)=0,"",ROUND((F41+G41+H41+I41+J41)/10,2))</f>
        <v/>
      </c>
      <c r="F41" s="34">
        <f>IF(COUNT(K41:AG41)=0,"",(K41*10+L41*8+M41*7+N41*5)/3)</f>
        <v/>
      </c>
      <c r="G41" s="34">
        <f>IF(COUNT(K41:AG41)=0,"",(P41*8+Q41*7+R41*5+S41*5)/3)</f>
        <v/>
      </c>
      <c r="H41" s="34">
        <f>IF(COUNT(K41:AG41)=0,"",(U41*6+V41*6+W41*4+X41*3+Y41*3+Z41*3)/3)</f>
        <v/>
      </c>
      <c r="I41" s="34">
        <f>IF(COUNT(K41:AG41)=0,"",AB41*3+AC41*2+AD41*2+AE41*1)</f>
        <v/>
      </c>
      <c r="J41" s="34">
        <f>IF(COUNT(K41:AG41)=0,"",(AF41*5+AG41*5)/3)</f>
        <v/>
      </c>
      <c r="K41" s="41" t="n"/>
      <c r="L41" s="41" t="n"/>
      <c r="M41" s="41" t="n"/>
      <c r="N41" s="41" t="n"/>
      <c r="P41" s="41" t="n"/>
      <c r="Q41" s="41" t="n"/>
      <c r="R41" s="41" t="n"/>
      <c r="S41" s="41" t="n"/>
      <c r="U41" s="41" t="n"/>
      <c r="V41" s="41" t="n"/>
      <c r="W41" s="41" t="n"/>
      <c r="X41" s="41" t="n"/>
      <c r="Y41" s="41" t="n"/>
      <c r="Z41" s="41" t="n"/>
      <c r="AB41" s="41" t="n"/>
      <c r="AC41" s="41" t="n"/>
      <c r="AD41" s="41" t="n"/>
      <c r="AE41" s="41" t="n"/>
      <c r="AF41" s="41" t="n">
        <v>3</v>
      </c>
      <c r="AG41" s="41" t="n">
        <v>2</v>
      </c>
      <c r="AI41" s="30" t="inlineStr">
        <is>
          <t xml:space="preserve">N respondeu diretamente a segunda pergunta mas meio q falou pq era bom e falou de todos os projetos, leu sobre </t>
        </is>
      </c>
    </row>
    <row r="42" ht="14.25" customHeight="1" s="60">
      <c r="B42" s="50" t="inlineStr">
        <is>
          <t>g278107@dac.unicamp.br</t>
        </is>
      </c>
      <c r="C42" s="50" t="inlineStr">
        <is>
          <t>Gustavo Daher Pereira</t>
        </is>
      </c>
      <c r="D42" s="30" t="inlineStr">
        <is>
          <t>victor</t>
        </is>
      </c>
      <c r="E42" s="33">
        <f>IF(COUNT(K42:AG42)=0,"",ROUND((F42+G42+H42+I42+J42)/10,2))</f>
        <v/>
      </c>
      <c r="F42" s="34">
        <f>IF(COUNT(K42:AG42)=0,"",(K42*10+L42*8+M42*7+N42*5)/3)</f>
        <v/>
      </c>
      <c r="G42" s="34">
        <f>IF(COUNT(K42:AG42)=0,"",(P42*8+Q42*7+R42*5+S42*5)/3)</f>
        <v/>
      </c>
      <c r="H42" s="34">
        <f>IF(COUNT(K42:AG42)=0,"",(U42*6+V42*6+W42*4+X42*3+Y42*3+Z42*3)/3)</f>
        <v/>
      </c>
      <c r="I42" s="34">
        <f>IF(COUNT(K42:AG42)=0,"",AB42*3+AC42*2+AD42*2+AE42*1)</f>
        <v/>
      </c>
      <c r="J42" s="34">
        <f>IF(COUNT(K42:AG42)=0,"",(AF42*5+AG42*5)/3)</f>
        <v/>
      </c>
      <c r="K42" s="41" t="n"/>
      <c r="L42" s="41" t="n"/>
      <c r="M42" s="41" t="n"/>
      <c r="N42" s="41" t="n"/>
      <c r="P42" s="41" t="n"/>
      <c r="Q42" s="41" t="n"/>
      <c r="R42" s="41" t="n"/>
      <c r="S42" s="41" t="n"/>
      <c r="U42" s="41" t="n"/>
      <c r="V42" s="41" t="n"/>
      <c r="W42" s="41" t="n"/>
      <c r="X42" s="41" t="n"/>
      <c r="Y42" s="41" t="n"/>
      <c r="Z42" s="41" t="n"/>
      <c r="AB42" s="41" t="n"/>
      <c r="AC42" s="41" t="n"/>
      <c r="AD42" s="41" t="n"/>
      <c r="AE42" s="41" t="n"/>
      <c r="AF42" s="41" t="n">
        <v>2</v>
      </c>
      <c r="AG42" s="41" t="n">
        <v>2</v>
      </c>
      <c r="AI42" s="30" t="inlineStr">
        <is>
          <t>Falou de palestras, achei prolixo e video demorado</t>
        </is>
      </c>
    </row>
    <row r="43" ht="14.25" customHeight="1" s="60">
      <c r="B43" s="50" t="inlineStr">
        <is>
          <t>rickfilho2007@gmail.com</t>
        </is>
      </c>
      <c r="C43" s="50" t="inlineStr">
        <is>
          <t>Ricardo Augusto Schmitt Filho</t>
        </is>
      </c>
      <c r="D43" s="30" t="inlineStr">
        <is>
          <t>victor</t>
        </is>
      </c>
      <c r="E43" s="33">
        <f>IF(COUNT(K43:AG43)=0,"",ROUND((F43+G43+H43+I43+J43)/10,2))</f>
        <v/>
      </c>
      <c r="F43" s="34">
        <f>IF(COUNT(K43:AG43)=0,"",(K43*10+L43*8+M43*7+N43*5)/3)</f>
        <v/>
      </c>
      <c r="G43" s="34">
        <f>IF(COUNT(K43:AG43)=0,"",(P43*8+Q43*7+R43*5+S43*5)/3)</f>
        <v/>
      </c>
      <c r="H43" s="34">
        <f>IF(COUNT(K43:AG43)=0,"",(U43*6+V43*6+W43*4+X43*3+Y43*3+Z43*3)/3)</f>
        <v/>
      </c>
      <c r="I43" s="34">
        <f>IF(COUNT(K43:AG43)=0,"",AB43*3+AC43*2+AD43*2+AE43*1)</f>
        <v/>
      </c>
      <c r="J43" s="34">
        <f>IF(COUNT(K43:AG43)=0,"",(AF43*5+AG43*5)/3)</f>
        <v/>
      </c>
      <c r="K43" s="41" t="n"/>
      <c r="L43" s="41" t="n"/>
      <c r="M43" s="41" t="n"/>
      <c r="N43" s="41" t="n"/>
      <c r="P43" s="41" t="n"/>
      <c r="Q43" s="41" t="n"/>
      <c r="R43" s="41" t="n"/>
      <c r="S43" s="41" t="n"/>
      <c r="U43" s="41" t="n"/>
      <c r="V43" s="41" t="n"/>
      <c r="W43" s="41" t="n"/>
      <c r="X43" s="41" t="n"/>
      <c r="Y43" s="41" t="n"/>
      <c r="Z43" s="41" t="n"/>
      <c r="AB43" s="41" t="n"/>
      <c r="AC43" s="41" t="n"/>
      <c r="AD43" s="41" t="n"/>
      <c r="AE43" s="41" t="n"/>
      <c r="AF43" s="41" t="n">
        <v>2</v>
      </c>
      <c r="AG43" s="41" t="n">
        <v>2</v>
      </c>
      <c r="AI43" s="30" t="inlineStr">
        <is>
          <t>Fez u  desafio foda mas n falou nada do ccu</t>
        </is>
      </c>
    </row>
    <row r="44" ht="14.25" customHeight="1" s="60">
      <c r="B44" s="50" t="inlineStr">
        <is>
          <t>m306365@dac.unicamp.br</t>
        </is>
      </c>
      <c r="C44" s="50" t="inlineStr">
        <is>
          <t>Matheus Dias Freitas</t>
        </is>
      </c>
      <c r="D44" s="30" t="inlineStr">
        <is>
          <t>victor</t>
        </is>
      </c>
      <c r="E44" s="33">
        <f>IF(COUNT(K44:AG44)=0,"",ROUND((F44+G44+H44+I44+J44)/10,2))</f>
        <v/>
      </c>
      <c r="F44" s="34">
        <f>IF(COUNT(K44:AG44)=0,"",(K44*10+L44*8+M44*7+N44*5)/3)</f>
        <v/>
      </c>
      <c r="G44" s="34">
        <f>IF(COUNT(K44:AG44)=0,"",(P44*8+Q44*7+R44*5+S44*5)/3)</f>
        <v/>
      </c>
      <c r="H44" s="34">
        <f>IF(COUNT(K44:AG44)=0,"",(U44*6+V44*6+W44*4+X44*3+Y44*3+Z44*3)/3)</f>
        <v/>
      </c>
      <c r="I44" s="34">
        <f>IF(COUNT(K44:AG44)=0,"",AB44*3+AC44*2+AD44*2+AE44*1)</f>
        <v/>
      </c>
      <c r="J44" s="34">
        <f>IF(COUNT(K44:AG44)=0,"",(AF44*5+AG44*5)/3)</f>
        <v/>
      </c>
      <c r="K44" s="41" t="n"/>
      <c r="L44" s="41" t="n"/>
      <c r="M44" s="41" t="n"/>
      <c r="N44" s="41" t="n"/>
      <c r="P44" s="41" t="n"/>
      <c r="Q44" s="41" t="n"/>
      <c r="R44" s="41" t="n"/>
      <c r="S44" s="41" t="n"/>
      <c r="U44" s="41" t="n"/>
      <c r="V44" s="41" t="n"/>
      <c r="W44" s="41" t="n"/>
      <c r="X44" s="41" t="n"/>
      <c r="Y44" s="41" t="n"/>
      <c r="Z44" s="41" t="n"/>
      <c r="AB44" s="41" t="n"/>
      <c r="AC44" s="41" t="n"/>
      <c r="AD44" s="41" t="n"/>
      <c r="AE44" s="41" t="n"/>
      <c r="AF44" s="41" t="n">
        <v>2</v>
      </c>
      <c r="AG44" s="41" t="n">
        <v>1</v>
      </c>
      <c r="AI44" s="30" t="inlineStr">
        <is>
          <t>fez o video de touca, falou tudo muito genérico</t>
        </is>
      </c>
    </row>
    <row r="45" ht="14.25" customHeight="1" s="60">
      <c r="B45" s="50" t="inlineStr">
        <is>
          <t>k267983@dac.unicamp.br</t>
        </is>
      </c>
      <c r="C45" s="50" t="inlineStr">
        <is>
          <t>Klaus Augusto Santos da Silva</t>
        </is>
      </c>
      <c r="D45" s="30" t="inlineStr">
        <is>
          <t>victor</t>
        </is>
      </c>
      <c r="E45" s="33">
        <f>IF(COUNT(K45:AG45)=0,"",ROUND((F45+G45+H45+I45+J45)/10,2))</f>
        <v/>
      </c>
      <c r="F45" s="34">
        <f>IF(COUNT(K45:AG45)=0,"",(K45*10+L45*8+M45*7+N45*5)/3)</f>
        <v/>
      </c>
      <c r="G45" s="34">
        <f>IF(COUNT(K45:AG45)=0,"",(P45*8+Q45*7+R45*5+S45*5)/3)</f>
        <v/>
      </c>
      <c r="H45" s="34">
        <f>IF(COUNT(K45:AG45)=0,"",(U45*6+V45*6+W45*4+X45*3+Y45*3+Z45*3)/3)</f>
        <v/>
      </c>
      <c r="I45" s="34">
        <f>IF(COUNT(K45:AG45)=0,"",AB45*3+AC45*2+AD45*2+AE45*1)</f>
        <v/>
      </c>
      <c r="J45" s="34">
        <f>IF(COUNT(K45:AG45)=0,"",(AF45*5+AG45*5)/3)</f>
        <v/>
      </c>
      <c r="K45" s="41" t="n"/>
      <c r="L45" s="41" t="n"/>
      <c r="M45" s="41" t="n"/>
      <c r="N45" s="41" t="n"/>
      <c r="P45" s="41" t="n"/>
      <c r="Q45" s="41" t="n"/>
      <c r="R45" s="41" t="n"/>
      <c r="S45" s="41" t="n"/>
      <c r="U45" s="41" t="n"/>
      <c r="V45" s="41" t="n"/>
      <c r="W45" s="41" t="n"/>
      <c r="X45" s="41" t="n"/>
      <c r="Y45" s="41" t="n"/>
      <c r="Z45" s="41" t="n"/>
      <c r="AB45" s="41" t="n"/>
      <c r="AC45" s="41" t="n"/>
      <c r="AD45" s="41" t="n"/>
      <c r="AE45" s="41" t="n"/>
      <c r="AF45" s="41" t="n">
        <v>2</v>
      </c>
      <c r="AG45" s="41" t="n">
        <v>1</v>
      </c>
      <c r="AI45" s="30" t="inlineStr">
        <is>
          <t xml:space="preserve">Foi um dos unicos que falou q queria entrar pra ajudar o clube e falou q queria fazer amigo kkkkkkk, mas n achei q sabe muito de consultoria ou o q quer com o clube </t>
        </is>
      </c>
    </row>
    <row r="46" ht="14.25" customHeight="1" s="60">
      <c r="B46" s="50" t="inlineStr">
        <is>
          <t>r302729@dac.unicamp.br</t>
        </is>
      </c>
      <c r="C46" s="50" t="inlineStr">
        <is>
          <t>Rafael Rodrigues Moreira</t>
        </is>
      </c>
      <c r="D46" s="30" t="inlineStr">
        <is>
          <t>Proc</t>
        </is>
      </c>
      <c r="E46" s="33">
        <f>IF(COUNT(K46:AG46)=0,"",ROUND((F46+G46+H46+I46+J46)/10,2))</f>
        <v/>
      </c>
      <c r="F46" s="34">
        <f>IF(COUNT(K46:AG46)=0,"",(K46*10+L46*8+M46*7+N46*5)/3)</f>
        <v/>
      </c>
      <c r="G46" s="34">
        <f>IF(COUNT(K46:AG46)=0,"",(P46*8+Q46*7+R46*5+S46*5)/3)</f>
        <v/>
      </c>
      <c r="H46" s="34">
        <f>IF(COUNT(K46:AG46)=0,"",(U46*6+V46*6+W46*4+X46*3+Y46*3+Z46*3)/3)</f>
        <v/>
      </c>
      <c r="I46" s="34">
        <f>IF(COUNT(K46:AG46)=0,"",AB46*3+AC46*2+AD46*2+AE46*1)</f>
        <v/>
      </c>
      <c r="J46" s="34">
        <f>IF(COUNT(K46:AG46)=0,"",(AF46*5+AG46*5)/3)</f>
        <v/>
      </c>
      <c r="K46" s="41" t="n"/>
      <c r="L46" s="41" t="n"/>
      <c r="M46" s="41" t="n"/>
      <c r="N46" s="41" t="n"/>
      <c r="P46" s="41" t="n"/>
      <c r="Q46" s="41" t="n"/>
      <c r="R46" s="41" t="n"/>
      <c r="S46" s="41" t="n"/>
      <c r="U46" s="41" t="n"/>
      <c r="V46" s="41" t="n"/>
      <c r="W46" s="41" t="n"/>
      <c r="X46" s="41" t="n"/>
      <c r="Y46" s="41" t="n"/>
      <c r="Z46" s="41" t="n"/>
      <c r="AB46" s="41" t="n"/>
      <c r="AC46" s="41" t="n"/>
      <c r="AD46" s="41" t="n"/>
      <c r="AE46" s="41" t="n"/>
      <c r="AF46" s="41" t="n">
        <v>0</v>
      </c>
      <c r="AG46" s="41" t="n">
        <v>1</v>
      </c>
      <c r="AI46" s="30" t="inlineStr">
        <is>
          <t>60% no GMAT; falou bem do nosso instagram, falou pouco sobre ele. 1min30 de vídeo.</t>
        </is>
      </c>
    </row>
    <row r="47" ht="14.25" customHeight="1" s="60">
      <c r="B47" s="50" t="inlineStr">
        <is>
          <t>c258388@dac.unicamp.br</t>
        </is>
      </c>
      <c r="C47" s="50" t="inlineStr">
        <is>
          <t>Caio Augusto Saab</t>
        </is>
      </c>
      <c r="D47" s="30" t="inlineStr">
        <is>
          <t>victor</t>
        </is>
      </c>
      <c r="E47" s="33">
        <f>IF(COUNT(K47:AG47)=0,"",ROUND((F47+G47+H47+I47+J47)/10,2))</f>
        <v/>
      </c>
      <c r="F47" s="34">
        <f>IF(COUNT(K47:AG47)=0,"",(K47*10+L47*8+M47*7+N47*5)/3)</f>
        <v/>
      </c>
      <c r="G47" s="34">
        <f>IF(COUNT(K47:AG47)=0,"",(P47*8+Q47*7+R47*5+S47*5)/3)</f>
        <v/>
      </c>
      <c r="H47" s="34">
        <f>IF(COUNT(K47:AG47)=0,"",(U47*6+V47*6+W47*4+X47*3+Y47*3+Z47*3)/3)</f>
        <v/>
      </c>
      <c r="I47" s="34">
        <f>IF(COUNT(K47:AG47)=0,"",AB47*3+AC47*2+AD47*2+AE47*1)</f>
        <v/>
      </c>
      <c r="J47" s="34">
        <f>IF(COUNT(K47:AG47)=0,"",(AF47*5+AG47*5)/3)</f>
        <v/>
      </c>
      <c r="K47" s="41" t="n"/>
      <c r="L47" s="41" t="n"/>
      <c r="M47" s="41" t="n"/>
      <c r="N47" s="41" t="n"/>
      <c r="P47" s="41" t="n"/>
      <c r="Q47" s="41" t="n"/>
      <c r="R47" s="41" t="n"/>
      <c r="S47" s="41" t="n"/>
      <c r="U47" s="41" t="n"/>
      <c r="V47" s="41" t="n"/>
      <c r="W47" s="41" t="n"/>
      <c r="X47" s="41" t="n"/>
      <c r="Y47" s="41" t="n"/>
      <c r="Z47" s="41" t="n"/>
      <c r="AB47" s="41" t="n"/>
      <c r="AC47" s="41" t="n"/>
      <c r="AD47" s="41" t="n"/>
      <c r="AE47" s="41" t="n"/>
      <c r="AF47" s="41" t="n">
        <v>2</v>
      </c>
      <c r="AG47" s="41" t="n">
        <v>1</v>
      </c>
      <c r="AI47" s="30" t="inlineStr">
        <is>
          <t xml:space="preserve">muito generico </t>
        </is>
      </c>
    </row>
    <row r="48" ht="14.25" customHeight="1" s="60">
      <c r="B48" s="50" t="inlineStr">
        <is>
          <t>j260826@dac.unicamp.br</t>
        </is>
      </c>
      <c r="C48" s="50" t="inlineStr">
        <is>
          <t>José Vitor Dias Tutu</t>
        </is>
      </c>
      <c r="D48" s="30" t="inlineStr">
        <is>
          <t>Proc</t>
        </is>
      </c>
      <c r="E48" s="33">
        <f>IF(COUNT(K48:AG48)=0,"",ROUND((F48+G48+H48+I48+J48)/10,2))</f>
        <v/>
      </c>
      <c r="F48" s="34">
        <f>IF(COUNT(K48:AG48)=0,"",(K48*10+L48*8+M48*7+N48*5)/3)</f>
        <v/>
      </c>
      <c r="G48" s="34">
        <f>IF(COUNT(K48:AG48)=0,"",(P48*8+Q48*7+R48*5+S48*5)/3)</f>
        <v/>
      </c>
      <c r="H48" s="34">
        <f>IF(COUNT(K48:AG48)=0,"",(U48*6+V48*6+W48*4+X48*3+Y48*3+Z48*3)/3)</f>
        <v/>
      </c>
      <c r="I48" s="34">
        <f>IF(COUNT(K48:AG48)=0,"",AB48*3+AC48*2+AD48*2+AE48*1)</f>
        <v/>
      </c>
      <c r="J48" s="34">
        <f>IF(COUNT(K48:AG48)=0,"",(AF48*5+AG48*5)/3)</f>
        <v/>
      </c>
      <c r="K48" s="41" t="n"/>
      <c r="L48" s="41" t="n"/>
      <c r="M48" s="41" t="n"/>
      <c r="N48" s="41" t="n"/>
      <c r="P48" s="41" t="n"/>
      <c r="Q48" s="41" t="n"/>
      <c r="R48" s="41" t="n"/>
      <c r="S48" s="41" t="n"/>
      <c r="U48" s="41" t="n"/>
      <c r="V48" s="41" t="n"/>
      <c r="W48" s="41" t="n"/>
      <c r="X48" s="41" t="n"/>
      <c r="Y48" s="41" t="n"/>
      <c r="Z48" s="41" t="n"/>
      <c r="AB48" s="41" t="n"/>
      <c r="AC48" s="41" t="n"/>
      <c r="AD48" s="41" t="n"/>
      <c r="AE48" s="41" t="n"/>
      <c r="AF48" s="41" t="n">
        <v>2</v>
      </c>
      <c r="AG48" s="41" t="n">
        <v>1</v>
      </c>
      <c r="AI48" s="30" t="inlineStr">
        <is>
          <t>Tentou traduzir a página e foi mal no GMAT. Vídeo ruim. Motivos ruins.</t>
        </is>
      </c>
    </row>
    <row r="49" ht="14.25" customHeight="1" s="60">
      <c r="B49" s="50" t="inlineStr">
        <is>
          <t xml:space="preserve">i253464@dac.unicamp.br
</t>
        </is>
      </c>
      <c r="C49" s="50" t="inlineStr">
        <is>
          <t>Isadora Kluge Dorigan</t>
        </is>
      </c>
      <c r="D49" s="30" t="inlineStr">
        <is>
          <t>Fred</t>
        </is>
      </c>
      <c r="E49" s="33">
        <f>IF(COUNT(K49:AG49)=0,"",ROUND((F49+G49+H49+I49+J49)/10,2))</f>
        <v/>
      </c>
      <c r="F49" s="34">
        <f>IF(COUNT(K49:AG49)=0,"",(K49*10+L49*8+M49*7+N49*5)/3)</f>
        <v/>
      </c>
      <c r="G49" s="34">
        <f>IF(COUNT(K49:AG49)=0,"",(P49*8+Q49*7+R49*5+S49*5)/3)</f>
        <v/>
      </c>
      <c r="H49" s="34">
        <f>IF(COUNT(K49:AG49)=0,"",(U49*6+V49*6+W49*4+X49*3+Y49*3+Z49*3)/3)</f>
        <v/>
      </c>
      <c r="I49" s="34">
        <f>IF(COUNT(K49:AG49)=0,"",AB49*3+AC49*2+AD49*2+AE49*1)</f>
        <v/>
      </c>
      <c r="J49" s="34">
        <f>IF(COUNT(K49:AG49)=0,"",(AF49*5+AG49*5)/3)</f>
        <v/>
      </c>
      <c r="K49" s="41" t="n"/>
      <c r="L49" s="41" t="n"/>
      <c r="M49" s="41" t="n"/>
      <c r="N49" s="41" t="n"/>
      <c r="P49" s="41" t="n"/>
      <c r="Q49" s="41" t="n"/>
      <c r="R49" s="41" t="n"/>
      <c r="S49" s="41" t="n"/>
      <c r="U49" s="41" t="n"/>
      <c r="V49" s="41" t="n"/>
      <c r="W49" s="41" t="n"/>
      <c r="X49" s="41" t="n"/>
      <c r="Y49" s="41" t="n"/>
      <c r="Z49" s="41" t="n"/>
      <c r="AB49" s="41" t="n"/>
      <c r="AC49" s="41" t="n"/>
      <c r="AD49" s="41" t="n"/>
      <c r="AE49" s="41" t="n"/>
      <c r="AF49" s="41" t="n">
        <v>3</v>
      </c>
      <c r="AG49" s="41" t="n">
        <v>3</v>
      </c>
      <c r="AI49" s="30" t="inlineStr">
        <is>
          <t>Mandou bem no vídeo e vai ser a próxima ana bia + verena</t>
        </is>
      </c>
    </row>
    <row r="50" ht="14.25" customHeight="1" s="60">
      <c r="B50" s="38" t="inlineStr">
        <is>
          <t>01</t>
        </is>
      </c>
      <c r="C50" s="30" t="inlineStr">
        <is>
          <t>Candidato 01 — pasta entregas-candidatos/01 (case BagHub 2026.2)</t>
        </is>
      </c>
      <c r="D50" s="30" t="inlineStr">
        <is>
          <t>Avaliador 1</t>
        </is>
      </c>
      <c r="E50" s="33">
        <f>IF(COUNT(K50:AG50)=0,"",ROUND((F50+G50+H50+I50+J50)/10,2))</f>
        <v/>
      </c>
      <c r="F50" s="34">
        <f>IF(COUNT(K50:AG50)=0,"",(K50*10+L50*8+M50*7+N50*5)/3)</f>
        <v/>
      </c>
      <c r="G50" s="34">
        <f>IF(COUNT(K50:AG50)=0,"",(P50*8+Q50*7+R50*5+S50*5)/3)</f>
        <v/>
      </c>
      <c r="H50" s="34">
        <f>IF(COUNT(K50:AG50)=0,"",(U50*6+V50*6+W50*4+X50*3+Y50*3+Z50*3)/3)</f>
        <v/>
      </c>
      <c r="I50" s="34">
        <f>IF(COUNT(K50:AG50)=0,"",AB50*3+AC50*2+AD50*2+AE50*1)</f>
        <v/>
      </c>
      <c r="J50" s="34">
        <f>IF(COUNT(K50:AG50)=0,"",(AF50*5+AG50*5)/3)</f>
        <v/>
      </c>
      <c r="K50" s="41" t="n">
        <v>3</v>
      </c>
      <c r="L50" s="41" t="n">
        <v>2</v>
      </c>
      <c r="M50" s="41" t="n">
        <v>3</v>
      </c>
      <c r="N50" s="41" t="n">
        <v>3</v>
      </c>
      <c r="O50" s="37" t="inlineStr">
        <is>
          <t>C1=3: a recomendação está em uma frase, com R$ 27,84M e margem de 77,3%, na primeira página do relatório e no slide 2. C2=2: o slide 7 mostra seis dos oito cenários, faltam Noite Alta e Arena no modelo de armários, mesmo com o título dizendo "por Bairro e Modelo"; o relatório está completo. C3=3: lendo só os títulos a história fecha, de tese a riscos. C4=3: fonte, cor e tabelas seguem o mesmo padrão nos dois arquivos.</t>
        </is>
      </c>
      <c r="P50" s="41" t="n">
        <v>3</v>
      </c>
      <c r="Q50" s="41" t="n">
        <v>3</v>
      </c>
      <c r="R50" s="41" t="n">
        <v>2</v>
      </c>
      <c r="S50" s="41" t="n">
        <v>3</v>
      </c>
      <c r="T50" s="37" t="inlineStr">
        <is>
          <t>R1=3: na p.4 o número está amarrado à razão de negócio, caixa absoluto para financiar a expansão mais o zero de CAPEX; tapando o número ou o argumento a recomendação continua de pé. R2=3: a DRE da p.3 compara os quatro bairros nos dois modelos e ele justifica por escrito por que descartou o Centro Histórico, R$ 3,34M a menos em absoluto apesar dos 90,7% de margem. R3=2: o giro por posição é análise extra e ligada à decisão, mas não muda a conclusão, e não há sensibilidade nem payback. R4=3: na p.2 ele explica a causa da ociosidade, os picos concentrados inflando o custo fixo unitário, e não só repete o número.</t>
        </is>
      </c>
      <c r="U50" s="41" t="n">
        <v>3</v>
      </c>
      <c r="V50" s="41" t="n">
        <v>3</v>
      </c>
      <c r="W50" s="41" t="n">
        <v>3</v>
      </c>
      <c r="X50" s="41" t="n">
        <v>3</v>
      </c>
      <c r="Y50" s="41" t="n">
        <v>3</v>
      </c>
      <c r="Z50" s="41" t="n">
        <v>1</v>
      </c>
      <c r="AA50" s="37" t="inlineStr">
        <is>
          <t>A1 e A2=3: refiz os oito cenários pelos Anexos C e E e todos conferem, Estação Central 27,84M e 25,08M, Centro Histórico 24,5M e 23,15M, Noite Alta 19,2M e 18,57M, Arena 14,94M e 13,87M. Acertou o arredondamento da Arena, 900 dividido por 40 dá 22,5 e ele usou 23 bancos, R$ 1,61M. A memória de cálculo está visível na p.2, com as cinco equações, e na p.3. A3=3: o roadmap das quatro fases fecha com a própria DRE dele; vale notar que este case não declara meta numérica, então essa parte do descritor não dá para testar. A4=3: quantificou o trade-off entre Estação Central e Centro Histórico. A5=3: os quatro riscos são específicos do modelo de parceiros e todos têm mitigação, com prazo aparecendo no piloto de 30 dias. A6=1: o case não trouxe um erro plantado explícito, mas existe uma tensão nos dados de utilização, porque 33% da semana na Noite Alta dá 55h ocupadas por posição e a janela dela é de 19h às 2h, ou seja 49h. Ele passou pelo ponto sem errar, não descontou transações, mas nunca nomeou a inconsistência. Se a diretoria entender que não havia erro plantado, melhor neutralizar o item para todos.</t>
        </is>
      </c>
      <c r="AB50" s="41" t="n">
        <v>0</v>
      </c>
      <c r="AC50" s="41" t="n">
        <v>1</v>
      </c>
      <c r="AD50" s="41" t="n">
        <v>0</v>
      </c>
      <c r="AE50" s="41" t="n">
        <v>3</v>
      </c>
      <c r="AF50" s="41" t="n"/>
      <c r="AG50" s="41" t="n"/>
      <c r="AH50" s="37" t="inlineStr">
        <is>
          <t>V1 e V2 ficaram em branco porque as notas da etapa de vídeo não vieram junto com a pasta 01, que está anônima. Precisa transcrever da etapa anterior: valem 10 pontos e hoje entram como zero, puxando a nota final para baixo. E1 e E3 ficaram zero porque não há planilha nem vídeo de entrega na pasta, mas o enunciado deste semestre não pediu esses entregáveis. O mais justo é neutralizar os dois itens para todos os candidatos ou passar a exigi-los no próximo case.</t>
        </is>
      </c>
      <c r="AI50" s="30" t="inlineStr">
        <is>
          <t>Deu pra ver que usou IA. O deck inteiro é imagem, não tem um texto selecionável, e o relatório é um HTML exportado em PDF; o nome do arquivo veio até com "McKinsey Style". As quatro seções têm exatamente a mesma profundidade, o que não acontece com quem resolve num fim de semana e precisa cortar coisa, e a memória de cálculo aparece detalhada só em um dos quatro bairros. Fora isso, a entrega é boa. Os oito cenários fecham, incluindo o arredondamento dos bancos na Arena, que é onde a maioria escorrega, e a recomendação está na primeira página e no slide 2 já com o número. O que me incomodou foi o critério do rollout mudar no meio: começa priorizando caixa absoluto, na fase 2 justifica pela maior margem e nas fases 3 e 4 volta para o absoluto, colocando Noite Alta com 64% de margem na frente da Arena com 83%. Também não fez nenhuma sensibilidade nem mostrou a partir de que ponto um modelo passa o outro. Na entrevista eu levaria duas perguntas: a partir de qual custo de operação por posição nos pontos parceiros o modelo de armários passa a ser melhor na Estação Central, e por que Noite Alta vem antes da Arena se a margem da Arena é maior. Quem montou o modelo responde rápido. A nota saiu 7,87 com V1 e V2 em branco; considerando só o que dá para avaliar de fato, equivale a 8,74.</t>
        </is>
      </c>
    </row>
    <row r="51" ht="14.25" customHeight="1" s="60">
      <c r="B51" s="0" t="inlineStr">
        <is>
          <t>02</t>
        </is>
      </c>
      <c r="C51" s="0" t="inlineStr">
        <is>
          <t>Candidato 02 — pasta entregas-candidatos/02 (case BagHub 2026.2)</t>
        </is>
      </c>
      <c r="D51" s="0" t="inlineStr">
        <is>
          <t>Avaliador 1</t>
        </is>
      </c>
      <c r="E51" s="33">
        <f>IF(COUNT(K51:AG51)=0,"",ROUND((F51+G51+H51+I51+J51)/10,2))</f>
        <v/>
      </c>
      <c r="F51" s="34">
        <f>IF(COUNT(K51:AG51)=0,"",(K51*10+L51*8+M51*7+N51*5)/3)</f>
        <v/>
      </c>
      <c r="G51" s="34">
        <f>IF(COUNT(K51:AG51)=0,"",(P51*8+Q51*7+R51*5+S51*5)/3)</f>
        <v/>
      </c>
      <c r="H51" s="34">
        <f>IF(COUNT(K51:AG51)=0,"",(U51*6+V51*6+W51*4+X51*3+Y51*3+Z51*3)/3)</f>
        <v/>
      </c>
      <c r="I51" s="34">
        <f>IF(COUNT(K51:AG51)=0,"",AB51*3+AC51*2+AD51*2+AE51*1)</f>
        <v/>
      </c>
      <c r="J51" s="34">
        <f>IF(COUNT(K51:AG51)=0,"",(AF51*5+AG51*5)/3)</f>
        <v/>
      </c>
      <c r="K51" s="41" t="n">
        <v>3</v>
      </c>
      <c r="L51" s="41" t="n">
        <v>3</v>
      </c>
      <c r="M51" s="41" t="n">
        <v>3</v>
      </c>
      <c r="N51" s="41" t="n">
        <v>3</v>
      </c>
      <c r="O51" s="68" t="inlineStr">
        <is>
          <t>C1=3: pag. 2, uma frase — "A BagHub deve lançar na Estação Central operando por pontos parceiros, com lucro operacional projetado de R$ 27,8 milhões no primeiro ano" — com o número na própria frase. C2=3: dois documentos fechados, capa, rodapé numerado nas 12 páginas e anexo de bases de cálculo paginado 1/5 a 5/5; enviaria ao cliente sem editar. C3=3: lendo só os títulos a história fecha sozinha — recomendação, custo decide, parceiros custam menos, decisão passa a ser de bairro, giro explica a margem, Estação lidera, riscos, piloto. C4=3: padrão único de fonte, cor e tabela nos dois arquivos, nenhuma página com parágrafo corrido.</t>
        </is>
      </c>
      <c r="P51" s="41" t="n">
        <v>3</v>
      </c>
      <c r="Q51" s="41" t="n">
        <v>3</v>
      </c>
      <c r="R51" s="41" t="n">
        <v>3</v>
      </c>
      <c r="S51" s="41" t="n">
        <v>3</v>
      </c>
      <c r="T51" s="68" t="inlineStr">
        <is>
          <t>R1=3: pag. 2 e 7 amarram R$ 27,8M à razão de negócio (prioridade declarada é rentabilidade anual, margem de 77,3% como colchão, capacidade contratável em qualquer bairro); tapando o número o argumento continua, tapando o argumento o 27,8M continua sendo o máximo dos oito. R2=3: pag. 5 compara Estação Central e Centro Histórico em cinco métricas lado a lado, pag. 7 justifica por escrito por que descartou o Centro Histórico apesar dos 90,7% de margem, e pag. 9 ordena os quatro explicando por que Noite Alta vem antes da Arena. R3=3: trouxe giro semanal por posição, lucro por posição e a prova de dominância da seção 5.1 — o prêmio do parceiro (R$ 400 a R$ 1.400 por posição) é sempre menor que o banco rateado (R$ 1.750), o que generaliza a escolha do modelo para além dos oito casos e fortalece a recomendação. R4=3: pag. 6 explica a causa — a Estação precisa de 2,4x mais posições para 1,33x mais transações porque cada posição gira 10 vezes por semana contra 18 no Centro Histórico, e liga isso à ocasião de uso.</t>
        </is>
      </c>
      <c r="U51" s="41" t="n">
        <v>3</v>
      </c>
      <c r="V51" s="41" t="n">
        <v>3</v>
      </c>
      <c r="W51" s="41" t="n">
        <v>3</v>
      </c>
      <c r="X51" s="41" t="n">
        <v>3</v>
      </c>
      <c r="Y51" s="41" t="n">
        <v>3</v>
      </c>
      <c r="Z51" s="41" t="n">
        <v>1</v>
      </c>
      <c r="AA51" s="68" t="inlineStr">
        <is>
          <t>A1 e A2=3: refiz os oito cenários pelos Anexos C e E e todos conferem — Estação Central 27,84M e 25,08M, Centro Histórico 24,5M e 23,15M, Noite Alta 19,2M e 18,57M, Arena 14,94M e 13,87M. Bancos 60/25/23/45, com a Arena correta (900/40 = 22,5 arredondado para 23, R$ 1,61M). Memória visível na seção 4 do anexo, cálculo por extenso da Estação Central, e na tabela de composição da seção 5. A3=3: a ordem de expansão da pag. 9 fecha com a própria tabela dele; ressalva de que este case não declara meta numérica, então essa parte do descritor não é testável. A4=3: quantificou o trade-off Estação Central x Centro Histórico (R$ 3,3M a mais em absoluto contra R$ 24.500 x R$ 11.600 de lucro por posição). A5=3: quatro riscos na pag. 10, todos específicos do modelo de parceiros, cada um com mitigação contratual (teto de participação, contratos plurianuais com preço travado, lista de suplentes, horário mínimo com desconto) e a contratação em etapas travada em dado real. Prazo aparece como termo contratual ("preço travado por prazo definido", contratos plurianuais) mas sem duração fixada — ponto mais fraco do 3, contestável por um 2º avaliador. A6=1: o case não traz erro plantado. Ele declarou a premissa P3 citando o Anexo C e não descontou transações, ou seja, passou pelo ponto certo sem nomear inconsistência nenhuma — mesma situação da pasta 01.</t>
        </is>
      </c>
      <c r="AB51" s="41" t="n">
        <v>0</v>
      </c>
      <c r="AC51" s="41" t="n">
        <v>1</v>
      </c>
      <c r="AD51" s="41" t="n">
        <v>0</v>
      </c>
      <c r="AE51" s="41" t="n">
        <v>3</v>
      </c>
      <c r="AF51" s="41" t="n"/>
      <c r="AG51" s="41" t="n"/>
      <c r="AH51" s="68" t="inlineStr">
        <is>
          <t>V1 e V2 em branco: as notas da etapa de vídeo não vieram com a pasta. O nome está no arquivo (Aslan Rodrigues Maia), então dá para transcrever das linhas 17 e 39. Enquanto ficarem em branco, entram como zero e puxam 10 pontos. E1=0 e E3=0 porque não há planilha nem vídeo de entrega na pasta — mas o enunciado deste semestre não pediu esses entregáveis, e o anexo de bases de cálculo cumpre a função de memória de cálculo. Recomendo neutralizar E1 e E3 para todos.</t>
        </is>
      </c>
      <c r="AI51" s="68" t="inlineStr">
        <is>
          <t>Melhor entrega do conjunto até aqui, e o que separa é a prova de dominância. Em vez de só reportar que os parceiros ganham nos quatro bairros, ele mostra por que: o banco de 40 posições rateado dá R$ 1.750 por posição por ano e o prêmio que o parceiro cobra sobre a operação vai de R$ 400 a R$ 1.400 — como o prêmio é sempre menor, a escolha do modelo se separa da escolha do bairro. Isso é um resultado que sobrevive a mudança de parâmetro, não uma leitura de tabela. Os oito cenários fecham todos, incluindo o arredondamento da Arena, e o anexo traz as premissas numeradas P0 a P11 com a fonte de cada uma. A tensão real do case ele encontrou e resolveu: o Centro Histórico rende R$ 24.500 por posição contra R$ 11.600 da Estação Central, mas a prioridade declarada é rentabilidade anual e a capacidade é contratável, então o lucro por posição não limita o crescimento. O que falta é prazo nos riscos: as mitigações são boas e contratuais, mas nenhuma tem data, e o piloto da pag. 11 não tem duração. Também não há análise de sensibilidade numérica, embora a seção 5.1 funcione como um breakeven implícito. Na entrevista eu pediria: se o banco de armários custasse R$ 50.000 em vez de R$ 70.000, o que muda na sua recomendação? A resposta certa é que o rateio cai para R$ 1.250 por posição, fica abaixo do prêmio de R$ 1.400 da complexidade alta, e os armários passam a ganhar em Noite Alta — quem montou a seção 5.1 responde isso em um minuto. Nota 8,30 com V1 e V2 em branco; considerando só o que dá para avaliar, 9,22.
INDÍCIO DE IA (advisory, não afeta nota): Baixo. Vários indícios de autoria própria. A prova de dominância da seção 5.1 é um achado estrutural específico deste case, não uma leitura dos oito números — é o tipo de generalização que não aparece em saída genérica. Ele nota que a vantagem dos parceiros em Noite Alta é de só R$ 350 por posição e transforma isso em ponto de monitoramento na pag. 11, ou seja, tirou um "e daí" do próprio número. A profundidade é desigual de propósito: o anexo faz a Estação Central por extenso e resume os outros três bairros, exatamente o corte de quem tinha um fim de semana. O único ponto que poderia levantar dúvida é o acabamento formal do anexo, aparentemente composto em LaTeX com notação matemática e premissas numeradas — mas acabamento não é evidência de IA, e a composição em LaTeX aponta para o contrário, porque exige trabalho manual. Pergunta de propriedade para a entrevista: a partir de que custo de banco os armários passam a ganhar em Noite Alta?
[IDENTIFICAÇÃO] Nome no arquivo: Aslan Rodrigues Maia. V1/V2 dele existem nas linhas 17 (Ferro 1/2) e 39 (Proc 2/3).</t>
        </is>
      </c>
    </row>
    <row r="52" ht="14.25" customHeight="1" s="60">
      <c r="B52" s="0" t="inlineStr">
        <is>
          <t>03</t>
        </is>
      </c>
      <c r="C52" s="0" t="inlineStr">
        <is>
          <t>Candidato 03 — pasta entregas-candidatos/03 (case BagHub 2026.2)</t>
        </is>
      </c>
      <c r="D52" s="0" t="inlineStr">
        <is>
          <t>Avaliador 1</t>
        </is>
      </c>
      <c r="E52" s="33">
        <f>IF(COUNT(K52:AG52)=0,"",ROUND((F52+G52+H52+I52+J52)/10,2))</f>
        <v/>
      </c>
      <c r="F52" s="34">
        <f>IF(COUNT(K52:AG52)=0,"",(K52*10+L52*8+M52*7+N52*5)/3)</f>
        <v/>
      </c>
      <c r="G52" s="34">
        <f>IF(COUNT(K52:AG52)=0,"",(P52*8+Q52*7+R52*5+S52*5)/3)</f>
        <v/>
      </c>
      <c r="H52" s="34">
        <f>IF(COUNT(K52:AG52)=0,"",(U52*6+V52*6+W52*4+X52*3+Y52*3+Z52*3)/3)</f>
        <v/>
      </c>
      <c r="I52" s="34">
        <f>IF(COUNT(K52:AG52)=0,"",AB52*3+AC52*2+AD52*2+AE52*1)</f>
        <v/>
      </c>
      <c r="J52" s="34">
        <f>IF(COUNT(K52:AG52)=0,"",(AF52*5+AG52*5)/3)</f>
        <v/>
      </c>
      <c r="K52" s="41" t="n">
        <v>3</v>
      </c>
      <c r="L52" s="41" t="n">
        <v>2</v>
      </c>
      <c r="M52" s="41" t="n">
        <v>1</v>
      </c>
      <c r="N52" s="41" t="n">
        <v>3</v>
      </c>
      <c r="O52" s="68" t="inlineStr">
        <is>
          <t>C1=3: pag. 1, em destaque — "eu começaria pela Estação Central usando Pontos parceiros. O principal motivo é o resultado operacional anual de R$ 27,84 milhões", com o número na frase e na primeira página. C2=2: o documento é completo e tem seções numeradas, rodapé e citação da fonte, mas é escrito inteiro em primeira pessoa com hedge constante ("Eu não diria que isso prova", "não achei correto", "Para mim") — é um relatório de reflexão pessoal, não um documento que um cliente receberia como está. C3=1: aplicando o teste operacional, os títulos são rótulos genéricos ("4. Cálculo da rentabilidade", "6. Minha escolha para o lançamento") e a recomendação não aparece em nenhum deles; lendo só os títulos você sabe que existe uma escolha, não qual é. A sequência interna é lógica, o que torna este 1 o item mais contestável da minha correção. C4=3: fonte, tabelas e rodapé no mesmo padrão nas 10 páginas, nenhuma fora do padrão.</t>
        </is>
      </c>
      <c r="P52" s="41" t="n">
        <v>3</v>
      </c>
      <c r="Q52" s="41" t="n">
        <v>3</v>
      </c>
      <c r="R52" s="41" t="n">
        <v>1</v>
      </c>
      <c r="S52" s="41" t="n">
        <v>2</v>
      </c>
      <c r="T52" s="68" t="inlineStr">
        <is>
          <t>R1=3: pag. 7 dá três motivos amarrados — R$ 27,84M, escala de 24 mil transações/semana e a âncora do terminal — mais o argumento de que o modelo parceiro não exige comprar bancos, o que simplifica a estrutura de quem está começando; tapando o número os motivos de escala e capex continuam, tapando o argumento o 27,84M continua sendo o máximo. R2=3: pag. 5 traz os oito cenários, pag. 6 compara os dois modelos com a conta da diferença (operação R$ 1,44M a mais contra R$ 4,20M de bancos), e pag. 7 descarta por escrito Arena (concentração em eventos) e Noite Alta (horário e complexidade), com o Centro Histórico nomeado como segunda opção a R$ 24,50M. R3=1: entregou as quatro tarefas de forma completa e correta, mas não trouxe nada de fato além do pedido — a única métrica derivada (posições ocupadas em média, pag. 4) está dentro da tarefa de demanda e capacidade e ele mesmo a neutraliza como indicador, sem sensibilidade, breakeven ou economia por posição. R4=2: pag. 4 compara a utilização entre os quatro bairros e tira conclusão metodológica correta (separar volume de ocupação, misturar distorceria a receita), mas a causa que ele dá é a que o próprio case já informa (capacidade dimensionada para picos); não explica por que a utilização do Centro Histórico é maior nem por que a Estação precisa de 2,4x mais posições para 1,33x mais transações.</t>
        </is>
      </c>
      <c r="U52" s="41" t="n">
        <v>3</v>
      </c>
      <c r="V52" s="41" t="n">
        <v>3</v>
      </c>
      <c r="W52" s="41" t="n">
        <v>2</v>
      </c>
      <c r="X52" s="41" t="n">
        <v>3</v>
      </c>
      <c r="Y52" s="41" t="n">
        <v>2</v>
      </c>
      <c r="Z52" s="41" t="n">
        <v>1</v>
      </c>
      <c r="AA52" s="68" t="inlineStr">
        <is>
          <t>A1 e A2=3: os oito cenários conferem com o meu recálculo. A memória de cálculo é a melhor do conjunto — planilha real com fórmulas vivas, ROUNDUP(C/40) gerando 60/25/23/45 bancos e referências entre abas (Resumo puxa de Premissas e Cálculos), mais o exemplo por extenso da Estação Central na pag. 5. Arena com 23 bancos correta. A3=2: a ordem de expansão tem número (Centro Histórico a R$ 24,50M como segundo, pag. 7), mas o plano da pag. 9 é narrativo em cinco passos sem nenhum número e sem ponte entre períodos; o case não declara meta numérica, então a parte do descritor que compara com a meta não é testável. A4=3: Centro Histórico proposto como alternativa com impacto quantificado em R$ 24,50M e a razão da baixa complexidade. A5=2: os cinco pontos de validação da pag. 8 são específicos da recomendação dele (disponibilidade real de parceiros é específica do modelo parceiro, picos da Estação são específicos do bairro escolhido) e a pag. 9 traz mitigação real em cinco passos travados no piloto — mas não há prazo em lugar nenhum, nem duração do piloto. Fica entre os descritores: supera o 2 na mitigação e não alcança o 3 por falta de prazo; registro para o 2º avaliador contestar. A6=1: o case não traz erro plantado. Ele nomeia e justifica o único ponto ambíguo — pag. 2 e aba Notas, "a utilização não deve ser aplicada como desconto", citando o material — mas o que nomeou é a instrução do próprio case, não uma inconsistência. Mesma situação de todas as pastas.</t>
        </is>
      </c>
      <c r="AB52" s="41" t="n">
        <v>1</v>
      </c>
      <c r="AC52" s="41" t="n">
        <v>1</v>
      </c>
      <c r="AD52" s="41" t="n">
        <v>0</v>
      </c>
      <c r="AE52" s="41" t="n">
        <v>3</v>
      </c>
      <c r="AF52" s="41" t="n"/>
      <c r="AG52" s="41" t="n"/>
      <c r="AH52" s="68" t="inlineStr">
        <is>
          <t>V1 e V2 em branco: notas da etapa de vídeo não vieram com a pasta; o nome está no arquivo (Bruno Heberth), então dá para transcrever das linhas 8 e 30. E1=1: é o único do conjunto até aqui com planilha de verdade, .xlsx com cinco abas e fórmulas vivas. E3=0, sem vídeo de entrega — item que o enunciado não pediu e que recomendo neutralizar para todos.</t>
        </is>
      </c>
      <c r="AI52" s="68" t="inlineStr">
        <is>
          <t>Entrega honesta e bem conferida, com o melhor artefato de propriedade do conjunto: a planilha tem fórmulas vivas, ROUNDUP e referências entre abas, não é tabela colada. Os oito cenários fecham. O que me chamou atenção foi o cuidado epistêmico — ele separa o que a conta mostra do que a conta não mostra, declina de criar estimativa onde falta dado ("eu preferi apontar a questão em vez de criar uma estimativa") e se recusa a generalizar que parceiros ganham sempre, dizendo que depende dos custos do case. Esse último ponto é onde ele deixa valor na mesa: a generalização era possível e é exatamente o que separa a pasta 02, que provou que o prêmio do parceiro é sempre menor que o banco rateado. O custo maior está na comunicação: os títulos são rótulos de seção e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análise de sensibilidade. Na entrevista eu pediria a conta que ele se recusou a fazer: a partir de que custo do banco de armários o modelo de armários passa a ganhar na Estação Central? Sai da planilha dele em um minuto — o banco teria que cair para R$ 24.000, porque o prêmio do parceiro na complexidade moderada é R$ 600 por posição e 600 x 40 = 24.000. Nota 7,13 com V1 e V2 em branco; considerando só o que dá para avaliar, 7,93.
INDÍCIO DE IA (advisory, não afeta nota): Baixo. Indícios fortes de autoria própria. A planilha é um modelo que funciona, com fórmulas encadeadas entre abas e ROUNDUP, não uma tabela renderizada — é o artefato mais difícil de terceirizar. Ele relata o próprio processo de conferência na pag. 5 ("Na revisão, conferi especialmente o arredondamento dos bancos... esse é um ponto em que um pequeno erro muda bastante o resultado"), o que é metacognição sobre o próprio trabalho. Recusa-se explicitamente a preencher lacuna de dado com estimativa inventada, que é o oposto da tendência de IA de completar tudo. E a profundidade é desigual: páginas 3 a 5 densas, 8 e 9 em lista mais leve. O texto é limpo e organizado, mas isso não é evidência de nada. Pergunta de propriedade para a entrevista: a partir de que custo de banco os armários ganham na Estação Central?
[IDENTIFICAÇÃO] Nome no arquivo: Bruno Heberth Oliveira Bastos. V1/V2 nas linhas 8 (victor 3/1) e 30 (Fred 3/1). ATENÇÃO: a pasta 03 também contém os dois PDFs do Aslan, byte-idênticos aos da pasta 02 (MD5 confere) — arquivos fora de lugar, desconsiderados nesta avaliação.</t>
        </is>
      </c>
    </row>
    <row r="53" ht="14.25" customHeight="1" s="60">
      <c r="B53" s="0" t="inlineStr">
        <is>
          <t>04</t>
        </is>
      </c>
      <c r="C53" s="0" t="inlineStr">
        <is>
          <t>Candidato 04 — pasta entregas-candidatos/04 (case BagHub 2026.2)</t>
        </is>
      </c>
      <c r="D53" s="0" t="inlineStr">
        <is>
          <t>Avaliador 1</t>
        </is>
      </c>
      <c r="E53" s="33">
        <f>IF(COUNT(K53:AG53)=0,"",ROUND((F53+G53+H53+I53+J53)/10,2))</f>
        <v/>
      </c>
      <c r="F53" s="34">
        <f>IF(COUNT(K53:AG53)=0,"",(K53*10+L53*8+M53*7+N53*5)/3)</f>
        <v/>
      </c>
      <c r="G53" s="34">
        <f>IF(COUNT(K53:AG53)=0,"",(P53*8+Q53*7+R53*5+S53*5)/3)</f>
        <v/>
      </c>
      <c r="H53" s="34">
        <f>IF(COUNT(K53:AG53)=0,"",(U53*6+V53*6+W53*4+X53*3+Y53*3+Z53*3)/3)</f>
        <v/>
      </c>
      <c r="I53" s="34">
        <f>IF(COUNT(K53:AG53)=0,"",AB53*3+AC53*2+AD53*2+AE53*1)</f>
        <v/>
      </c>
      <c r="J53" s="34">
        <f>IF(COUNT(K53:AG53)=0,"",(AF53*5+AG53*5)/3)</f>
        <v/>
      </c>
      <c r="K53" s="41" t="n">
        <v>2</v>
      </c>
      <c r="L53" s="41" t="n">
        <v>1</v>
      </c>
      <c r="M53" s="41" t="n">
        <v>1</v>
      </c>
      <c r="N53" s="41" t="n">
        <v>1</v>
      </c>
      <c r="O53" s="68" t="inlineStr">
        <is>
          <t>C1=2: a recomendação é explícita e clara — "minha indicação é de que a BagHub deve ser implantada no Centro Histórico adotando o modelo de armários inteligentes" — mas está na última frase da pag. 5 de 5, e a introdução ainda anuncia "ao final recomendaremos", ou seja, o leitor precisa chegar ao fim. Sem número na frase. C2=1: texto corrido sem capa, sem rodapé, sem numeração de página e sem uma única tabela; os dados aparecem como listas "Dados:" e "Cálculos:" embutidas no texto, e o bloco de dados da Estação Central quebra no meio da pag. 1 para a 2. É formato de rascunho. C3=1: teste operacional — os títulos são Introdução, Desenvolvimento, 1. Estação central, 2. Centro histórico, 3. Arena, 4. Noite Alta, Conclusão; a recomendação não aparece em nenhum, e as quatro seções de bairro são paralelas e independentes, nenhuma puxa a seguinte. C4=1: formatação improvisada mas legível — fonte única, porém nenhum recurso visual, nenhuma numeração, nenhum cabeçalho.</t>
        </is>
      </c>
      <c r="P53" s="41" t="n">
        <v>0</v>
      </c>
      <c r="Q53" s="41" t="n">
        <v>2</v>
      </c>
      <c r="R53" s="41" t="n">
        <v>0</v>
      </c>
      <c r="S53" s="41" t="n">
        <v>1</v>
      </c>
      <c r="T53" s="68" t="inlineStr">
        <is>
          <t>R1=0: a recomendação contraria os próprios números. Ele declara na pag. 4 que "a principal métrica será a margem bruta" e, dentro do Centro Histórico, escolhe armários (85,7%) em vez de parceiros (90,7%), que também é o de maior resultado absoluto (R$ 24,50M contra R$ 23,15M). Ou seja, escolheu a pior opção pela própria métrica que declarou, e justifica com argumentos qualitativos (operação 24h, escalabilidade, inovação) sem reconhecer que está sacrificando R$ 1,35M por ano. Além disso a métrica escolhida contraria a prioridade declarada no case, que é rentabilidade anual. R2=2: ele elimina bairros por escrito e com critério, mas a comparação não se sustenta — descarta a Estação Central alegando "alta complexidade operacional" quando ele mesmo escreveu "complexidade operacional moderada" na pag. 1, e afirma que a Arena tem margem abaixo de 80% "tanto no modelo de armários quanto de pontos parceiros" quando parceiros dá 83,0%. Na escolha do modelo calcula a diferença de R$ 1.350.000 (5% da receita) e a descarta como "não tão alta" sem ponderar o trade-off. R3=0: o pedido ficou incompleto — o enunciado pede riscos e próximos passos de forma qualitativa na tarefa 04 e não há nenhuma das duas coisas no documento. R4=1: lê as margens do Centro Histórico corretamente, mas erra o driver — atribui o custo alto da Estação Central à complexidade (que é moderada) quando a causa é ter 2.400 posições, e usa a utilização de 54% como se fosse sinal de qualidade do bairro ("isso confirma nossa escolha"), leitura que o próprio case adverte contra.</t>
        </is>
      </c>
      <c r="U53" s="41" t="n">
        <v>2</v>
      </c>
      <c r="V53" s="41" t="n">
        <v>1</v>
      </c>
      <c r="W53" s="41" t="n">
        <v>0</v>
      </c>
      <c r="X53" s="41" t="n">
        <v>1</v>
      </c>
      <c r="Y53" s="41" t="n">
        <v>0</v>
      </c>
      <c r="Z53" s="41" t="n">
        <v>1</v>
      </c>
      <c r="AA53" s="68" t="inlineStr">
        <is>
          <t>A1=2: sete dos oito resultados conferem (Estação 36M/25,08M/27,84M, Centro 27M/23,15M/24,5M, Noite Alta 30M/18,57M/19,2M). A receita tem memória visível (24.000 x 50 x 30), mas os custos aparecem só como totais — em nenhum lugar do documento há a decomposição em equipamento, operação e bancos, então o teto de A1 é 2 por memória de cálculo ausente. A2=1: identificou a lógica correta do custo na pag. 1 (somatório das despesas por posição x posições) mas não fechou o número dos bancos — na Arena usou 22,5 bancos em vez de arredondar para 23, chegando a custo de R$ 4.095.000 contra R$ 4.130.000 e resultado de R$ 13.905.000 contra R$ 13.870.000. O erro de R$ 35.000 cai dentro da tolerância de ±2% por ser pequeno, mas o método contraria instrução explícita do Anexo E; um 2º avaliador pode defender 2 em vez de 1 justamente porque o valor ficou na tolerância. A3=0: não fez — não há projeção, plano de expansão, fasemento nem próximos passos. A4=1: o mais próximo de alternativa é o argumento de que os armários têm "maior potencial de crescimento e maior escalabilidade, além de ser um negócio inovador", que serviria para qualquer empresa e não cita nada que só exista neste case. A5=0: não fez — nenhum risco e nenhum próximo passo, embora o enunciado peça explicitamente. A6=1: o case não traz erro plantado. Ele não descontou as transações pela utilização, então passou pelo ponto certo, mas não nomeou nada — e de fato usou a utilização de forma equivocada na conclusão.</t>
        </is>
      </c>
      <c r="AB53" s="41" t="n">
        <v>0</v>
      </c>
      <c r="AC53" s="41" t="n">
        <v>1</v>
      </c>
      <c r="AD53" s="41" t="n">
        <v>0</v>
      </c>
      <c r="AE53" s="41" t="n">
        <v>0</v>
      </c>
      <c r="AF53" s="41" t="n"/>
      <c r="AG53" s="41" t="n"/>
      <c r="AH53" s="68" t="inlineStr">
        <is>
          <t>V1 e V2 em branco: notas da etapa de vídeo não vieram com a pasta e a pasta é anônima, sem nome no arquivo, então não dá para transcrever sem o mapa número-candidato. E1=0, sem planilha. E3=0, sem vídeo de entrega. Os dois itens não foram pedidos no enunciado e recomendo neutralizar para todos. E4=0: nenhum gráfico e nenhuma tabela no documento inteiro — este zero é de mérito, o material existe e não atende ao descritor.</t>
        </is>
      </c>
      <c r="AI53" s="68" t="inlineStr">
        <is>
          <t>O problema desta entrega não é a conta, é a decisão. Sete dos oito cenários estão certos e a receita tem memória visível, mas a conclusão anda para o lado oposto dos números. Ele declara que a métrica principal é a margem bruta e então, dentro do bairro que escolheu, prefere armários a 85,7% em vez de parceiros a 90,7% — que também rende R$ 1,35M mais por ano. Escolheu a pior opção pela régua que ele mesmo definiu, e a régua já contrariava a prioridade declarada no case, que é rentabilidade anual, não margem. Some a isso duas contradições factuais: a Estação Central é descartada por "alta complexidade" na pag. 4 depois de ele escrever "complexidade moderada" na pag. 1, e a Arena é descartada por margem abaixo de 80% quando parceiros dá 83,0%. O único erro de cálculo é a Arena com 22,5 bancos em vez de 23, que por ser pequeno caiu na tolerância. Faltam riscos e próximos passos, que o enunciado pede na tarefa 04, e não há uma tabela ou gráfico em cinco páginas de texto corrido. Na entrevista eu faria duas perguntas diretas, e são as mesmas que revelam se ele enxerga o problema: você disse que a métrica principal é a margem bruta, então por que escolheu armários a 85,7% e não parceiros a 90,7% no mesmo bairro? E a Estação Central tem complexidade moderada na pag. 1 e alta na pag. 4 — qual das duas? Nota 2,97 com V1 e V2 em branco; considerando só o que dá para avaliar, 3,30.
INDÍCIO DE IA (advisory, não afeta nota): Baixo. O padrão de erros aponta para autoria própria sem assistência. A contradição interna entre pag. 1 e pag. 4 sobre a complexidade da Estação Central é o tipo de inconsistência de quem escreveu em sessões diferentes sem reler. O registro oscila de primeira pessoa do plural ("iremos analisar", "apresentaremos") para primeira do singular na última frase ("minha indicação"). Deixou de arredondar os bancos da Arena, apesar de a instrução estar escrita no Anexo E — IA tende a seguir instrução explícita. E a ausência total de tabela, numeração e estrutura é o oposto da over-estruturação típica de texto gerado. A recomendação que contraria a própria métrica é falha de raciocínio, não artefato de geração. Pergunta de propriedade para a entrevista: por que armários a 85,7% e não parceiros a 90,7% no Centro Histórico?
[IDENTIFICAÇÃO] Sem nome no arquivo — pasta permanece anônima.</t>
        </is>
      </c>
    </row>
    <row r="54" ht="14.25" customHeight="1" s="60">
      <c r="B54" s="0" t="inlineStr">
        <is>
          <t>05</t>
        </is>
      </c>
      <c r="C54" s="0" t="inlineStr">
        <is>
          <t>Candidato 05 — pasta entregas-candidatos/05 (case BagHub 2026.2)</t>
        </is>
      </c>
      <c r="D54" s="0" t="inlineStr">
        <is>
          <t>Avaliador 1</t>
        </is>
      </c>
      <c r="E54" s="33">
        <f>IF(COUNT(K54:AG54)=0,"",ROUND((F54+G54+H54+I54+J54)/10,2))</f>
        <v/>
      </c>
      <c r="F54" s="34">
        <f>IF(COUNT(K54:AG54)=0,"",(K54*10+L54*8+M54*7+N54*5)/3)</f>
        <v/>
      </c>
      <c r="G54" s="34">
        <f>IF(COUNT(K54:AG54)=0,"",(P54*8+Q54*7+R54*5+S54*5)/3)</f>
        <v/>
      </c>
      <c r="H54" s="34">
        <f>IF(COUNT(K54:AG54)=0,"",(U54*6+V54*6+W54*4+X54*3+Y54*3+Z54*3)/3)</f>
        <v/>
      </c>
      <c r="I54" s="34">
        <f>IF(COUNT(K54:AG54)=0,"",AB54*3+AC54*2+AD54*2+AE54*1)</f>
        <v/>
      </c>
      <c r="J54" s="34">
        <f>IF(COUNT(K54:AG54)=0,"",(AF54*5+AG54*5)/3)</f>
        <v/>
      </c>
      <c r="K54" s="41" t="n">
        <v>2</v>
      </c>
      <c r="L54" s="41" t="n">
        <v>2</v>
      </c>
      <c r="M54" s="41" t="n">
        <v>2</v>
      </c>
      <c r="N54" s="41" t="n">
        <v>2</v>
      </c>
      <c r="O54" s="68" t="inlineStr">
        <is>
          <t>C1=2: o slide 2 é só "DECISÃO — Centro Histórico — Ponto Parceiro" com a justificativa "mitigação de risco e eficiência do capital investido" — está nos dois primeiros slides e é uma frase, mas sem nenhum número na frase, e o descritor de 3 exige o número que a sustenta. Um 2º avaliador pode defender 3 pela clareza e posição; registro a divergência. C2=2: deck fechado com capa, seções nomeadas e nome do autor, mas com pontas soltas — o bairro "Noite Alta" aparece como "Alta Noite" em todas as tabelas, há os typos "tursita" (slide 15) e "esturura" (slide 15), a tabela do slide 5 tem coluna desalinhada e falta a observação do Centro Histórico. C3=2: a recomendação aparece nos títulos (slides 2 e 13) e a sequência fecha, mas há dois saltos — os slides 3 e 4 são o Anexo A e B do próprio case colados sem adaptação e nunca referenciados em nenhum argumento, e os slides 7 a 10 repetem um bairro por slide o que o slide 11 já consolida inteiro. C4=2: template próprio consistente, exceto exatamente 2 slides fora do padrão (3 e 4, que trazem a identidade visual vermelha do CCU do material original).</t>
        </is>
      </c>
      <c r="P54" s="41" t="n">
        <v>2</v>
      </c>
      <c r="Q54" s="41" t="n">
        <v>2</v>
      </c>
      <c r="R54" s="41" t="n">
        <v>2</v>
      </c>
      <c r="S54" s="41" t="n">
        <v>2</v>
      </c>
      <c r="T54" s="68" t="inlineStr">
        <is>
          <t>R1=2: cita as duas partes mas o número é decorativo, e nesse caso ele até joga contra — a escolha é Centro Histórico com parceiros a R$ 24,50M quando a Estação Central com parceiros dá R$ 27,84M. Ele reconhece isso por escrito no slide 13 ("menor custo inicial seguido do 2° maior lucro anual") e sustenta a decisão na razão de negócio (baixa complexidade, demanda turística sem sazonalidade, eficiência de capital). Tapando o argumento, o número sozinho não sustenta a escolha. Não é contradição, é um desvio declarado da prioridade do case, então não é 0. R2=2: calcula os oito cenários (slide 11) e compara os dois modelos, mas não justifica em lugar nenhum o descarte da Estação Central, que é o descarte que importa neste case — R$ 3,34M a mais de lucro e o bairro nunca é nomeado como rejeitado. R3=2: o breakeven do slide 12 é análise não pedida, aritmeticamente correta nos quatro bairros e ligada à decisão, porque é o lastro quantitativo da "eficiência do capital investido" que ele alega. O que impede o 3 é a premissa: o cálculo trata os R$ 70.000 por banco como investimento só do 1º ano, quando o Anexo E diz que todos os valores são anuais, e essa reinterpretação não é declarada em nenhum slide (ela aparece só à mão, anotada como "1º ano", na foto 33(3)). R4=2: compara densidade, complexidade e utilização entre os quatro bairros (slide 5) e tira conclusão, mas não explica a causa de nada — não diz por que a utilização do Centro Histórico é maior nem por que a razão posições/transações varia entre bairros.</t>
        </is>
      </c>
      <c r="U54" s="41" t="n">
        <v>3</v>
      </c>
      <c r="V54" s="41" t="n">
        <v>3</v>
      </c>
      <c r="W54" s="41" t="n">
        <v>2</v>
      </c>
      <c r="X54" s="41" t="n">
        <v>3</v>
      </c>
      <c r="Y54" s="41" t="n">
        <v>1</v>
      </c>
      <c r="Z54" s="41" t="n">
        <v>1</v>
      </c>
      <c r="AA54" s="68" t="inlineStr">
        <is>
          <t>A1=3: os oito resultados dos slides 7 a 11 conferem integralmente com o meu recálculo (25,08M/27,84M, 23,15M/24,5M, 13,87M/14,94M, 18,57M/19,2M). Memória de cálculo visível em dois lugares: as fórmulas no slide 6 e as nove fotos do caderno, onde a conta de Noite Alta está feita passo a passo à mão (1800÷40=45 bancos, AI 1º ano 11,43M, receita 30M, lucro 18,57M, PP 10,8M, lucro 19,2M) e tudo fecha. A2=3: bancos 60/25/23/45 corretos, incluindo a Arena com 23 (o caderno mostra a divisão à mão). Ressalva para o 2º avaliador: a fórmula genérica do slide 6 — [(Manutenção×40)+(Operação×40)+70.000]×Bancos — daria R$ 4.186.000 na Arena porque assume 920 posições, e não os R$ 4.130.000 que ele corretamente reporta na tabela usando 900; a tabela está certa e a fórmula publicada tem falha no caso não divisível. A3=2: o slide 14 traz um rollout concreto dos quatro bairros com modelo atribuído a cada um, o que é mais que narrativo, mas sem nenhum número e sem ponte entre períodos; e a atribuição de armários aos bairros 2 a 4 contraria a própria tabela dele (parceiros ganham nos quatro) sem nenhuma explicação no slide, embora seja coerente com o breakeven do slide 12. O case não declara meta numérica, então a comparação com a meta não é testável. A4=3: os armários nas fases 2 a 4 são o caminho alternativo e o breakeven quantifica exatamente quando ele passa a valer (2a11m na Estação, 4a5m no Centro, 3a na Arena, 1a3m em Noite Alta). A5=1: não há seção de riscos. O que existe são razões pelas quais a escolha dele é segura ("mitigação de risco", "menor risco operacional", "reduzindo risco de sazonalidade") e o slide 15 lista quatro pontos que são todos upside. Sazonalidade e risco operacional aparecem como dimensões genéricas de risco, nunca como riscos da recomendação dele, e não há mitigação nem prazo. O enunciado pede riscos na tarefa 04. A6=1: o case não traz erro plantado e ele não descontou transações pela utilização, então passou pelo ponto certo sem nomear. Vale registrar que a anotação "1º ano" no caderno mostra que ele questionou o enquadramento anual do custo do banco — é o engajamento mais crítico com os dados que vi no conjunto, mas ficou fora do entregável.</t>
        </is>
      </c>
      <c r="AB54" s="41" t="n">
        <v>0</v>
      </c>
      <c r="AC54" s="41" t="n">
        <v>1</v>
      </c>
      <c r="AD54" s="41" t="n">
        <v>0</v>
      </c>
      <c r="AE54" s="41" t="n">
        <v>2</v>
      </c>
      <c r="AF54" s="41" t="n"/>
      <c r="AG54" s="41" t="n"/>
      <c r="AH54" s="68" t="inlineStr">
        <is>
          <t>V1 e V2 em branco: notas da etapa de vídeo não vieram com a pasta; o nome está na capa (Eduardo Alves Henrique), então dá para transcrever das linhas 13 e 35. E1=0 pela letra do item, que pede planilha: não há .xlsx. ATENÇÃO para a diretoria — ele entregou memória de cálculo de fato, em 9 fotos de caderno com a aritmética feita à mão, o que é mais do que a maioria entregou. Se o comitê contar qualquer artefato de memória de cálculo e não só planilha, este item vira 1. Como recomendo neutralizar E1 para todos, o efeito se anula. E3=0, sem vídeo de entrega.</t>
        </is>
      </c>
      <c r="AI54" s="68" t="inlineStr">
        <is>
          <t>Entrega de conta impecável com decisão deliberadamente contra o número, e isso é o que a torna interessante de corrigir. Os oito cenários fecham todos, inclusive o arredondamento da Arena, e a memória de cálculo vem em nove fotos de caderno onde dá para acompanhar a aritmética linha por linha. Ele escolhe o Centro Histórico com parceiros, que é o 2º maior lucro, e reconhece isso por escrito — a escolha se apoia em baixa complexidade, demanda turística sem sazonalidade e eficiência de capital. É um desvio declarado da prioridade do case, não uma contradição, e ele traz lastro para isso: o breakeven do slide 12 calcula em quanto tempo os armários se pagariam contra os parceiros, e os quatro números estão aritmeticamente certos. O problema é a premissa por baixo desse breakeven. Ele trata os R$ 70.000 por banco como investimento de primeiro ano, mas o Anexo E diz que todos os valores são anuais, e essa reinterpretação não aparece em nenhum slide — está só anotada à mão como "1º ano" na foto do caderno. Ou seja, a análise mais sofisticada da entrega roda sobre uma premissa que contraria o material e que o leitor do deck não tem como saber que existe. Duas outras lacunas pesam: não há riscos em lugar nenhum, só razões pelas quais a escolha é segura, e o descarte da Estação Central nunca é justificado, apesar de serem R$ 3,34M a mais. No acabamento, o bairro Noite Alta virou "Alta Noite" em todas as tabelas e dois slides são o anexo do próprio case colado. Na entrevista eu faria duas perguntas, e a segunda é a boa: por que o breakeven trata o banco como investimento se o Anexo E diz que é custo anual? E por que, no rollout do slide 14, os bairros 2 a 4 usam armários se a sua própria tabela mostra parceiros ganhando nos quatro? Quem entendeu o próprio breakeven conecta as duas respostas na hora. Nota 6,03 com V1 e V2 em branco; considerando só o que dá para avaliar, 6,70.
INDÍCIO DE IA (advisory, não afeta nota): Baixo. As nove fotos de caderno são a evidência de propriedade mais forte do conjunto. Elas mostram o processo, não o resultado: a estrutura do case transcrita à mão, a tabela de custos copiada, a derivação da fórmula por banco e a conta de Noite Alta feita passo a passo, com os valores batendo com o deck. A anotação "1º ano" em cima do termo de R$ 70.000 documenta uma decisão de modelagem deliberada, do tipo que não sai de saída genérica. Os typos ("tursita", "esturura"), o nome do bairro trocado em todas as tabelas e a fórmula do slide 6 que não fecha com a própria Arena são descuidos humanos. Pergunta de propriedade para a entrevista: por que o banco entrou como investimento de 1º ano no breakeven se o Anexo E diz que é custo anual?
[IDENTIFICAÇÃO] Nome na capa: Eduardo Alves Henrique. V1/V2 nas linhas 13 (victor 2/0) e 35 (Proc 2/1).</t>
        </is>
      </c>
    </row>
    <row r="55" ht="14.25" customHeight="1" s="60">
      <c r="B55" s="0" t="inlineStr">
        <is>
          <t>06</t>
        </is>
      </c>
      <c r="C55" s="0" t="inlineStr">
        <is>
          <t>Candidato 06 — pasta entregas-candidatos/06 (case BagHub 2026.2)</t>
        </is>
      </c>
      <c r="D55" s="0" t="inlineStr">
        <is>
          <t>Avaliador 1</t>
        </is>
      </c>
      <c r="E55" s="33">
        <f>IF(COUNT(K55:AG55)=0,"",ROUND((F55+G55+H55+I55+J55)/10,2))</f>
        <v/>
      </c>
      <c r="F55" s="34">
        <f>IF(COUNT(K55:AG55)=0,"",(K55*10+L55*8+M55*7+N55*5)/3)</f>
        <v/>
      </c>
      <c r="G55" s="34">
        <f>IF(COUNT(K55:AG55)=0,"",(P55*8+Q55*7+R55*5+S55*5)/3)</f>
        <v/>
      </c>
      <c r="H55" s="34">
        <f>IF(COUNT(K55:AG55)=0,"",(U55*6+V55*6+W55*4+X55*3+Y55*3+Z55*3)/3)</f>
        <v/>
      </c>
      <c r="I55" s="34">
        <f>IF(COUNT(K55:AG55)=0,"",AB55*3+AC55*2+AD55*2+AE55*1)</f>
        <v/>
      </c>
      <c r="J55" s="34">
        <f>IF(COUNT(K55:AG55)=0,"",(AF55*5+AG55*5)/3)</f>
        <v/>
      </c>
      <c r="K55" s="41" t="n">
        <v>3</v>
      </c>
      <c r="L55" s="41" t="n">
        <v>2</v>
      </c>
      <c r="M55" s="41" t="n">
        <v>3</v>
      </c>
      <c r="N55" s="41" t="n">
        <v>3</v>
      </c>
      <c r="O55" s="68" t="inlineStr">
        <is>
          <t>C1=3: slide 2, uma linha — "ESTAÇÃO CENTRAL + PONTOS PARCEIROS / Maior resultado operacional absoluto com economia de modelo robusta" — com R$ 27,84 mi/ano no próprio slide. C2=2: o deck é de nível cliente, com capa, marcadores de seção e rodapé nos 10 slides, e a aba Resumo da planilha declara rastreabilidade de todos os números. Duas pontas soltas impedem o 3: o arquivo foi entregue como "Apresentacao_BagHub_Enrico hhh.pptx" e a numeração interna das seções está trocada, com o slide 7 (Sensibilidade) marcado 07 e o slide 8 (Portfólio) marcado 06. C3=3: a recomendação está no título do slide 2 e o arco fecha lendo só os títulos — recomendação, atratividade, quantificação, sensibilidade, portfólio, riscos, piloto — sem obrigar o leitor a voltar. C4=3: template único de fonte, cor e alinhamento nos 10 slides, gráficos no mesmo padrão, nenhum slide com parágrafo corrido.</t>
        </is>
      </c>
      <c r="P55" s="41" t="n">
        <v>3</v>
      </c>
      <c r="Q55" s="41" t="n">
        <v>3</v>
      </c>
      <c r="R55" s="41" t="n">
        <v>3</v>
      </c>
      <c r="S55" s="41" t="n">
        <v>3</v>
      </c>
      <c r="T55" s="68" t="inlineStr">
        <is>
          <t>R1=3: slide 2 traz três pilares amarrados — caixa de R$ 27,84 mi "maximiza recursos para financiar a expansão", demanda de 24 mil tx/sem "menos sazonal e ancorada nos terminais" e economia de modelo de R$ 2,76 mi "permanece ampla na sensibilidade". Tapando o número, a tese de estabilidade de demanda e financiamento da expansão continua; tapando o argumento, R$ 27,84 mi continua sendo o máximo dos oito. R2=3: o slide 8 sequencia os quatro bairros com papel explícito (LANÇAR, ESCALAR, TESTAR, OPORTUNÍSTICO), cada um com resultado, R$/posição, margem, complexidade e os prós e contras por escrito; trata a tensão do Centro Histórico de frente, reconhecendo maior resultado por posição e menor complexidade como razões para ser o segundo e não o primeiro. O slide 6 mostra por que parceiros ganham com a reconciliação (R$ 4,20 mi de banco evitado menos R$ 1,44 mi de operação a mais = R$ 2,76 mi líquidos). R3=3: é o melhor R3 do conjunto. O slide 7 responde uma pergunta que ninguém fez — quanto o custo do banco teria de cair para os armários empatarem — com a fórmula publicada e os quatro valores corretos (R$ 24 mil na Estação, R$ 16 mil no Centro, R$ 23,5 mil na Arena, R$ 56 mil em Noite Alta). Mais importante: ele percebeu que o case não modela custo de coordenação, calculou exatamente quanto de overhead apagaria a vantagem dos parceiros (R$ 1,15 mil por posição por ano na Estação) e transformou isso em KPI de risco no slide 9 e em decision gate no slide 10. Isso converte a resposta estática em condicional e fortalece a recomendação. R4=3: slide 5 dá a causa e a consequência — "Estação gera volume; Centro usa melhor cada posição" — e usa essa leitura para atribuir papéis estratégicos diferentes no slide 8, além de explicar no slide 6 a causa de os parceiros ganharem.</t>
        </is>
      </c>
      <c r="U55" s="41" t="n">
        <v>3</v>
      </c>
      <c r="V55" s="41" t="n">
        <v>3</v>
      </c>
      <c r="W55" s="41" t="n">
        <v>3</v>
      </c>
      <c r="X55" s="41" t="n">
        <v>3</v>
      </c>
      <c r="Y55" s="41" t="n">
        <v>3</v>
      </c>
      <c r="Z55" s="41" t="n">
        <v>1</v>
      </c>
      <c r="AA55" s="68" t="inlineStr">
        <is>
          <t>A1=3: os oito resultados conferem com o meu recálculo. Memória de cálculo é a mais completa do conjunto: planilha de 5 abas com fórmulas vivas, receita em dois passos (tx/ano depois receita), custos decompostos em equipamento, operação e bancos, e a aba Resumo afirmando rastreabilidade. A2=3: bancos por ROUNDUP dando 60/25/23/45, Arena correta com 23, e a operação por complexidade resolvida por IF encadeado lendo a aba Dados. Tem ainda uma coluna de reconciliação (Z = bancos evitados menos operação adicional) que confere de forma independente a economia de cada bairro — conferência que ele montou para checar o próprio modelo. A3=3: o slide 8 sequencia os quatro bairros com números que batem com a planilha e o slide 10 traz piloto em quatro estágios com quatro decision gates quantificados; o case não declara meta numérica, então essa parte do descritor não é testável, mas a ponte com o próprio modelo existe e fecha. A4=3: a alternativa dos armários está quantificada com precisão pelo break-even do banco, e ele nota que Noite Alta precisa de só 20% de redução — ou seja, é onde o modelo alternativo está mais perto de virar. A5=3: cinco riscos no slide 9, todos específicos da combinação Estação Central mais parceiros (cadeia de custódia num modelo terceirizado, ruptura de capacidade no pico, overhead de coordenação, dependência do terminal, horário dos parceiros), cada um com mitigação e com KPI ou gatilho mensurável, e priorizados em Alta e Média. Não há prazo em dias, mas o gatilho por KPI é no mínimo tão exigente quanto prazo; registro para o 2º avaliador que quiser cobrar data. A6=1: o case não traz erro plantado e ele não descontou transações pela utilização. Vale registrar que foi o único a apontar o que falta no material — "custos de gestão não estão considerados e podem reduzir a vantagem" — e a dimensionar essa lacuna, que é o engajamento crítico mais próximo do que o item A6 pretende medir.</t>
        </is>
      </c>
      <c r="AB55" s="41" t="n">
        <v>1</v>
      </c>
      <c r="AC55" s="41" t="n">
        <v>1</v>
      </c>
      <c r="AD55" s="41" t="n">
        <v>0</v>
      </c>
      <c r="AE55" s="41" t="n">
        <v>3</v>
      </c>
      <c r="AF55" s="41" t="n"/>
      <c r="AG55" s="41" t="n"/>
      <c r="AH55" s="68" t="inlineStr">
        <is>
          <t>V1 e V2 em branco: notas da etapa de vídeo não vieram com a pasta; o nome está no arquivo (Enrico), então dá para transcrever das linhas 12 e 34. E1=1, planilha real com fórmulas vivas em 5 abas. E3=0, sem vídeo de entrega — item que o enunciado não pediu.</t>
        </is>
      </c>
      <c r="AI55" s="68" t="inlineStr">
        <is>
          <t>Tecnicamente a entrega mais completa do conjunto, e o que a separa não é a conta, é o que ele faz depois dela. Os oito cenários fecham e a planilha é um modelo de verdade, com ROUNDUP, IF de complexidade, referências entre abas e uma coluna de reconciliação que ele montou para conferir a própria economia. Em cima disso ele faz duas coisas que ninguém mais fez. Primeiro, calcula o break-even do custo do banco nos quatro bairros e publica a fórmula — R$ 24 mil na Estação, R$ 16 mil no Centro, R$ 23,5 mil na Arena e R$ 56 mil em Noite Alta — o que mostra que Noite Alta é o único bairro onde os armários estão perto de ganhar, precisando de apenas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iria direto no que prova propriedade: o break-even da Arena deu R$ 23.478, um número não redondo — de onde vem o 23 no denominador? E se o overhead real der R$ 1,4 mil por posição em vez de R$ 1,15 mil, o que acontece com a sua recomendação? Quem montou o modelo responde as duas em três minutos. Nota 8,33 com V1 e V2 em branco; considerando só o que dá para avaliar, 9,26.
INDÍCIO DE IA (advisory, não afeta nota): Baixo. Foi a leitura mais difícil do conjunto, porque o acabamento é alto e o vocabulário é bem de consultoria (headroom, decision gates, sequenciamento), o que costuma acender alerta. Mas os indícios de propriedade são fortes e específicos. A planilha tem uma coluna de reconciliação que cruza a economia por dois caminhos independentes — ninguém constrói autoconferência num modelo que não montou. O break-even da Arena saiu R$ 23.478,26, valor não redondo porque o denominador é o teto de 900/40, e ele não arredondou para embelezar. E o número R$ 1,15 mil por posição aparece encadeado em três artefatos diferentes: sai da planilha como headroom, reaparece no slide 9 como KPI de risco e no slide 10 como gate do piloto — esse tipo de encadeamento entre artefatos é difícil de fabricar. Somam-se descuidos humanos: o "hhh" no nome do arquivo e a numeração de seção trocada entre os slides 7 e 8. Por fim, ele aponta o que está ausente do material, e não só o que está presente, o que é o oposto da tendência de aceitar o input como completo. Pergunta de propriedade para a entrevista: de onde vem o 23 no denominador do break-even da Arena, e o que acontece se o overhead real for R$ 1,4 mil por posição?
[IDENTIFICAÇÃO] Nome no arquivo: Enrico (Tristão e Mello de Oliveira). V1/V2 nas linhas 12 (victor 2/1) e 34 (Ferro 2/1).</t>
        </is>
      </c>
    </row>
    <row r="56" ht="14.25" customHeight="1" s="60">
      <c r="B56" s="0" t="inlineStr">
        <is>
          <t>07</t>
        </is>
      </c>
      <c r="C56" s="0" t="inlineStr">
        <is>
          <t>Candidato 07 — pasta entregas-candidatos/07 (case BagHub 2026.2)</t>
        </is>
      </c>
      <c r="D56" s="0" t="inlineStr">
        <is>
          <t>Avaliador 1</t>
        </is>
      </c>
      <c r="E56" s="33">
        <f>IF(COUNT(K56:AG56)=0,"",ROUND((F56+G56+H56+I56+J56)/10,2))</f>
        <v/>
      </c>
      <c r="F56" s="34">
        <f>IF(COUNT(K56:AG56)=0,"",(K56*10+L56*8+M56*7+N56*5)/3)</f>
        <v/>
      </c>
      <c r="G56" s="34">
        <f>IF(COUNT(K56:AG56)=0,"",(P56*8+Q56*7+R56*5+S56*5)/3)</f>
        <v/>
      </c>
      <c r="H56" s="34">
        <f>IF(COUNT(K56:AG56)=0,"",(U56*6+V56*6+W56*4+X56*3+Y56*3+Z56*3)/3)</f>
        <v/>
      </c>
      <c r="I56" s="34">
        <f>IF(COUNT(K56:AG56)=0,"",AB56*3+AC56*2+AD56*2+AE56*1)</f>
        <v/>
      </c>
      <c r="J56" s="34">
        <f>IF(COUNT(K56:AG56)=0,"",(AF56*5+AG56*5)/3)</f>
        <v/>
      </c>
      <c r="K56" s="41" t="n">
        <v>3</v>
      </c>
      <c r="L56" s="41" t="n">
        <v>3</v>
      </c>
      <c r="M56" s="41" t="n">
        <v>3</v>
      </c>
      <c r="N56" s="41" t="n">
        <v>3</v>
      </c>
      <c r="O56" s="68" t="inlineStr">
        <is>
          <t>C1=3: slide 2, uma linha — "Lançar na Estação Central com pontos parceiros | R$ 27,84 mi de resultado operacional anual" — com o número no próprio título. C2=3: deck fechado com capa, rodapé numerado nos 10 slides, apêndice com o demonstrativo completo dos oito cenários e slide de encerramento; a planilha vem com legenda de cores documentando o modelo (azul = dado editável, verde = vínculo entre abas, preto = fórmula local). Enviaria ao cliente sem editar. C3=3: são action titles de verdade, frases completas que carregam a mensagem — "Pontos parceiros rendem mais nos quatro bairros: a economia com bancos supera o maior custo de operação", "A recomendação tem folga: a Estação suporta grande queda de demanda antes de perder atratividade". Lendo só os títulos a história fecha inteira. C4=3: template único, rodapé e numeração em todos os slides, tabelas no mesmo padrão.</t>
        </is>
      </c>
      <c r="P56" s="41" t="n">
        <v>3</v>
      </c>
      <c r="Q56" s="41" t="n">
        <v>3</v>
      </c>
      <c r="R56" s="41" t="n">
        <v>3</v>
      </c>
      <c r="S56" s="41" t="n">
        <v>3</v>
      </c>
      <c r="T56" s="68" t="inlineStr">
        <is>
          <t>R1=3: slide 2 amarra R$ 27,84 mi à razão de negócio e à prioridade declarada do case — "é o resultado que melhor sustenta a expansão, sendo prioridade declarada, apoiado em demanda diária recorrente de transporte, não dependente de eventos". Tapando o número, a tese de recorrência e financiamento da expansão fica; tapando o argumento, o 27,84 continua sendo o máximo. R2=3: o slide 6 ranqueia os quatro com a coluna "Por que nesta posição" e traz uma caixa dedicada à comparação Estação x Centro que nomeia o trade-off com números (+R$ 3,34 mi absolutos contra margem de 90,7% x 77,3% e resultado por posição de R$ 24,5 mil x R$ 11,6 mil) e conclui explicitamente por que o Centro é o passo seguinte e não o primeiro. R3=3: o slide 7 traz robustez em dois níveis e o segundo é a pergunta certa — não só os ~77% de queda de demanda até o resultado zerar, mas os ~9,3% de queda que já fariam a Estação perder a liderança para o Centro. Recalculei: receita teria de cair para R$ 32,66 mi, o que dá 9,28%, e confere. Medir a fragilidade do ranking, e não só a distância da falência, é análise que ninguém pediu e que sustenta diretamente a recomendação. R4=3: slide 5 explica a causa de os parceiros ganharem (o banco rateado a ~R$ 1.750 por posição supera a economia de operação), slide 4 explica que a média semanal esconde os picos que ditam a capacidade, e a aba Bairros registra que "utilização baixa não indica capacidade dispensável: as posições foram dimensionadas para os picos".</t>
        </is>
      </c>
      <c r="U56" s="41" t="n">
        <v>3</v>
      </c>
      <c r="V56" s="41" t="n">
        <v>3</v>
      </c>
      <c r="W56" s="41" t="n">
        <v>3</v>
      </c>
      <c r="X56" s="41" t="n">
        <v>3</v>
      </c>
      <c r="Y56" s="41" t="n">
        <v>3</v>
      </c>
      <c r="Z56" s="41" t="n">
        <v>1</v>
      </c>
      <c r="AA56" s="68" t="inlineStr">
        <is>
          <t>A1=3: os oito resultados conferem. Memória de cálculo completa e rastreável — receita em dois passos, custos decompostos em ESM, operação e bancos, tudo puxando da aba Premissas, mais o apêndice do slide 10 com o demonstrativo por componente. A2=3: bancos por ROUNDUP dando 60/25/23/45, Arena correta com 23, operação por complexidade via VLOOKUP. É o tratamento mais preciso do arredondamento no conjunto: ele modela "posições físicas disponíveis" (920 na Arena) e "posições adicionais por arredondamento" (20), documenta na aba Premissas que os custos por posição usam as posições necessárias mesmo com sobra física, e ainda valida por IF se a capacidade física atende à necessária, retornando OK ou REVER. A3=3: o slide 2 traz a sequência de expansão com os quatro resultados, o slide 8 os próximos passos, e a aba Bairros um próximo passo específico por bairro; todos os números batem com o modelo dele. O case não declara meta numérica, então essa parte do descritor não é testável. A4=3: propõe os armários 24h como alternativa em Noite Alta caso falte cobertura noturna de parceiros, e quantifica por que é justamente ali que a alternativa importa — a vantagem dos parceiros naquele bairro é de só R$ 630 mil, a menor dos quatro. A5=3: quatro riscos no slide 8, todos específicos do modelo de parceiros no bairro escolhido (horários compatíveis com as conexões, filas e simultaneidade nos picos, disponibilidade de comércios junto às âncoras, identificação e suporte noturno), cada um com próximo passo que o endereça, e um deles com prazo declarado — "testar a retirada nos horários críticos antes da abertura ao público". A6=1: o case não traz erro plantado. Ele foi o único a preencher a aba Premissas com 11 regras de interpretação e a antecipar por escrito as duas armadilhas — "não aplicar utilização" e "todos os custos informados são anuais, o custo dos bancos não é tratado como CAPEX" — resolvendo as duas corretamente. Nomeou as ambiguidades, mas inconsistência plantada não existe neste case.</t>
        </is>
      </c>
      <c r="AB56" s="41" t="n">
        <v>1</v>
      </c>
      <c r="AC56" s="41" t="n">
        <v>1</v>
      </c>
      <c r="AD56" s="41" t="n">
        <v>0</v>
      </c>
      <c r="AE56" s="41" t="n">
        <v>3</v>
      </c>
      <c r="AF56" s="41" t="n"/>
      <c r="AG56" s="41" t="n"/>
      <c r="AH56" s="68" t="inlineStr">
        <is>
          <t>V1 e V2 em branco e a pasta é anônima: os arquivos não trazem nome, então não dá para transcrever as notas de vídeo sem o mapa número-candidato. E1=1, planilha real de 4 abas com fórmulas vivas. E3=0, sem vídeo de entrega — item que o enunciado não pediu.</t>
        </is>
      </c>
      <c r="AI56" s="68" t="inlineStr">
        <is>
          <t>Maior nota do conjunto, e o que decide é disciplina de modelagem somada à pergunta certa de robustez. Os oito cenários fecham e a planilha tem infraestrutura de autoconferência: um bloco de Conferências com três checagens que têm de dar zero, mais um validador que responde OK ou REVER se a capacidade física não cobrir a necessária. Ele é o único que modela explicitamente a sobra do arredondamento — 23 bancos na Arena dão 920 posições físicas para 900 necessárias, e ele registra as 20 de sobra sem deixar isso contaminar o custo, que segue nas posições necessárias. E é o único que antecipou por escrito a armadilha em que a pasta 05 caiu: a aba Premissas diz, em letras claras, que todos os custos são anuais e que o banco não é CAPEX. O melhor da entrega, porém, é 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Vale um contraponto que eu levaria à entrevista: 9,3% de folga não é obviamente "risco baixo" como ele afirma no slide — é uma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perguntaria: por que a queda admissível até zerar (77,3%) é exatamente igual à sua margem operacional? Quem entendeu que todo custo do case é fixo responde na hora, e quem só preencheu a planilha travá. Nota 8,60 com V1 e V2 em branco; considerando só o que dá para avaliar, 9,56.
INDÍCIO DE IA (advisory, não afeta nota): Baixo. Indícios consistentes de autoria própria, e vêm da disciplina do modelo. A planilha tem um bloco de Conferências com três identidades que devem zerar e um validador condicional de capacidade — ninguém constrói autoauditoria num modelo que não montou. A aba Premissas documenta convenção de cores do próprio modelo e deixa uma nota de manutenção para quem for usá-lo depois ("as conclusões textuais descrevem a base original, revise-as se alterar os dados"), que é escrita para um leitor futuro, não para um avaliador. Ele marca sistematicamente o que não pode saber: "distâncias e tempos não foram informados", "hipótese a validar", "médias diárias usam 7 dias apenas como normalização, não representam picos". Esse hábito de rotular a própria inferência é o oposto de texto gerado, que tende a afirmar com confiança uniforme. E a pergunta dos 9,28% é derivada, não óbvia. Pergunta de propriedade para a entrevista: por que a queda admissível de demanda até zerar dá exatamente a sua margem operacional?
[IDENTIFICAÇÃO] Sem nome nos arquivos — pasta permanece anônima. Precisa do mapa número-candidato para trazer V1/V2.</t>
        </is>
      </c>
    </row>
    <row r="57" ht="14.25" customHeight="1" s="60">
      <c r="B57" s="0" t="inlineStr">
        <is>
          <t>08</t>
        </is>
      </c>
      <c r="C57" s="0" t="inlineStr">
        <is>
          <t>Candidato 08 — pasta entregas-candidatos/08 (case BagHub 2026.2)</t>
        </is>
      </c>
      <c r="D57" s="0" t="inlineStr">
        <is>
          <t>Avaliador 1</t>
        </is>
      </c>
      <c r="E57" s="33">
        <f>IF(COUNT(K57:AG57)=0,"",ROUND((F57+G57+H57+I57+J57)/10,2))</f>
        <v/>
      </c>
      <c r="F57" s="34">
        <f>IF(COUNT(K57:AG57)=0,"",(K57*10+L57*8+M57*7+N57*5)/3)</f>
        <v/>
      </c>
      <c r="G57" s="34">
        <f>IF(COUNT(K57:AG57)=0,"",(P57*8+Q57*7+R57*5+S57*5)/3)</f>
        <v/>
      </c>
      <c r="H57" s="34">
        <f>IF(COUNT(K57:AG57)=0,"",(U57*6+V57*6+W57*4+X57*3+Y57*3+Z57*3)/3)</f>
        <v/>
      </c>
      <c r="I57" s="34">
        <f>IF(COUNT(K57:AG57)=0,"",AB57*3+AC57*2+AD57*2+AE57*1)</f>
        <v/>
      </c>
      <c r="J57" s="34">
        <f>IF(COUNT(K57:AG57)=0,"",(AF57*5+AG57*5)/3)</f>
        <v/>
      </c>
      <c r="K57" s="41" t="n">
        <v>2</v>
      </c>
      <c r="L57" s="41" t="n">
        <v>2</v>
      </c>
      <c r="M57" s="41" t="n">
        <v>3</v>
      </c>
      <c r="N57" s="41" t="n">
        <v>3</v>
      </c>
      <c r="O57" s="68" t="inlineStr">
        <is>
          <t>C1=2: a recomendação é explícita e clara — "Lançar em Estação Central, modelo Pontos parceiros", com R$ 27,8M — mas aparece no slide 8 de 10, depois da metade; os slides 2 e 3 são contexto e metodologia, sem antecipar a resposta. C2=2: deck fechado, com capa, numeração nos 10 slides e slide de encerramento, mas três pontas soltas — o slide 4 traz a complexidade invertida (Centro Histórico como Alta e Noite Alta como Baixa, quando o Anexo B diz o contrário), o slide 9 remete a "detalhes completos no relatório escrito, disponível como material de apoio" e não existe relatório escrito na pasta, e há um arquivo pessoal sem relação com a entrega no meio dos anexos. C3=3: a recomendação aparece nos títulos ("Pontos parceiros vence nos 4 bairros", "Lançar em Estação Central") e o arco fecha na ordem — contexto, metodologia, comparação, demanda, rentabilidade, resultado, recomendação, riscos — sem obrigar o leitor a voltar. C4=3: template consistente, numeração em todos os slides, cards e gráficos no mesmo padrão.</t>
        </is>
      </c>
      <c r="P57" s="41" t="n">
        <v>3</v>
      </c>
      <c r="Q57" s="41" t="n">
        <v>3</v>
      </c>
      <c r="R57" s="41" t="n">
        <v>2</v>
      </c>
      <c r="S57" s="41" t="n">
        <v>3</v>
      </c>
      <c r="T57" s="68" t="inlineStr">
        <is>
          <t>R1=3: slide 8 amarra R$ 27,8M às razões de negócio (maior demanda absoluta com 24 mil tx/semana, complexidade apenas moderada mesmo com o maior volume) e trata a tensão de frente — "Centro Histórico tem margem maior (90,7%), mas resultado absoluto menor, bom candidato à 2ª onda". Tapando o número a tese de escala e complexidade controlada fica; tapando o argumento, 27,8M continua sendo o máximo. R2=3: ranqueia os quatro no slide 8 com resultado e margem, justifica por escrito por que o Centro é o segundo e não o primeiro, e no slide 7 justifica a escolha do modelo pela causa estrutural. R3=2: o slide 7 traz uma derivação própria não pedida — o banco de 40 posições equivale a R$ 1.750 por posição e isso supera a economia de operação dos armários — correta e diretamente ligada à decisão de modelo, mas que não altera a conclusão. Não há sensibilidade, break-even nem economia por posição. R4=3: explica a causa por trás do indicador e o que fazer com ela, que é exatamente o R$ 1.750 por posição do slide 7, derivação dela e não do case; no slide 5 lê a utilização baixa como concentração em picos, leitura coerente com a capacidade dimensionada para pico.</t>
        </is>
      </c>
      <c r="U57" s="41" t="n">
        <v>3</v>
      </c>
      <c r="V57" s="41" t="n">
        <v>3</v>
      </c>
      <c r="W57" s="41" t="n">
        <v>3</v>
      </c>
      <c r="X57" s="41" t="n">
        <v>3</v>
      </c>
      <c r="Y57" s="41" t="n">
        <v>2</v>
      </c>
      <c r="Z57" s="41" t="n">
        <v>1</v>
      </c>
      <c r="AA57" s="68" t="inlineStr">
        <is>
          <t>A1=3: os resultados conferem — 27,8M/24,5M/19,2M/14,9M com margens 77,3%/90,7%/64,0%/83,0%, todos corretos. A memória de cálculo está na imagem IMG_2424, manuscrita, com premissas, fórmulas gerais, a tabela do Anexo E transcrita e a conta desenvolvida bairro por bairro (Estação: 36.000.000 − 10.920.000 = 25.080.000; parceiros 8.160.000 → 27.840.000, margem 77,3%; Centro: 27.000.000 − 3.850.000 = 23.150.000; parceiros 2.500.000 → 24.500.000, margem 90,7%). A2=3: bancos corretos e com o arredondamento explicitado à mão — "2400:40 = 60", "1000:40 = 25" e "900:40 = 22,5 ≈ 23". Importante: na memória de cálculo ela usa "Operação (baixa)" para o Centro Histórico, ou seja, o valor correto; o erro do slide 4 é só de transcrição e não contaminou nenhuma conta. A3=3: o slide 8 traz a sequência de expansão com os quatro resultados batendo com o modelo dela, e o slide 9 sequencia (Centro Histórico como 2ª onda, reavaliar Arena e Noite Alta "após os primeiros meses"). O case não declara meta numérica, então essa parte do descritor não é testável. A4=3: Centro Histórico como alternativa de 2ª onda com impacto quantificado em R$ 24,5M e a margem de 90,7% nomeada como o motivo. A5=2: dois dos três riscos são específicos da recomendação dela (concentração em picos na Estação citando os 42%, dependência da qualidade dos parceiros "fora do controle direto da BagHub"); o terceiro, sazonalidade na Arena, não é risco da escolha dela. O slide apresenta riscos e próximos passos com uma seta sugerindo par a par, mas o conteúdo não corresponde — "negociar parcerias" não mitiga "concentração em picos" e "planejar Centro Histórico" não mitiga "dependência de parceiros". Riscos específicos sem mitigação que os endereça. A6=1: o case não traz erro plantado; a fórmula de receita na memória de cálculo está correta e ela não descontou transações pela utilização, mas não nomeou inconsistência nenhuma.</t>
        </is>
      </c>
      <c r="AB57" s="41" t="n">
        <v>0</v>
      </c>
      <c r="AC57" s="41" t="n">
        <v>1</v>
      </c>
      <c r="AD57" s="41" t="n">
        <v>0</v>
      </c>
      <c r="AE57" s="41" t="n">
        <v>2</v>
      </c>
      <c r="AF57" s="41" t="n"/>
      <c r="AG57" s="41" t="n"/>
      <c r="AH57" s="68" t="inlineStr">
        <is>
          <t>V1 e V2 em branco: notas da etapa de vídeo não vieram com a pasta; o nome está na capa (Gabrielle Cristofani do Rosario), então dá para transcrever das linhas 7 e 29. E1=0 pela letra do item, que pede planilha: não há .xlsx. Mesma ressalva da pasta 05 — ela entregou memória de cálculo de fato, manuscrita e completa, e se o comitê contar qualquer artefato de memória de cálculo este item vira 1. E3=0, sem vídeo de entrega.</t>
        </is>
      </c>
      <c r="AI57" s="68" t="inlineStr">
        <is>
          <t>Entrega sólida, com o mérito de a conta estar certa e a memória de cálculo ser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 a memória de cálculo usa os valores certos, então é erro de transcrição, mas está no slide que serve justamente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que pareia riscos com próximos passos que não os endereçam. Na entrevista eu faria duas perguntas: no slide 4 o Centro Histórico aparece como complexidade Alta e suas contas usam Baixa, qual é o certo? E, puxando o achado dela: a partir de que custo de banco os armários passariam a ganhar na Estação Central? A resposta é R$ 24.000, e sai direto do R$ 1.750 que ela mesma derivou. Nota 7,33 com V1 e V2 em branco; considerando só o que dá para avaliar, 8,15.
INDÍCIO DE IA (advisory, não afeta nota): Baixo. Indícios claros de autoria própria. A memória de cálculo manuscrita mostra o processo, não só o resultado, com as premissas anotadas, o Anexo E transcrito à mão e o arredondamento resolvido na frente do leitor ("900:40 = 22,5 ≈ 23"). O erro de complexidade do slide 4 convivendo com contas que usam o valor correto é a assinatura de erro humano de transcrição: uma saída gerada seria internamente consistente, certa ou errada nos dois lugares. A referência a um "relatório escrito" que não foi anexado, e um arquivo pessoal que entrou por engano na pasta, indicam upload apressado. Pergunta de propriedade para a entrevista: no slide 4 o Centro Histórico está como Alta e suas contas usam Baixa — qual é o certo?
[ALERTA] URGENTE — o arquivo IMG-20260918-WA0254.jpg não tem relação com o case: é a captura de tela de um comprovante de compra parcelada, com valores, datas de vencimento e dados financeiros pessoais. Foi anexado por engano. Recomendo remover do repositório antes de qualquer coisa, porque o repositório chegou a ficar público. Não avaliei esse arquivo e não reproduzi seu conteúdo.
[IDENTIFICAÇÃO] Nome na capa: Gabrielle Cristofani do Rosario. V1/V2 nas linhas 7 (victor 2/2) e 29 (Fred 3/2).</t>
        </is>
      </c>
    </row>
    <row r="58" ht="14.25" customHeight="1" s="60">
      <c r="B58" t="inlineStr">
        <is>
          <t>09</t>
        </is>
      </c>
      <c r="C58" t="inlineStr">
        <is>
          <t>Candidato 09 — pasta entregas-candidatos/09 (case BagHub 2026.2)</t>
        </is>
      </c>
      <c r="D58" t="inlineStr">
        <is>
          <t>Avaliador 1</t>
        </is>
      </c>
      <c r="E58" s="33">
        <f>IF(COUNT(K58:AG58)=0,"",ROUND((F58+G58+H58+I58+J58)/10,2))</f>
        <v/>
      </c>
      <c r="F58" s="34">
        <f>IF(COUNT(K58:AG58)=0,"",(K58*10+L58*8+M58*7+N58*5)/3)</f>
        <v/>
      </c>
      <c r="G58" s="34">
        <f>IF(COUNT(K58:AG58)=0,"",(P58*8+Q58*7+R58*5+S58*5)/3)</f>
        <v/>
      </c>
      <c r="H58" s="34">
        <f>IF(COUNT(K58:AG58)=0,"",(U58*6+V58*6+W58*4+X58*3+Y58*3+Z58*3)/3)</f>
        <v/>
      </c>
      <c r="I58" s="34">
        <f>IF(COUNT(K58:AG58)=0,"",AB58*3+AC58*2+AD58*2+AE58*1)</f>
        <v/>
      </c>
      <c r="J58" s="34">
        <f>IF(COUNT(K58:AG58)=0,"",(AF58*5+AG58*5)/3)</f>
        <v/>
      </c>
      <c r="K58" s="41" t="n">
        <v>3</v>
      </c>
      <c r="L58" s="41" t="n">
        <v>3</v>
      </c>
      <c r="M58" s="41" t="n">
        <v>3</v>
      </c>
      <c r="N58" s="41" t="n">
        <v>3</v>
      </c>
      <c r="O58" s="68" t="inlineStr">
        <is>
          <t>C1=3: a recomendação está na própria capa ("Centro Histórico com parceiros maximiza a rentabilidade do lançamento") e o slide 2 a repete com os números que a sustentam — score 4,66, margem 90,7%, R$ 24,5 mi. C2=3: deck fechado com capa, rodapé e numeração nos 10 slides, seções nomeadas, mais planilha que documenta o método do score. C3=3: são action titles de verdade e o arco fecha lendo só os títulos, incluindo o contra-argumento — "Centro lidera a margem no Ano 1, apesar de abrir mão de R$ 3,34 mi em resultado", "Estação Central + armários se destaca após o primeiro ano". C4=3: template único, numeração e gráficos no mesmo padrão nos 10 slides.</t>
        </is>
      </c>
      <c r="P58" s="41" t="n">
        <v>3</v>
      </c>
      <c r="Q58" s="41" t="n">
        <v>3</v>
      </c>
      <c r="R58" s="41" t="n">
        <v>2</v>
      </c>
      <c r="S58" s="41" t="n">
        <v>3</v>
      </c>
      <c r="T58" s="68" t="inlineStr">
        <is>
          <t>R1=3: o slide 2 amarra número e razão de negócio — score 4,66, margem 90,7%, 54% de utilização e complexidade baixa, com a tese de que "a operação gera caixa e aprendizado antes de uma expansão mais intensiva em capital". Ele declara abertamente o sacrifício no slide 4 e justifica no slide 6 por que margem pesa 35% e resultado 25%. Registro a leitura contestável: ele interpreta a "prioridade de rentabilidade anual" do case como margem, quando o complemento da frase ("que deverá sustentar a expansão") aponta para caixa absoluto — é leitura defensável em português e está declarada, mas um 2º avaliador pode cobrar. R2=3: é a comparação mais sistemática do conjunto — o score confronta as oito alternativas com pesos e método publicados, o slide 6 compara os dois modelos dentro do Centro em quatro indicadores, e o slide 8 mostra como o ranking muda no Ano 2. Descarta por escrito e com critério. R3=2: trouxe muita coisa não pedida e diretamente ligada à decisão — score multicritério normalizado (conferi a interpolação: Arena parceiros dá 1,31 na escala 1 a 5 e fecha), evolução Ano 2 a 5, e a constatação de que o ranking se inverte. Isso chega a mudar a estrutura da recomendação, que vira bifásica. O que impede o 3 é a premissa, igual à pasta 05: todo o Ano 2 em diante remove o custo do banco, tratando os R$ 70.000 como investimento inicial, quando o Anexo E diz que "os valores abaixo são anuais". A reinterpretação não é declarada em nenhum slide nem na planilha. R4=3: slide 9 dá causa e consequência ("o investimento inicial nos bancos não se repete a partir do segundo ano" e a Estação é a mais beneficiada porque exige 60 bancos), e o slide 10 traz uma leitura qualitativa própria e boa — na Estação parte da demanda é imediata, e o autosserviço 24h atende sem depender do horário de um parceiro.</t>
        </is>
      </c>
      <c r="U58" s="41" t="n">
        <v>3</v>
      </c>
      <c r="V58" s="41" t="n">
        <v>3</v>
      </c>
      <c r="W58" s="41" t="n">
        <v>2</v>
      </c>
      <c r="X58" s="41" t="n">
        <v>3</v>
      </c>
      <c r="Y58" s="41" t="n">
        <v>3</v>
      </c>
      <c r="Z58" s="41" t="n">
        <v>1</v>
      </c>
      <c r="AA58" s="68" t="inlineStr">
        <is>
          <t>A1=3: os oito resultados de Ano 1 conferem integralmente (25,08/23,15/13,87/18,57 e 27,84/24,50/14,94/19,20). Memória de cálculo completa na planilha, com fórmulas vivas decompondo equipamento, bancos e operação. A2=3: bancos 60/25/23/45 corretos. Detalhe relevante: na Arena ele fixou 23 à mão em vez de usar a fórmula B/C que daria 22,5 — ou seja, percebeu o arredondamento e corrigiu deliberadamente, enquanto os outros três bairros seguem por fórmula. A3=2: a ponte entre anos é estruturalmente a melhor do conjunto, com projeção acumulada de 5 anos e o ano de cruzamento calculado por bairro (1,92 ano na Estação, 3,38 no Centro, 1,98 na Arena, 0,25 em Noite Alta), e tudo bate com o modelo dele. Mas a ponte inteira depende de remover um custo que o case declara anual, então a projeção não é a grandeza do case — e os números de manchete (R$ 29,28 mi recorrentes, R$ 142,20 mi em cinco anos) não sobrevivem à premissa correta. O case não declara meta numérica, então a outra metade do descritor não é testável. A4=3: propõe os armários na Estação a partir do Ano 2 com impacto quantificado (R$ 29,28 mi recorrentes, +0,85 de score) e é alternativa que só existe neste case. A5=3: quatro riscos no slide 7, todos específicos do modelo de parceiros (horário limitado, experiência inconsistente, segurança dos itens, demanda de 18 mil ainda não validada), cada um com mitigação concreta (horário amplo e complementar, treinar/auditar/SLA, rastrear entrega e retirada, piloto ampliado por evidência), mais riscos próprios da Estação no slide 10; o roadmap de quatro estágios ancorado em Ano 1 e Ano 2 dá a dimensão temporal. A6=1: o case não traz erro plantado e ele não descontou transações pela utilização. Registro em separado, porque não cabe neste item: é a única pasta cuja metade da análise foi construída sobre a leitura equivocada de um dado explícito do material.</t>
        </is>
      </c>
      <c r="AB58" s="41" t="n">
        <v>1</v>
      </c>
      <c r="AC58" s="41" t="n">
        <v>1</v>
      </c>
      <c r="AD58" s="41" t="n">
        <v>0</v>
      </c>
      <c r="AE58" s="41" t="n">
        <v>3</v>
      </c>
      <c r="AF58" s="41" t="n"/>
      <c r="AG58" s="41" t="n"/>
      <c r="AH58" s="68" t="inlineStr">
        <is>
          <t>V1 e V2 em branco e a pasta é anônima: os arquivos não trazem nome, então não dá para transcrever as notas de vídeo sem o mapa número-candidato. E1=1, planilha real com fórmulas vivas. E3=0, sem vídeo de entrega.</t>
        </is>
      </c>
      <c r="AI58" s="68" t="inlineStr">
        <is>
          <t>Entrega de alto nível com um erro de leitura que atravessa metade dela, e as duas coisas precisam ser ditas juntas. O que está muito bom: o score multicritério é o método mais transparente do conjunto — pesos publicados, critério de normalização coerente (conferi a interpolação do resultado operacional e fecha), e as oito alternativas comparadas na mesma régua. Os action titles são exemplares, inclusive o do slide 4, que assume o contra-argumento em vez de esconder ("Centro lidera a margem, apesar de abrir mão de R$ 3,34 mi"). Os riscos são específicos e mitigados. E na Arena ele fixou 23 bancos à mão, contra a fórmula que daria 22,5, o que mostra que viu o arredondamento. O problema: a partir do slide 8, tudo se apoia em remover o custo do banco do Ano 2 em diante, como se os R$ 70.000 fossem investimento inicial. O Anexo E diz, em letras claras, que todos os valores são anuais. Sob a premissa correta, os armários nunca superam os parceiros em nenhum bairro, e aí caem o score de expansão, o R$ 29,28 mi recorrente, o R$ 142,20 mi de cinco anos e o roadmap bifásico inteiro — que é justamente a parte mais original da entrega. A pasta 05 cometeu o mesmo erro, mas confinado a um slide e anotado à mão como decisão consciente; aqui ele é a espinha dorsal e não está declarado em lugar nenhum. Vale registrar que a pasta 07 antecipou exatamente esse risco por escrito na aba de premissas. Segundo ponto, menor: ele lê a "prioridade de rentabilidade anual" como margem, quando o resto da frase no case ("que deverá sustentar a expansão") aponta para caixa absoluto. É leitura defensável e está declarada, mas é o que o faz escolher a 2ª melhor opção. Na entrevista eu faria uma pergunta só, e ela vale a etapa toda: o Anexo E diz que todos os custos são anuais, inclusive os R$ 70.000 por banco. Seu modelo remove esse custo a partir do Ano 2 — por quê, e o que acontece com a sua recomendação se ele for mesmo anual? Quem entendeu o próprio modelo reconhece na hora que o roadmap cai. Nota 8,30 com V1 e V2 em branco; considerando só o que dá para avaliar, 9,22.
INDÍCIO DE IA (advisory, não afeta nota): Baixo. Indícios de autoria própria. O mais claro é a Arena com 23 bancos digitados à mão enquanto os outros três bairros usam a fórmula de divisão — é alguém que rodou o modelo, viu 22,5 aparecer e corrigiu pontualmente, o que uma geração uniforme não faz. A planilha tem marcas de trabalho manual: células com "IDEM" como abreviação, "Noite alta" em minúscula na planilha contra "Noite Alta" no deck, e uma observação solta no canto explicando a convenção dos anos 2 a 5. A normalização do score é internamente consistente e foi conferida. E o erro central — tratar custo anual como investimento — é falha de interpretação de quem leu rápido e seguiu adiante, não artefato de geração; texto gerado tende a repetir a premissa do enunciado, não a contrariá-la. Pergunta de propriedade para a entrevista: por que o custo do banco desaparece a partir do Ano 2 se o Anexo E diz que é anual?
[IDENTIFICAÇÃO] Sem nome nos arquivos — pasta permanece anônima.</t>
        </is>
      </c>
    </row>
    <row r="59" ht="14.25" customHeight="1" s="60">
      <c r="B59" t="inlineStr">
        <is>
          <t>10</t>
        </is>
      </c>
      <c r="C59" t="inlineStr">
        <is>
          <t>Candidato 10 — pasta entregas-candidatos/10 (case BagHub 2026.2)</t>
        </is>
      </c>
      <c r="D59" t="inlineStr">
        <is>
          <t>Avaliador 1</t>
        </is>
      </c>
      <c r="E59" s="33">
        <f>IF(COUNT(K59:AG59)=0,"",ROUND((F59+G59+H59+I59+J59)/10,2))</f>
        <v/>
      </c>
      <c r="F59" s="34">
        <f>IF(COUNT(K59:AG59)=0,"",(K59*10+L59*8+M59*7+N59*5)/3)</f>
        <v/>
      </c>
      <c r="G59" s="34">
        <f>IF(COUNT(K59:AG59)=0,"",(P59*8+Q59*7+R59*5+S59*5)/3)</f>
        <v/>
      </c>
      <c r="H59" s="34">
        <f>IF(COUNT(K59:AG59)=0,"",(U59*6+V59*6+W59*4+X59*3+Y59*3+Z59*3)/3)</f>
        <v/>
      </c>
      <c r="I59" s="34">
        <f>IF(COUNT(K59:AG59)=0,"",AB59*3+AC59*2+AD59*2+AE59*1)</f>
        <v/>
      </c>
      <c r="J59" s="34">
        <f>IF(COUNT(K59:AG59)=0,"",(AF59*5+AG59*5)/3)</f>
        <v/>
      </c>
      <c r="K59" s="41" t="n">
        <v>2</v>
      </c>
      <c r="L59" s="41" t="n">
        <v>2</v>
      </c>
      <c r="M59" s="41" t="n">
        <v>1</v>
      </c>
      <c r="N59" s="41" t="n">
        <v>3</v>
      </c>
      <c r="O59" s="68" t="inlineStr">
        <is>
          <t>C1=2: a recomendação é explícita e clara ("Estação Central, em formato de armários inteligentes, com resultado operacional anual de R$ 25.080.000") mas está na seção 6 de 7; o sumário executivo da seção 1 anuncia que "a recomendação final ajusta o modelo por praça" sem dizer qual é, então o leitor precisa chegar ao fim. C2=2: o relatório final é de nível cliente — título, sete seções numeradas, nove tabelas e nota de procedência no fechamento. O que impede o 3 é ele ter entregue junto um arquivo chamado "(Relatório Rascunho).pdf" com anotações cruas separadas por linhas de "######"; o descritor de 3 exige nenhum rascunho visível, e o rascunho foi enviado. C3=1: teste operacional — os títulos são rótulos de seção ("4. Rentabilidade: comparação dos dois modelos", "6. Recomendação de lançamento") e a recomendação não aparece em nenhum deles. A sequência interna é lógica e a seção 7 é uma boa adição, o que torna este 1 contestável, mas o teste é objetivo. C4=3: hierarquia de títulos consistente, nove tabelas no mesmo padrão, nenhuma seção fora do padrão no documento final.</t>
        </is>
      </c>
      <c r="P59" s="41" t="n">
        <v>2</v>
      </c>
      <c r="Q59" s="41" t="n">
        <v>3</v>
      </c>
      <c r="R59" s="41" t="n">
        <v>2</v>
      </c>
      <c r="S59" s="41" t="n">
        <v>3</v>
      </c>
      <c r="T59" s="68" t="inlineStr">
        <is>
          <t>R1=2: cita as duas partes, mas o número é decorativo e nesse caso joga contra — ele escolhe armários na Estação a R$ 25,08M quando parceiros dão R$ 27,84M no mesmo bairro. O que sustenta a decisão é o argumento, e ele é bom e ancorado no Anexo D: os parceiros têm "horários variáveis" e a estação opera 24h, além do risco de superlotação do comércio local atrasar embarque e desembarque. Tapando o argumento, o número sozinho não sustenta a escolha. R2=3: calcula os dois modelos nos quatro bairros, apresenta a ordem puramente financeira, e então ajusta praça por praça com justificativa escrita para cada uma, descartando explicitamente a resposta financeira pura e dizendo por quê. Ponto fraco registrado: na Arena ele identifica os armários como solução para a dependência de suporte 24h em dias de evento e mesmo assim fica com parceiros, apoiado numa suposição que ele próprio marca como tal ("supõe-se que o comércio local já se anteciparia"). R3=2: a seção 7, "Custo da decisão", é a boa ideia da entrega — ele precifica o que está abdicando ao trocar rentabilidade máxima por mitigação de risco, R$ 3.390.000, e deixa o trade-off auditável em vez de escondido atrás de argumento qualitativo. O que impede o 3 é a agregação: ele soma os quatro bairros como se fossem lançados juntos (R$ 83,09M contra R$ 86,48M), quando o case pede um bairro prioritário e uma sequência de expansão. Restrito à decisão que ele de fato toma, na Estação, o valor abdicado é R$ 2,76M. R4=3: explica a causa por trás do indicador e o que fazer com ela, e a melhor passagem é Noite Alta — ele pega a "complexidade alta" do Anexo B e explicita o mecanismo concreto (confusão de itens, perda de comprovante de retirada, disputa sobre se o item saiu antes ou depois do estado alcoólico do cliente, má-fé do comerciante) e prescreve a troca de modelo. É raciocínio dele, não do case.</t>
        </is>
      </c>
      <c r="U59" s="41" t="n">
        <v>3</v>
      </c>
      <c r="V59" s="41" t="n">
        <v>3</v>
      </c>
      <c r="W59" s="41" t="n">
        <v>2</v>
      </c>
      <c r="X59" s="41" t="n">
        <v>3</v>
      </c>
      <c r="Y59" s="41" t="n">
        <v>2</v>
      </c>
      <c r="Z59" s="41" t="n">
        <v>1</v>
      </c>
      <c r="AA59" s="68" t="inlineStr">
        <is>
          <t>A1=3: os oito resultados conferem integralmente. A memória de cálculo é completa e visível nos dois arquivos, com as quatro tabelas de custo decompostas por categoria e a receita desenvolvida por semana e por ano. A2=3: bancos 60/25/23/45 corretos, e na Arena ele escreve "~23", sinalizando que percebeu o arredondamento de 22,5. Custo por complexidade correto nos dois modelos e nos quatro bairros. A3=2: a tabela 9 traz a ordem com modelo e resultado por bairro, então há número, mas não existe fasemento, cronograma nem ponte entre períodos — e não há seção de próximos passos em nenhum dos dois arquivos, embora a tarefa 04 do enunciado peça. O case não declara meta numérica, então a outra metade do descritor não é testável. A4=3: a recomendação inteira é a alternativa à resposta financeira pura, com impacto quantificado em R$ 3,39M, mais a alternativa de modelo por bairro com o resultado de cada uma. A5=2: os riscos da seção 5 são muito específicos e por praça, e têm mitigação estrutural — a mitigação é a própria troca para armários, que ele implementa na recomendação. Duas lacunas impedem o 3: os riscos listados são riscos da opção que ele descartou (parceiros), e ele nunca trata os riscos da escolha que fez (intensidade de capital, 60 bancos para instalar e manter, dependência tecnológica); e não há prazo nem próximos passos em lugar nenhum. A6=1: o case não traz erro plantado. Ele não descontou transações pela utilização e faz a leitura literal correta dos 54% como mais da metade das horas da semana, mas não nomeia inconsistência nenhuma.</t>
        </is>
      </c>
      <c r="AB59" s="41" t="n">
        <v>0</v>
      </c>
      <c r="AC59" s="41" t="n">
        <v>1</v>
      </c>
      <c r="AD59" s="41" t="n">
        <v>0</v>
      </c>
      <c r="AE59" s="41" t="n">
        <v>3</v>
      </c>
      <c r="AF59" s="41" t="n"/>
      <c r="AG59" s="41" t="n"/>
      <c r="AH59" s="68" t="inlineStr">
        <is>
          <t>V1 e V2 em branco e a pasta é anônima: os arquivos não trazem nome, então não dá para transcrever as notas de vídeo sem o mapa número-candidato. E1=0 pela letra do item: não há planilha, embora a memória de cálculo esteja detalhada nas tabelas do relatório. E3=0, sem vídeo de entrega.</t>
        </is>
      </c>
      <c r="AI59" s="68" t="inlineStr">
        <is>
          <t>A melhor ideia do conjunto está nesta entrega, e ela está na seção 7. Em vez de justificar uma escolha qualitativa com adjetivos, ele precifica: trocar parceiros por armários na Estação e em Noite Alta custa R$ 3.390.000 por ano, e está escrito. Isso transforma um julgamento em algo que a diretoria pode aceitar ou recusar com um número na mão, e é exatamente o que se espera de consultoria. O argumento por trás também é sólido e ancorado no material — o Anexo D diz que parceiros têm horários variáveis e que armários operam 24h, e uma estação com 110 mil embarques/dia não combina com horário de comércio. Em Noite Alta ele vai além do que o case dá e explicita por que a complexidade é alta: confusão de itens, perda de comprovante e disputa sobre custódia com cliente embriagado. Isso é raciocínio próprio. Dois reparos de peso. O primeiro é a agregação: ele soma os quatro bairros para chegar aos R$ 83,09M, mas o case pede um bairro prioritário e uma sequência, não quatro lançamentos simultâneos — restrita à decisão real, a abdicação é R$ 2,76M, não R$ 3,39M. A ideia está certa e a conta está na base errada. O segundo é que ele lista apenas os riscos da opção que descartou. Escolheu armários e não diz uma palavra sobre os riscos de armários — 60 bancos para instalar, capital imobilizado, dependência tecnológica. Falta também qualquer próximo passo, que a tarefa 04 pede explicitamente. E enviar o rascunho junto, com os separadores de "######", custou ponto de forma sem necessidade. Na entrevista eu faria as duas perguntas que fecham os buracos: se a decisão é só sobre a Estação, quanto você está abdicando de fato? E quais são os riscos de escolher armários, já que você só listou os de parceiros? Nota 6,57 com V1 e V2 em branco; considerando só o que dá para avaliar, 7,30.
INDÍCIO DE IA (advisory, não afeta nota): Baixo. Indícios fortes de autoria própria. O rascunho enviado junto é material de trabalho pessoal — anotações em caixa alta separadas por linhas de "######", com a estrutura do case transcrita e as contas sendo desenvolvidas; ninguém gera isso, e a progressão rascunho para relatório final deixa o processo de escrita visível. O raciocínio de Noite Alta é idiossincrático e coloquial ("malícia de próprios comerciantes", as duas perguntas entre aspas sobre o estado alcoólico do cliente) de um jeito que texto gerado raramente é. Ele marca a própria suposição na Arena com "supõe-se", em vez de afirmar. E a nota de procedência no fim ("nenhum dado adicional foi estimado ou incorporado") é uma afirmação deliberada de método. Pergunta de propriedade para a entrevista: restrita à Estação, quanto custa a sua escolha por armários?
[IDENTIFICAÇÃO] Sem nome nos arquivos — pasta permanece anônima.</t>
        </is>
      </c>
    </row>
    <row r="60" ht="14.25" customHeight="1" s="60">
      <c r="B60" t="inlineStr">
        <is>
          <t>11</t>
        </is>
      </c>
      <c r="C60" t="inlineStr">
        <is>
          <t>Candidato 11 — pasta entregas-candidatos/11 (case BagHub 2026.2)</t>
        </is>
      </c>
      <c r="D60" t="inlineStr">
        <is>
          <t>Avaliador 1</t>
        </is>
      </c>
      <c r="E60" s="33">
        <f>IF(COUNT(K60:AG60)=0,"",ROUND((F60+G60+H60+I60+J60)/10,2))</f>
        <v/>
      </c>
      <c r="F60" s="34">
        <f>IF(COUNT(K60:AG60)=0,"",(K60*10+L60*8+M60*7+N60*5)/3)</f>
        <v/>
      </c>
      <c r="G60" s="34">
        <f>IF(COUNT(K60:AG60)=0,"",(P60*8+Q60*7+R60*5+S60*5)/3)</f>
        <v/>
      </c>
      <c r="H60" s="34">
        <f>IF(COUNT(K60:AG60)=0,"",(U60*6+V60*6+W60*4+X60*3+Y60*3+Z60*3)/3)</f>
        <v/>
      </c>
      <c r="I60" s="34">
        <f>IF(COUNT(K60:AG60)=0,"",AB60*3+AC60*2+AD60*2+AE60*1)</f>
        <v/>
      </c>
      <c r="J60" s="34">
        <f>IF(COUNT(K60:AG60)=0,"",(AF60*5+AG60*5)/3)</f>
        <v/>
      </c>
      <c r="K60" s="41" t="n">
        <v>2</v>
      </c>
      <c r="L60" s="41" t="n">
        <v>2</v>
      </c>
      <c r="M60" s="41" t="n">
        <v>1</v>
      </c>
      <c r="N60" s="41" t="n">
        <v>1</v>
      </c>
      <c r="O60" s="68" t="inlineStr">
        <is>
          <t>C1=2: a recomendação é explícita, clara e com números quando chega, mas está no slide 11 de 13; a capa não a antecipa e os dez slides anteriores são análise. C2=2: deck estruturado e completo, com capa, tabelas de rentabilidade por bairro e slide de contato, mas com pontas soltas em volume — "Bag Huby" na capa, "Armários inteligententes" repetido nas quatro tabelas, "Central Histórico" e "calcúlos" no slide 5, a utilização de Noite Alta e Arena trocada no slide 3 (31% e 33%, quando é 33% e 31%) contradizendo o slide 12, "110 embarques diários" no slide 4 quando são 110 mil, e o texto de template "BACK TO AGENDA" esquecido no slide 4. C3=1: teste operacional — os títulos são rótulos e a recomendação não aparece em nenhum deles; além disso os slides 2 e 4 têm o título idêntico ("Comparação qualitativa dos Bairros") com o slide 3 no meio, o que obriga o leitor a voltar para entender o que mudou. C4=1: contagem de slides fora do padrão passa de dois — o slide 4 carrega texto de template, o slide 10 quebra os números no meio da célula ("R$23.150.00 0") e o slide 11 é um paredão de texto em duas colunas muito mais denso que o resto. As tabelas de rentabilidade (6 a 9) são limpas e uniformes, o que torna este 1 contestável.</t>
        </is>
      </c>
      <c r="P60" s="41" t="n">
        <v>3</v>
      </c>
      <c r="Q60" s="41" t="n">
        <v>3</v>
      </c>
      <c r="R60" s="41" t="n">
        <v>1</v>
      </c>
      <c r="S60" s="41" t="n">
        <v>2</v>
      </c>
      <c r="T60" s="68" t="inlineStr">
        <is>
          <t>R1=3: cita o número que sustenta a escolha dela (margem de 90,7%) e a razão de negócio (baixa complexidade, menor capacidade ociosa, demanda consistente), e as duas partes se apoiam. Mais importante, ela enfrenta o contra-argumento por escrito no slide 11: "embora o bairro Estação Central tenha o maior resultado operacional nos dois modelos, a baixa complexidade da região torna essa opção preferível". Não esconde que está escolhendo o segundo maior resultado. R2=3: o slide 10 ranqueia os quatro com os dois modelos lado a lado, o slide 11 separa a justificativa do bairro da justificativa do modelo, e o slide 12 justifica individualmente as posições 2, 3 e 4 com critério (margem, volatilidade, utilização, custo de operação). Descarta a Estação Central por escrito e com razão declarada. R3=1: entregou o pedido de forma essencialmente completa e correta, mas sem nada de fato além dele. O 2x2 de demanda estável x volátil do slide 2 é a única construção própria e fica subdesenvolvida, sem posicionamento visível dos bairros nos quadrantes. Não há sensibilidade, break-even, giro por posição nem economia por posição, e os próximos passos praticamente não existem — só um gesto no slide 12 sobre investir em Noite Alta "quando a operação já estiver madura". R4=2: compara a utilização entre os bairros e tira conclusão (a Arena fica ociosa a maior parte da semana por depender do calendário de eventos; Noite Alta é a mais custosa pelo custo de operação por posição mais alto). Mas a interpretação central — 54% de utilização como prova de "demanda consistente" — não é justificada causalmente e o próprio case adverte que a capacidade foi dimensionada para picos, então a utilização reflete tempo de permanência e concentração, não regularidade.</t>
        </is>
      </c>
      <c r="U60" s="41" t="n">
        <v>3</v>
      </c>
      <c r="V60" s="41" t="n">
        <v>3</v>
      </c>
      <c r="W60" s="41" t="n">
        <v>2</v>
      </c>
      <c r="X60" s="41" t="n">
        <v>3</v>
      </c>
      <c r="Y60" s="41" t="n">
        <v>2</v>
      </c>
      <c r="Z60" s="41" t="n">
        <v>1</v>
      </c>
      <c r="AA60" s="68" t="inlineStr">
        <is>
          <t>A1=3: os oito resultados conferem integralmente, com as margens todas corretas (69,7%/77,3%, 85,7%/90,7%, 61,9%/64,0%, 77,1%/83,0%). A memória de cálculo é boa e visível: o slide 5 traz as fórmulas e os slides 6 a 9 decompõem, bairro por bairro e modelo por modelo, equipamento, bancos, operação, custo total, resultado e margem. A2=3: os custos de banco estão todos corretos — R$ 4.200.000, R$ 1.750.000, R$ 1.610.000 e R$ 3.150.000 — e o valor da Arena só fecha com 23 bancos, então o arredondamento de 22,5 foi feito, ainda que ela não mostre a contagem de bancos explicitamente. Custo por complexidade correto nos oito cenários. A3=2: o slide 12 traz uma lógica de sequenciamento com número e papel para cada posição ("após priorizar o bairro mais eficiente, o segundo lançamento deve maximizar volume em resultado operacional para garantir a capacidade de expansão"), mas não há fasemento, cronograma nem ponte entre períodos. O case não declara meta numérica, então a outra metade do descritor não é testável. A4=3: a Estação Central entra como segundo lançamento com impacto quantificado em R$ 27.840.000 e papel definido, alternativa que só existe neste case. A5=2: os dois riscos do slide 11 são específicos da recomendação dela e do modelo que escolheu (dependência de terceiros, com qualidade e disponibilidade fora do controle direto da BagHub; padronização da experiência, porque parceiros têm horário variável contra o padrão 24h dos armários). Nenhum dos dois tem mitigação, e não há prazo nem próximos passos. Riscos específicos sem mitigação é exatamente o descritor de 2. A6=1: o case não traz erro plantado; a fórmula de receita do slide 5 está correta e ela não descontou transações pela utilização, mas não nomeia inconsistência nenhuma.</t>
        </is>
      </c>
      <c r="AB60" s="41" t="n">
        <v>0</v>
      </c>
      <c r="AC60" s="41" t="n">
        <v>1</v>
      </c>
      <c r="AD60" s="41" t="n">
        <v>0</v>
      </c>
      <c r="AE60" s="41" t="n">
        <v>2</v>
      </c>
      <c r="AF60" s="41" t="n"/>
      <c r="AG60" s="41" t="n"/>
      <c r="AH60" s="68" t="inlineStr">
        <is>
          <t>V1 e V2 em branco: notas da etapa de vídeo não vieram com a pasta; o nome está na capa e o e-mail no último slide (l304532@dac.unicamp.br), então dá para transcrever das linhas 14 e 36. E1=0, sem planilha. E3=0, sem vídeo de entrega.</t>
        </is>
      </c>
      <c r="AI60" s="68" t="inlineStr">
        <is>
          <t>A análise está certa e a comunicação é que derruba a nota, o que é uma pena porque os dois problemas são baratos de resolver. Os oito cenários fecham todos,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faria duas perguntas: na página 3 a Arena aparece com 33% de utilização e na 12 você diz que ela tem a mais baixa, 31% — qual é a certa? E você colocou a Arena (R$ 14,94M) à frente de Noite Alta (R$ 19,20M) no ranking; qual é o critério? A segunda ela deve responder bem, porque a lógica de margem e volatilidade está escrita. Nota 6,07 com V1 e V2 em branco; considerando só o que dá para avaliar, 6,74.
INDÍCIO DE IA (advisory, não afeta nota): Baixo. Indícios claros de autoria própria, todos vindos do padrão de erro. "Armários inteligententes" repetido igual nas quatro tabelas é copy-paste de um typo humano. "Bag Huby" na capa, "calcúlos" e "Operacao" sem acento, "Central Histórico" trocado. O texto de template "BACK TO AGENDA" esquecido no slide 4 indica deck montado sobre modelo e não revisado. E a utilização trocada no slide 3 convivendo com o valor correto no slide 12 é inconsistência interna de transcrição: saída gerada tende a ser ortograficamente limpa e coerente consigo mesma. Pergunta de propriedade para a entrevista: a utilização da Arena é 31% ou 33%, e por que ela vem antes de Noite Alta no ranking?
[IDENTIFICAÇÃO] Nome na capa e e-mail no último slide: Leandra Cunha de Souza (l304532@dac.unicamp.br). V1/V2 nas linhas 14 (victor 2/2) e 36 (Proc 2/2).</t>
        </is>
      </c>
    </row>
    <row r="61" ht="14.25" customHeight="1" s="60">
      <c r="E61" s="33">
        <f>IF(COUNT(K61:AG61)=0,"",ROUND((F61+G61+H61+I61+J61)/10,2))</f>
        <v/>
      </c>
      <c r="F61" s="34">
        <f>IF(COUNT(K61:AG61)=0,"",(K61*10+L61*8+M61*7+N61*5)/3)</f>
        <v/>
      </c>
      <c r="G61" s="34">
        <f>IF(COUNT(K61:AG61)=0,"",(P61*8+Q61*7+R61*5+S61*5)/3)</f>
        <v/>
      </c>
      <c r="H61" s="34">
        <f>IF(COUNT(K61:AG61)=0,"",(U61*6+V61*6+W61*4+X61*3+Y61*3+Z61*3)/3)</f>
        <v/>
      </c>
      <c r="I61" s="34">
        <f>IF(COUNT(K61:AG61)=0,"",AB61*3+AC61*2+AD61*2+AE61*1)</f>
        <v/>
      </c>
      <c r="J61" s="34">
        <f>IF(COUNT(K61:AG61)=0,"",(AF61*5+AG61*5)/3)</f>
        <v/>
      </c>
      <c r="K61" s="41" t="n"/>
      <c r="L61" s="41" t="n"/>
      <c r="M61" s="41" t="n"/>
      <c r="N61" s="41" t="n"/>
      <c r="P61" s="41" t="n"/>
      <c r="Q61" s="41" t="n"/>
      <c r="R61" s="41" t="n"/>
      <c r="S61" s="41" t="n"/>
      <c r="U61" s="41" t="n"/>
      <c r="V61" s="41" t="n"/>
      <c r="W61" s="41" t="n"/>
      <c r="X61" s="41" t="n"/>
      <c r="Y61" s="41" t="n"/>
      <c r="Z61" s="41" t="n"/>
      <c r="AB61" s="41" t="n"/>
      <c r="AC61" s="41" t="n"/>
      <c r="AD61" s="41" t="n"/>
      <c r="AE61" s="41" t="n"/>
      <c r="AF61" s="41" t="n"/>
      <c r="AG61" s="41" t="n"/>
    </row>
    <row r="62" ht="14.25" customHeight="1" s="60">
      <c r="E62" s="33">
        <f>IF(COUNT(K62:AG62)=0,"",ROUND((F62+G62+H62+I62+J62)/10,2))</f>
        <v/>
      </c>
      <c r="F62" s="34">
        <f>IF(COUNT(K62:AG62)=0,"",(K62*10+L62*8+M62*7+N62*5)/3)</f>
        <v/>
      </c>
      <c r="G62" s="34">
        <f>IF(COUNT(K62:AG62)=0,"",(P62*8+Q62*7+R62*5+S62*5)/3)</f>
        <v/>
      </c>
      <c r="H62" s="34">
        <f>IF(COUNT(K62:AG62)=0,"",(U62*6+V62*6+W62*4+X62*3+Y62*3+Z62*3)/3)</f>
        <v/>
      </c>
      <c r="I62" s="34">
        <f>IF(COUNT(K62:AG62)=0,"",AB62*3+AC62*2+AD62*2+AE62*1)</f>
        <v/>
      </c>
      <c r="J62" s="34">
        <f>IF(COUNT(K62:AG62)=0,"",(AF62*5+AG62*5)/3)</f>
        <v/>
      </c>
      <c r="K62" s="41" t="n"/>
      <c r="L62" s="41" t="n"/>
      <c r="M62" s="41" t="n"/>
      <c r="N62" s="41" t="n"/>
      <c r="P62" s="41" t="n"/>
      <c r="Q62" s="41" t="n"/>
      <c r="R62" s="41" t="n"/>
      <c r="S62" s="41" t="n"/>
      <c r="U62" s="41" t="n"/>
      <c r="V62" s="41" t="n"/>
      <c r="W62" s="41" t="n"/>
      <c r="X62" s="41" t="n"/>
      <c r="Y62" s="41" t="n"/>
      <c r="Z62" s="41" t="n"/>
      <c r="AB62" s="41" t="n"/>
      <c r="AC62" s="41" t="n"/>
      <c r="AD62" s="41" t="n"/>
      <c r="AE62" s="41" t="n"/>
      <c r="AF62" s="41" t="n"/>
      <c r="AG62" s="41" t="n"/>
    </row>
    <row r="63" ht="14.25" customHeight="1" s="60">
      <c r="E63" s="33">
        <f>IF(COUNT(K63:AG63)=0,"",ROUND((F63+G63+H63+I63+J63)/10,2))</f>
        <v/>
      </c>
      <c r="F63" s="34">
        <f>IF(COUNT(K63:AG63)=0,"",(K63*10+L63*8+M63*7+N63*5)/3)</f>
        <v/>
      </c>
      <c r="G63" s="34">
        <f>IF(COUNT(K63:AG63)=0,"",(P63*8+Q63*7+R63*5+S63*5)/3)</f>
        <v/>
      </c>
      <c r="H63" s="34">
        <f>IF(COUNT(K63:AG63)=0,"",(U63*6+V63*6+W63*4+X63*3+Y63*3+Z63*3)/3)</f>
        <v/>
      </c>
      <c r="I63" s="34">
        <f>IF(COUNT(K63:AG63)=0,"",AB63*3+AC63*2+AD63*2+AE63*1)</f>
        <v/>
      </c>
      <c r="J63" s="34">
        <f>IF(COUNT(K63:AG63)=0,"",(AF63*5+AG63*5)/3)</f>
        <v/>
      </c>
      <c r="K63" s="41" t="n"/>
      <c r="L63" s="41" t="n"/>
      <c r="M63" s="41" t="n"/>
      <c r="N63" s="41" t="n"/>
      <c r="P63" s="41" t="n"/>
      <c r="Q63" s="41" t="n"/>
      <c r="R63" s="41" t="n"/>
      <c r="S63" s="41" t="n"/>
      <c r="U63" s="41" t="n"/>
      <c r="V63" s="41" t="n"/>
      <c r="W63" s="41" t="n"/>
      <c r="X63" s="41" t="n"/>
      <c r="Y63" s="41" t="n"/>
      <c r="Z63" s="41" t="n"/>
      <c r="AB63" s="41" t="n"/>
      <c r="AC63" s="41" t="n"/>
      <c r="AD63" s="41" t="n"/>
      <c r="AE63" s="41" t="n"/>
      <c r="AF63" s="41" t="n"/>
      <c r="AG63" s="41" t="n"/>
    </row>
    <row r="64" ht="14.25" customHeight="1" s="60">
      <c r="E64" s="33">
        <f>IF(COUNT(K64:AG64)=0,"",ROUND((F64+G64+H64+I64+J64)/10,2))</f>
        <v/>
      </c>
      <c r="F64" s="34">
        <f>IF(COUNT(K64:AG64)=0,"",(K64*10+L64*8+M64*7+N64*5)/3)</f>
        <v/>
      </c>
      <c r="G64" s="34">
        <f>IF(COUNT(K64:AG64)=0,"",(P64*8+Q64*7+R64*5+S64*5)/3)</f>
        <v/>
      </c>
      <c r="H64" s="34">
        <f>IF(COUNT(K64:AG64)=0,"",(U64*6+V64*6+W64*4+X64*3+Y64*3+Z64*3)/3)</f>
        <v/>
      </c>
      <c r="I64" s="34">
        <f>IF(COUNT(K64:AG64)=0,"",AB64*3+AC64*2+AD64*2+AE64*1)</f>
        <v/>
      </c>
      <c r="J64" s="34">
        <f>IF(COUNT(K64:AG64)=0,"",(AF64*5+AG64*5)/3)</f>
        <v/>
      </c>
      <c r="K64" s="41" t="n"/>
      <c r="L64" s="41" t="n"/>
      <c r="M64" s="41" t="n"/>
      <c r="N64" s="41" t="n"/>
      <c r="P64" s="41" t="n"/>
      <c r="Q64" s="41" t="n"/>
      <c r="R64" s="41" t="n"/>
      <c r="S64" s="41" t="n"/>
      <c r="U64" s="41" t="n"/>
      <c r="V64" s="41" t="n"/>
      <c r="W64" s="41" t="n"/>
      <c r="X64" s="41" t="n"/>
      <c r="Y64" s="41" t="n"/>
      <c r="Z64" s="41" t="n"/>
      <c r="AB64" s="41" t="n"/>
      <c r="AC64" s="41" t="n"/>
      <c r="AD64" s="41" t="n"/>
      <c r="AE64" s="41" t="n"/>
      <c r="AF64" s="41" t="n"/>
      <c r="AG64" s="41" t="n"/>
    </row>
    <row r="65" ht="14.25" customHeight="1" s="60">
      <c r="E65" s="33">
        <f>IF(COUNT(K65:AG65)=0,"",ROUND((F65+G65+H65+I65+J65)/10,2))</f>
        <v/>
      </c>
      <c r="F65" s="34">
        <f>IF(COUNT(K65:AG65)=0,"",(K65*10+L65*8+M65*7+N65*5)/3)</f>
        <v/>
      </c>
      <c r="G65" s="34">
        <f>IF(COUNT(K65:AG65)=0,"",(P65*8+Q65*7+R65*5+S65*5)/3)</f>
        <v/>
      </c>
      <c r="H65" s="34">
        <f>IF(COUNT(K65:AG65)=0,"",(U65*6+V65*6+W65*4+X65*3+Y65*3+Z65*3)/3)</f>
        <v/>
      </c>
      <c r="I65" s="34">
        <f>IF(COUNT(K65:AG65)=0,"",AB65*3+AC65*2+AD65*2+AE65*1)</f>
        <v/>
      </c>
      <c r="J65" s="34">
        <f>IF(COUNT(K65:AG65)=0,"",(AF65*5+AG65*5)/3)</f>
        <v/>
      </c>
      <c r="K65" s="41" t="n"/>
      <c r="L65" s="41" t="n"/>
      <c r="M65" s="41" t="n"/>
      <c r="N65" s="41" t="n"/>
      <c r="P65" s="41" t="n"/>
      <c r="Q65" s="41" t="n"/>
      <c r="R65" s="41" t="n"/>
      <c r="S65" s="41" t="n"/>
      <c r="U65" s="41" t="n"/>
      <c r="V65" s="41" t="n"/>
      <c r="W65" s="41" t="n"/>
      <c r="X65" s="41" t="n"/>
      <c r="Y65" s="41" t="n"/>
      <c r="Z65" s="41" t="n"/>
      <c r="AB65" s="41" t="n"/>
      <c r="AC65" s="41" t="n"/>
      <c r="AD65" s="41" t="n"/>
      <c r="AE65" s="41" t="n"/>
      <c r="AF65" s="41" t="n"/>
      <c r="AG65" s="41" t="n"/>
    </row>
    <row r="66" ht="14.25" customHeight="1" s="60">
      <c r="E66" s="33">
        <f>IF(COUNT(K66:AG66)=0,"",ROUND((F66+G66+H66+I66+J66)/10,2))</f>
        <v/>
      </c>
      <c r="F66" s="34">
        <f>IF(COUNT(K66:AG66)=0,"",(K66*10+L66*8+M66*7+N66*5)/3)</f>
        <v/>
      </c>
      <c r="G66" s="34">
        <f>IF(COUNT(K66:AG66)=0,"",(P66*8+Q66*7+R66*5+S66*5)/3)</f>
        <v/>
      </c>
      <c r="H66" s="34">
        <f>IF(COUNT(K66:AG66)=0,"",(U66*6+V66*6+W66*4+X66*3+Y66*3+Z66*3)/3)</f>
        <v/>
      </c>
      <c r="I66" s="34">
        <f>IF(COUNT(K66:AG66)=0,"",AB66*3+AC66*2+AD66*2+AE66*1)</f>
        <v/>
      </c>
      <c r="J66" s="34">
        <f>IF(COUNT(K66:AG66)=0,"",(AF66*5+AG66*5)/3)</f>
        <v/>
      </c>
      <c r="K66" s="41" t="n"/>
      <c r="L66" s="41" t="n"/>
      <c r="M66" s="41" t="n"/>
      <c r="N66" s="41" t="n"/>
      <c r="P66" s="41" t="n"/>
      <c r="Q66" s="41" t="n"/>
      <c r="R66" s="41" t="n"/>
      <c r="S66" s="41" t="n"/>
      <c r="U66" s="41" t="n"/>
      <c r="V66" s="41" t="n"/>
      <c r="W66" s="41" t="n"/>
      <c r="X66" s="41" t="n"/>
      <c r="Y66" s="41" t="n"/>
      <c r="Z66" s="41" t="n"/>
      <c r="AB66" s="41" t="n"/>
      <c r="AC66" s="41" t="n"/>
      <c r="AD66" s="41" t="n"/>
      <c r="AE66" s="41" t="n"/>
      <c r="AF66" s="41" t="n"/>
      <c r="AG66" s="41" t="n"/>
    </row>
    <row r="67" ht="14.25" customHeight="1" s="60">
      <c r="E67" s="33">
        <f>IF(COUNT(K67:AG67)=0,"",ROUND((F67+G67+H67+I67+J67)/10,2))</f>
        <v/>
      </c>
      <c r="F67" s="34">
        <f>IF(COUNT(K67:AG67)=0,"",(K67*10+L67*8+M67*7+N67*5)/3)</f>
        <v/>
      </c>
      <c r="G67" s="34">
        <f>IF(COUNT(K67:AG67)=0,"",(P67*8+Q67*7+R67*5+S67*5)/3)</f>
        <v/>
      </c>
      <c r="H67" s="34">
        <f>IF(COUNT(K67:AG67)=0,"",(U67*6+V67*6+W67*4+X67*3+Y67*3+Z67*3)/3)</f>
        <v/>
      </c>
      <c r="I67" s="34">
        <f>IF(COUNT(K67:AG67)=0,"",AB67*3+AC67*2+AD67*2+AE67*1)</f>
        <v/>
      </c>
      <c r="J67" s="34">
        <f>IF(COUNT(K67:AG67)=0,"",(AF67*5+AG67*5)/3)</f>
        <v/>
      </c>
      <c r="K67" s="41" t="n"/>
      <c r="L67" s="41" t="n"/>
      <c r="M67" s="41" t="n"/>
      <c r="N67" s="41" t="n"/>
      <c r="P67" s="41" t="n"/>
      <c r="Q67" s="41" t="n"/>
      <c r="R67" s="41" t="n"/>
      <c r="S67" s="41" t="n"/>
      <c r="U67" s="41" t="n"/>
      <c r="V67" s="41" t="n"/>
      <c r="W67" s="41" t="n"/>
      <c r="X67" s="41" t="n"/>
      <c r="Y67" s="41" t="n"/>
      <c r="Z67" s="41" t="n"/>
      <c r="AB67" s="41" t="n"/>
      <c r="AC67" s="41" t="n"/>
      <c r="AD67" s="41" t="n"/>
      <c r="AE67" s="41" t="n"/>
      <c r="AF67" s="41" t="n"/>
      <c r="AG67" s="41" t="n"/>
    </row>
    <row r="68" ht="14.25" customHeight="1" s="60">
      <c r="E68" s="33">
        <f>IF(COUNT(K68:AG68)=0,"",ROUND((F68+G68+H68+I68+J68)/10,2))</f>
        <v/>
      </c>
      <c r="F68" s="34">
        <f>IF(COUNT(K68:AG68)=0,"",(K68*10+L68*8+M68*7+N68*5)/3)</f>
        <v/>
      </c>
      <c r="G68" s="34">
        <f>IF(COUNT(K68:AG68)=0,"",(P68*8+Q68*7+R68*5+S68*5)/3)</f>
        <v/>
      </c>
      <c r="H68" s="34">
        <f>IF(COUNT(K68:AG68)=0,"",(U68*6+V68*6+W68*4+X68*3+Y68*3+Z68*3)/3)</f>
        <v/>
      </c>
      <c r="I68" s="34">
        <f>IF(COUNT(K68:AG68)=0,"",AB68*3+AC68*2+AD68*2+AE68*1)</f>
        <v/>
      </c>
      <c r="J68" s="34">
        <f>IF(COUNT(K68:AG68)=0,"",(AF68*5+AG68*5)/3)</f>
        <v/>
      </c>
      <c r="K68" s="41" t="n"/>
      <c r="L68" s="41" t="n"/>
      <c r="M68" s="41" t="n"/>
      <c r="N68" s="41" t="n"/>
      <c r="P68" s="41" t="n"/>
      <c r="Q68" s="41" t="n"/>
      <c r="R68" s="41" t="n"/>
      <c r="S68" s="41" t="n"/>
      <c r="U68" s="41" t="n"/>
      <c r="V68" s="41" t="n"/>
      <c r="W68" s="41" t="n"/>
      <c r="X68" s="41" t="n"/>
      <c r="Y68" s="41" t="n"/>
      <c r="Z68" s="41" t="n"/>
      <c r="AB68" s="41" t="n"/>
      <c r="AC68" s="41" t="n"/>
      <c r="AD68" s="41" t="n"/>
      <c r="AE68" s="41" t="n"/>
      <c r="AF68" s="41" t="n"/>
      <c r="AG68" s="41" t="n"/>
    </row>
    <row r="69" ht="14.25" customHeight="1" s="60">
      <c r="E69" s="33">
        <f>IF(COUNT(K69:AG69)=0,"",ROUND((F69+G69+H69+I69+J69)/10,2))</f>
        <v/>
      </c>
      <c r="F69" s="34">
        <f>IF(COUNT(K69:AG69)=0,"",(K69*10+L69*8+M69*7+N69*5)/3)</f>
        <v/>
      </c>
      <c r="G69" s="34">
        <f>IF(COUNT(K69:AG69)=0,"",(P69*8+Q69*7+R69*5+S69*5)/3)</f>
        <v/>
      </c>
      <c r="H69" s="34">
        <f>IF(COUNT(K69:AG69)=0,"",(U69*6+V69*6+W69*4+X69*3+Y69*3+Z69*3)/3)</f>
        <v/>
      </c>
      <c r="I69" s="34">
        <f>IF(COUNT(K69:AG69)=0,"",AB69*3+AC69*2+AD69*2+AE69*1)</f>
        <v/>
      </c>
      <c r="J69" s="34">
        <f>IF(COUNT(K69:AG69)=0,"",(AF69*5+AG69*5)/3)</f>
        <v/>
      </c>
      <c r="K69" s="41" t="n"/>
      <c r="L69" s="41" t="n"/>
      <c r="M69" s="41" t="n"/>
      <c r="N69" s="41" t="n"/>
      <c r="P69" s="41" t="n"/>
      <c r="Q69" s="41" t="n"/>
      <c r="R69" s="41" t="n"/>
      <c r="S69" s="41" t="n"/>
      <c r="U69" s="41" t="n"/>
      <c r="V69" s="41" t="n"/>
      <c r="W69" s="41" t="n"/>
      <c r="X69" s="41" t="n"/>
      <c r="Y69" s="41" t="n"/>
      <c r="Z69" s="41" t="n"/>
      <c r="AB69" s="41" t="n"/>
      <c r="AC69" s="41" t="n"/>
      <c r="AD69" s="41" t="n"/>
      <c r="AE69" s="41" t="n"/>
      <c r="AF69" s="41" t="n"/>
      <c r="AG69" s="41" t="n"/>
    </row>
    <row r="70" ht="14.25" customHeight="1" s="60">
      <c r="E70" s="33">
        <f>IF(COUNT(K70:AG70)=0,"",ROUND((F70+G70+H70+I70+J70)/10,2))</f>
        <v/>
      </c>
      <c r="F70" s="34">
        <f>IF(COUNT(K70:AG70)=0,"",(K70*10+L70*8+M70*7+N70*5)/3)</f>
        <v/>
      </c>
      <c r="G70" s="34">
        <f>IF(COUNT(K70:AG70)=0,"",(P70*8+Q70*7+R70*5+S70*5)/3)</f>
        <v/>
      </c>
      <c r="H70" s="34">
        <f>IF(COUNT(K70:AG70)=0,"",(U70*6+V70*6+W70*4+X70*3+Y70*3+Z70*3)/3)</f>
        <v/>
      </c>
      <c r="I70" s="34">
        <f>IF(COUNT(K70:AG70)=0,"",AB70*3+AC70*2+AD70*2+AE70*1)</f>
        <v/>
      </c>
      <c r="J70" s="34">
        <f>IF(COUNT(K70:AG70)=0,"",(AF70*5+AG70*5)/3)</f>
        <v/>
      </c>
      <c r="K70" s="41" t="n"/>
      <c r="L70" s="41" t="n"/>
      <c r="M70" s="41" t="n"/>
      <c r="N70" s="41" t="n"/>
      <c r="P70" s="41" t="n"/>
      <c r="Q70" s="41" t="n"/>
      <c r="R70" s="41" t="n"/>
      <c r="S70" s="41" t="n"/>
      <c r="U70" s="41" t="n"/>
      <c r="V70" s="41" t="n"/>
      <c r="W70" s="41" t="n"/>
      <c r="X70" s="41" t="n"/>
      <c r="Y70" s="41" t="n"/>
      <c r="Z70" s="41" t="n"/>
      <c r="AB70" s="41" t="n"/>
      <c r="AC70" s="41" t="n"/>
      <c r="AD70" s="41" t="n"/>
      <c r="AE70" s="41" t="n"/>
      <c r="AF70" s="41" t="n"/>
      <c r="AG70" s="41" t="n"/>
    </row>
    <row r="71" ht="14.25" customHeight="1" s="60">
      <c r="E71" s="33">
        <f>IF(COUNT(K71:AG71)=0,"",ROUND((F71+G71+H71+I71+J71)/10,2))</f>
        <v/>
      </c>
      <c r="F71" s="34">
        <f>IF(COUNT(K71:AG71)=0,"",(K71*10+L71*8+M71*7+N71*5)/3)</f>
        <v/>
      </c>
      <c r="G71" s="34">
        <f>IF(COUNT(K71:AG71)=0,"",(P71*8+Q71*7+R71*5+S71*5)/3)</f>
        <v/>
      </c>
      <c r="H71" s="34">
        <f>IF(COUNT(K71:AG71)=0,"",(U71*6+V71*6+W71*4+X71*3+Y71*3+Z71*3)/3)</f>
        <v/>
      </c>
      <c r="I71" s="34">
        <f>IF(COUNT(K71:AG71)=0,"",AB71*3+AC71*2+AD71*2+AE71*1)</f>
        <v/>
      </c>
      <c r="J71" s="34">
        <f>IF(COUNT(K71:AG71)=0,"",(AF71*5+AG71*5)/3)</f>
        <v/>
      </c>
      <c r="K71" s="41" t="n"/>
      <c r="L71" s="41" t="n"/>
      <c r="M71" s="41" t="n"/>
      <c r="N71" s="41" t="n"/>
      <c r="P71" s="41" t="n"/>
      <c r="Q71" s="41" t="n"/>
      <c r="R71" s="41" t="n"/>
      <c r="S71" s="41" t="n"/>
      <c r="U71" s="41" t="n"/>
      <c r="V71" s="41" t="n"/>
      <c r="W71" s="41" t="n"/>
      <c r="X71" s="41" t="n"/>
      <c r="Y71" s="41" t="n"/>
      <c r="Z71" s="41" t="n"/>
      <c r="AB71" s="41" t="n"/>
      <c r="AC71" s="41" t="n"/>
      <c r="AD71" s="41" t="n"/>
      <c r="AE71" s="41" t="n"/>
      <c r="AF71" s="41" t="n"/>
      <c r="AG71" s="41" t="n"/>
    </row>
    <row r="72" ht="14.25" customHeight="1" s="60">
      <c r="E72" s="33">
        <f>IF(COUNT(K72:AG72)=0,"",ROUND((F72+G72+H72+I72+J72)/10,2))</f>
        <v/>
      </c>
      <c r="F72" s="34">
        <f>IF(COUNT(K72:AG72)=0,"",(K72*10+L72*8+M72*7+N72*5)/3)</f>
        <v/>
      </c>
      <c r="G72" s="34">
        <f>IF(COUNT(K72:AG72)=0,"",(P72*8+Q72*7+R72*5+S72*5)/3)</f>
        <v/>
      </c>
      <c r="H72" s="34">
        <f>IF(COUNT(K72:AG72)=0,"",(U72*6+V72*6+W72*4+X72*3+Y72*3+Z72*3)/3)</f>
        <v/>
      </c>
      <c r="I72" s="34">
        <f>IF(COUNT(K72:AG72)=0,"",AB72*3+AC72*2+AD72*2+AE72*1)</f>
        <v/>
      </c>
      <c r="J72" s="34">
        <f>IF(COUNT(K72:AG72)=0,"",(AF72*5+AG72*5)/3)</f>
        <v/>
      </c>
      <c r="K72" s="41" t="n"/>
      <c r="L72" s="41" t="n"/>
      <c r="M72" s="41" t="n"/>
      <c r="N72" s="41" t="n"/>
      <c r="P72" s="41" t="n"/>
      <c r="Q72" s="41" t="n"/>
      <c r="R72" s="41" t="n"/>
      <c r="S72" s="41" t="n"/>
      <c r="U72" s="41" t="n"/>
      <c r="V72" s="41" t="n"/>
      <c r="W72" s="41" t="n"/>
      <c r="X72" s="41" t="n"/>
      <c r="Y72" s="41" t="n"/>
      <c r="Z72" s="41" t="n"/>
      <c r="AB72" s="41" t="n"/>
      <c r="AC72" s="41" t="n"/>
      <c r="AD72" s="41" t="n"/>
      <c r="AE72" s="41" t="n"/>
      <c r="AF72" s="41" t="n"/>
      <c r="AG72" s="41" t="n"/>
    </row>
    <row r="73" ht="14.25" customHeight="1" s="60">
      <c r="E73" s="33">
        <f>IF(COUNT(K73:AG73)=0,"",ROUND((F73+G73+H73+I73+J73)/10,2))</f>
        <v/>
      </c>
      <c r="F73" s="34">
        <f>IF(COUNT(K73:AG73)=0,"",(K73*10+L73*8+M73*7+N73*5)/3)</f>
        <v/>
      </c>
      <c r="G73" s="34">
        <f>IF(COUNT(K73:AG73)=0,"",(P73*8+Q73*7+R73*5+S73*5)/3)</f>
        <v/>
      </c>
      <c r="H73" s="34">
        <f>IF(COUNT(K73:AG73)=0,"",(U73*6+V73*6+W73*4+X73*3+Y73*3+Z73*3)/3)</f>
        <v/>
      </c>
      <c r="I73" s="34">
        <f>IF(COUNT(K73:AG73)=0,"",AB73*3+AC73*2+AD73*2+AE73*1)</f>
        <v/>
      </c>
      <c r="J73" s="34">
        <f>IF(COUNT(K73:AG73)=0,"",(AF73*5+AG73*5)/3)</f>
        <v/>
      </c>
      <c r="K73" s="41" t="n"/>
      <c r="L73" s="41" t="n"/>
      <c r="M73" s="41" t="n"/>
      <c r="N73" s="41" t="n"/>
      <c r="P73" s="41" t="n"/>
      <c r="Q73" s="41" t="n"/>
      <c r="R73" s="41" t="n"/>
      <c r="S73" s="41" t="n"/>
      <c r="U73" s="41" t="n"/>
      <c r="V73" s="41" t="n"/>
      <c r="W73" s="41" t="n"/>
      <c r="X73" s="41" t="n"/>
      <c r="Y73" s="41" t="n"/>
      <c r="Z73" s="41" t="n"/>
      <c r="AB73" s="41" t="n"/>
      <c r="AC73" s="41" t="n"/>
      <c r="AD73" s="41" t="n"/>
      <c r="AE73" s="41" t="n"/>
      <c r="AF73" s="41" t="n"/>
      <c r="AG73" s="41" t="n"/>
    </row>
    <row r="74" ht="14.25" customHeight="1" s="60">
      <c r="E74" s="33">
        <f>IF(COUNT(K74:AG74)=0,"",ROUND((F74+G74+H74+I74+J74)/10,2))</f>
        <v/>
      </c>
      <c r="F74" s="34">
        <f>IF(COUNT(K74:AG74)=0,"",(K74*10+L74*8+M74*7+N74*5)/3)</f>
        <v/>
      </c>
      <c r="G74" s="34">
        <f>IF(COUNT(K74:AG74)=0,"",(P74*8+Q74*7+R74*5+S74*5)/3)</f>
        <v/>
      </c>
      <c r="H74" s="34">
        <f>IF(COUNT(K74:AG74)=0,"",(U74*6+V74*6+W74*4+X74*3+Y74*3+Z74*3)/3)</f>
        <v/>
      </c>
      <c r="I74" s="34">
        <f>IF(COUNT(K74:AG74)=0,"",AB74*3+AC74*2+AD74*2+AE74*1)</f>
        <v/>
      </c>
      <c r="J74" s="34">
        <f>IF(COUNT(K74:AG74)=0,"",(AF74*5+AG74*5)/3)</f>
        <v/>
      </c>
      <c r="K74" s="41" t="n"/>
      <c r="L74" s="41" t="n"/>
      <c r="M74" s="41" t="n"/>
      <c r="N74" s="41" t="n"/>
      <c r="P74" s="41" t="n"/>
      <c r="Q74" s="41" t="n"/>
      <c r="R74" s="41" t="n"/>
      <c r="S74" s="41" t="n"/>
      <c r="U74" s="41" t="n"/>
      <c r="V74" s="41" t="n"/>
      <c r="W74" s="41" t="n"/>
      <c r="X74" s="41" t="n"/>
      <c r="Y74" s="41" t="n"/>
      <c r="Z74" s="41" t="n"/>
      <c r="AB74" s="41" t="n"/>
      <c r="AC74" s="41" t="n"/>
      <c r="AD74" s="41" t="n"/>
      <c r="AE74" s="41" t="n"/>
      <c r="AF74" s="41" t="n"/>
      <c r="AG74" s="41" t="n"/>
    </row>
    <row r="75" ht="14.25" customHeight="1" s="60">
      <c r="E75" s="33">
        <f>IF(COUNT(K75:AG75)=0,"",ROUND((F75+G75+H75+I75+J75)/10,2))</f>
        <v/>
      </c>
      <c r="F75" s="34">
        <f>IF(COUNT(K75:AG75)=0,"",(K75*10+L75*8+M75*7+N75*5)/3)</f>
        <v/>
      </c>
      <c r="G75" s="34">
        <f>IF(COUNT(K75:AG75)=0,"",(P75*8+Q75*7+R75*5+S75*5)/3)</f>
        <v/>
      </c>
      <c r="H75" s="34">
        <f>IF(COUNT(K75:AG75)=0,"",(U75*6+V75*6+W75*4+X75*3+Y75*3+Z75*3)/3)</f>
        <v/>
      </c>
      <c r="I75" s="34">
        <f>IF(COUNT(K75:AG75)=0,"",AB75*3+AC75*2+AD75*2+AE75*1)</f>
        <v/>
      </c>
      <c r="J75" s="34">
        <f>IF(COUNT(K75:AG75)=0,"",(AF75*5+AG75*5)/3)</f>
        <v/>
      </c>
      <c r="K75" s="41" t="n"/>
      <c r="L75" s="41" t="n"/>
      <c r="M75" s="41" t="n"/>
      <c r="N75" s="41" t="n"/>
      <c r="P75" s="41" t="n"/>
      <c r="Q75" s="41" t="n"/>
      <c r="R75" s="41" t="n"/>
      <c r="S75" s="41" t="n"/>
      <c r="U75" s="41" t="n"/>
      <c r="V75" s="41" t="n"/>
      <c r="W75" s="41" t="n"/>
      <c r="X75" s="41" t="n"/>
      <c r="Y75" s="41" t="n"/>
      <c r="Z75" s="41" t="n"/>
      <c r="AB75" s="41" t="n"/>
      <c r="AC75" s="41" t="n"/>
      <c r="AD75" s="41" t="n"/>
      <c r="AE75" s="41" t="n"/>
      <c r="AF75" s="41" t="n"/>
      <c r="AG75" s="41" t="n"/>
    </row>
    <row r="76" ht="14.25" customHeight="1" s="60">
      <c r="E76" s="33">
        <f>IF(COUNT(K76:AG76)=0,"",ROUND((F76+G76+H76+I76+J76)/10,2))</f>
        <v/>
      </c>
      <c r="F76" s="34">
        <f>IF(COUNT(K76:AG76)=0,"",(K76*10+L76*8+M76*7+N76*5)/3)</f>
        <v/>
      </c>
      <c r="G76" s="34">
        <f>IF(COUNT(K76:AG76)=0,"",(P76*8+Q76*7+R76*5+S76*5)/3)</f>
        <v/>
      </c>
      <c r="H76" s="34">
        <f>IF(COUNT(K76:AG76)=0,"",(U76*6+V76*6+W76*4+X76*3+Y76*3+Z76*3)/3)</f>
        <v/>
      </c>
      <c r="I76" s="34">
        <f>IF(COUNT(K76:AG76)=0,"",AB76*3+AC76*2+AD76*2+AE76*1)</f>
        <v/>
      </c>
      <c r="J76" s="34">
        <f>IF(COUNT(K76:AG76)=0,"",(AF76*5+AG76*5)/3)</f>
        <v/>
      </c>
      <c r="K76" s="41" t="n"/>
      <c r="L76" s="41" t="n"/>
      <c r="M76" s="41" t="n"/>
      <c r="N76" s="41" t="n"/>
      <c r="P76" s="41" t="n"/>
      <c r="Q76" s="41" t="n"/>
      <c r="R76" s="41" t="n"/>
      <c r="S76" s="41" t="n"/>
      <c r="U76" s="41" t="n"/>
      <c r="V76" s="41" t="n"/>
      <c r="W76" s="41" t="n"/>
      <c r="X76" s="41" t="n"/>
      <c r="Y76" s="41" t="n"/>
      <c r="Z76" s="41" t="n"/>
      <c r="AB76" s="41" t="n"/>
      <c r="AC76" s="41" t="n"/>
      <c r="AD76" s="41" t="n"/>
      <c r="AE76" s="41" t="n"/>
      <c r="AF76" s="41" t="n"/>
      <c r="AG76" s="41" t="n"/>
    </row>
    <row r="77" ht="14.25" customHeight="1" s="60">
      <c r="E77" s="33">
        <f>IF(COUNT(K77:AG77)=0,"",ROUND((F77+G77+H77+I77+J77)/10,2))</f>
        <v/>
      </c>
      <c r="F77" s="34">
        <f>IF(COUNT(K77:AG77)=0,"",(K77*10+L77*8+M77*7+N77*5)/3)</f>
        <v/>
      </c>
      <c r="G77" s="34">
        <f>IF(COUNT(K77:AG77)=0,"",(P77*8+Q77*7+R77*5+S77*5)/3)</f>
        <v/>
      </c>
      <c r="H77" s="34">
        <f>IF(COUNT(K77:AG77)=0,"",(U77*6+V77*6+W77*4+X77*3+Y77*3+Z77*3)/3)</f>
        <v/>
      </c>
      <c r="I77" s="34">
        <f>IF(COUNT(K77:AG77)=0,"",AB77*3+AC77*2+AD77*2+AE77*1)</f>
        <v/>
      </c>
      <c r="J77" s="34">
        <f>IF(COUNT(K77:AG77)=0,"",(AF77*5+AG77*5)/3)</f>
        <v/>
      </c>
      <c r="K77" s="41" t="n"/>
      <c r="L77" s="41" t="n"/>
      <c r="M77" s="41" t="n"/>
      <c r="N77" s="41" t="n"/>
      <c r="P77" s="41" t="n"/>
      <c r="Q77" s="41" t="n"/>
      <c r="R77" s="41" t="n"/>
      <c r="S77" s="41" t="n"/>
      <c r="U77" s="41" t="n"/>
      <c r="V77" s="41" t="n"/>
      <c r="W77" s="41" t="n"/>
      <c r="X77" s="41" t="n"/>
      <c r="Y77" s="41" t="n"/>
      <c r="Z77" s="41" t="n"/>
      <c r="AB77" s="41" t="n"/>
      <c r="AC77" s="41" t="n"/>
      <c r="AD77" s="41" t="n"/>
      <c r="AE77" s="41" t="n"/>
      <c r="AF77" s="41" t="n"/>
      <c r="AG77" s="41" t="n"/>
    </row>
    <row r="78" ht="14.25" customHeight="1" s="60">
      <c r="E78" s="33">
        <f>IF(COUNT(K78:AG78)=0,"",ROUND((F78+G78+H78+I78+J78)/10,2))</f>
        <v/>
      </c>
      <c r="F78" s="34">
        <f>IF(COUNT(K78:AG78)=0,"",(K78*10+L78*8+M78*7+N78*5)/3)</f>
        <v/>
      </c>
      <c r="G78" s="34">
        <f>IF(COUNT(K78:AG78)=0,"",(P78*8+Q78*7+R78*5+S78*5)/3)</f>
        <v/>
      </c>
      <c r="H78" s="34">
        <f>IF(COUNT(K78:AG78)=0,"",(U78*6+V78*6+W78*4+X78*3+Y78*3+Z78*3)/3)</f>
        <v/>
      </c>
      <c r="I78" s="34">
        <f>IF(COUNT(K78:AG78)=0,"",AB78*3+AC78*2+AD78*2+AE78*1)</f>
        <v/>
      </c>
      <c r="J78" s="34">
        <f>IF(COUNT(K78:AG78)=0,"",(AF78*5+AG78*5)/3)</f>
        <v/>
      </c>
      <c r="K78" s="41" t="n"/>
      <c r="L78" s="41" t="n"/>
      <c r="M78" s="41" t="n"/>
      <c r="N78" s="41" t="n"/>
      <c r="P78" s="41" t="n"/>
      <c r="Q78" s="41" t="n"/>
      <c r="R78" s="41" t="n"/>
      <c r="S78" s="41" t="n"/>
      <c r="U78" s="41" t="n"/>
      <c r="V78" s="41" t="n"/>
      <c r="W78" s="41" t="n"/>
      <c r="X78" s="41" t="n"/>
      <c r="Y78" s="41" t="n"/>
      <c r="Z78" s="41" t="n"/>
      <c r="AB78" s="41" t="n"/>
      <c r="AC78" s="41" t="n"/>
      <c r="AD78" s="41" t="n"/>
      <c r="AE78" s="41" t="n"/>
      <c r="AF78" s="41" t="n"/>
      <c r="AG78" s="41" t="n"/>
    </row>
    <row r="79" ht="14.25" customHeight="1" s="60">
      <c r="E79" s="33">
        <f>IF(COUNT(K79:AG79)=0,"",ROUND((F79+G79+H79+I79+J79)/10,2))</f>
        <v/>
      </c>
      <c r="F79" s="34">
        <f>IF(COUNT(K79:AG79)=0,"",(K79*10+L79*8+M79*7+N79*5)/3)</f>
        <v/>
      </c>
      <c r="G79" s="34">
        <f>IF(COUNT(K79:AG79)=0,"",(P79*8+Q79*7+R79*5+S79*5)/3)</f>
        <v/>
      </c>
      <c r="H79" s="34">
        <f>IF(COUNT(K79:AG79)=0,"",(U79*6+V79*6+W79*4+X79*3+Y79*3+Z79*3)/3)</f>
        <v/>
      </c>
      <c r="I79" s="34">
        <f>IF(COUNT(K79:AG79)=0,"",AB79*3+AC79*2+AD79*2+AE79*1)</f>
        <v/>
      </c>
      <c r="J79" s="34">
        <f>IF(COUNT(K79:AG79)=0,"",(AF79*5+AG79*5)/3)</f>
        <v/>
      </c>
      <c r="K79" s="41" t="n"/>
      <c r="L79" s="41" t="n"/>
      <c r="M79" s="41" t="n"/>
      <c r="N79" s="41" t="n"/>
      <c r="P79" s="41" t="n"/>
      <c r="Q79" s="41" t="n"/>
      <c r="R79" s="41" t="n"/>
      <c r="S79" s="41" t="n"/>
      <c r="U79" s="41" t="n"/>
      <c r="V79" s="41" t="n"/>
      <c r="W79" s="41" t="n"/>
      <c r="X79" s="41" t="n"/>
      <c r="Y79" s="41" t="n"/>
      <c r="Z79" s="41" t="n"/>
      <c r="AB79" s="41" t="n"/>
      <c r="AC79" s="41" t="n"/>
      <c r="AD79" s="41" t="n"/>
      <c r="AE79" s="41" t="n"/>
      <c r="AF79" s="41" t="n"/>
      <c r="AG79" s="41" t="n"/>
    </row>
    <row r="80" ht="14.25" customHeight="1" s="60">
      <c r="E80" s="33">
        <f>IF(COUNT(K80:AG80)=0,"",ROUND((F80+G80+H80+I80+J80)/10,2))</f>
        <v/>
      </c>
      <c r="F80" s="34">
        <f>IF(COUNT(K80:AG80)=0,"",(K80*10+L80*8+M80*7+N80*5)/3)</f>
        <v/>
      </c>
      <c r="G80" s="34">
        <f>IF(COUNT(K80:AG80)=0,"",(P80*8+Q80*7+R80*5+S80*5)/3)</f>
        <v/>
      </c>
      <c r="H80" s="34">
        <f>IF(COUNT(K80:AG80)=0,"",(U80*6+V80*6+W80*4+X80*3+Y80*3+Z80*3)/3)</f>
        <v/>
      </c>
      <c r="I80" s="34">
        <f>IF(COUNT(K80:AG80)=0,"",AB80*3+AC80*2+AD80*2+AE80*1)</f>
        <v/>
      </c>
      <c r="J80" s="34">
        <f>IF(COUNT(K80:AG80)=0,"",(AF80*5+AG80*5)/3)</f>
        <v/>
      </c>
      <c r="K80" s="41" t="n"/>
      <c r="L80" s="41" t="n"/>
      <c r="M80" s="41" t="n"/>
      <c r="N80" s="41" t="n"/>
      <c r="P80" s="41" t="n"/>
      <c r="Q80" s="41" t="n"/>
      <c r="R80" s="41" t="n"/>
      <c r="S80" s="41" t="n"/>
      <c r="U80" s="41" t="n"/>
      <c r="V80" s="41" t="n"/>
      <c r="W80" s="41" t="n"/>
      <c r="X80" s="41" t="n"/>
      <c r="Y80" s="41" t="n"/>
      <c r="Z80" s="41" t="n"/>
      <c r="AB80" s="41" t="n"/>
      <c r="AC80" s="41" t="n"/>
      <c r="AD80" s="41" t="n"/>
      <c r="AE80" s="41" t="n"/>
      <c r="AF80" s="41" t="n"/>
      <c r="AG80" s="41" t="n"/>
    </row>
    <row r="81" ht="14.25" customHeight="1" s="60">
      <c r="E81" s="33">
        <f>IF(COUNT(K81:AG81)=0,"",ROUND((F81+G81+H81+I81+J81)/10,2))</f>
        <v/>
      </c>
      <c r="F81" s="34">
        <f>IF(COUNT(K81:AG81)=0,"",(K81*10+L81*8+M81*7+N81*5)/3)</f>
        <v/>
      </c>
      <c r="G81" s="34">
        <f>IF(COUNT(K81:AG81)=0,"",(P81*8+Q81*7+R81*5+S81*5)/3)</f>
        <v/>
      </c>
      <c r="H81" s="34">
        <f>IF(COUNT(K81:AG81)=0,"",(U81*6+V81*6+W81*4+X81*3+Y81*3+Z81*3)/3)</f>
        <v/>
      </c>
      <c r="I81" s="34">
        <f>IF(COUNT(K81:AG81)=0,"",AB81*3+AC81*2+AD81*2+AE81*1)</f>
        <v/>
      </c>
      <c r="J81" s="34">
        <f>IF(COUNT(K81:AG81)=0,"",(AF81*5+AG81*5)/3)</f>
        <v/>
      </c>
      <c r="K81" s="41" t="n"/>
      <c r="L81" s="41" t="n"/>
      <c r="M81" s="41" t="n"/>
      <c r="N81" s="41" t="n"/>
      <c r="P81" s="41" t="n"/>
      <c r="Q81" s="41" t="n"/>
      <c r="R81" s="41" t="n"/>
      <c r="S81" s="41" t="n"/>
      <c r="U81" s="41" t="n"/>
      <c r="V81" s="41" t="n"/>
      <c r="W81" s="41" t="n"/>
      <c r="X81" s="41" t="n"/>
      <c r="Y81" s="41" t="n"/>
      <c r="Z81" s="41" t="n"/>
      <c r="AB81" s="41" t="n"/>
      <c r="AC81" s="41" t="n"/>
      <c r="AD81" s="41" t="n"/>
      <c r="AE81" s="41" t="n"/>
      <c r="AF81" s="41" t="n"/>
      <c r="AG81" s="41" t="n"/>
    </row>
    <row r="82" ht="14.25" customHeight="1" s="60">
      <c r="E82" s="33">
        <f>IF(COUNT(K82:AG82)=0,"",ROUND((F82+G82+H82+I82+J82)/10,2))</f>
        <v/>
      </c>
      <c r="F82" s="34">
        <f>IF(COUNT(K82:AG82)=0,"",(K82*10+L82*8+M82*7+N82*5)/3)</f>
        <v/>
      </c>
      <c r="G82" s="34">
        <f>IF(COUNT(K82:AG82)=0,"",(P82*8+Q82*7+R82*5+S82*5)/3)</f>
        <v/>
      </c>
      <c r="H82" s="34">
        <f>IF(COUNT(K82:AG82)=0,"",(U82*6+V82*6+W82*4+X82*3+Y82*3+Z82*3)/3)</f>
        <v/>
      </c>
      <c r="I82" s="34">
        <f>IF(COUNT(K82:AG82)=0,"",AB82*3+AC82*2+AD82*2+AE82*1)</f>
        <v/>
      </c>
      <c r="J82" s="34">
        <f>IF(COUNT(K82:AG82)=0,"",(AF82*5+AG82*5)/3)</f>
        <v/>
      </c>
      <c r="K82" s="41" t="n"/>
      <c r="L82" s="41" t="n"/>
      <c r="M82" s="41" t="n"/>
      <c r="N82" s="41" t="n"/>
      <c r="P82" s="41" t="n"/>
      <c r="Q82" s="41" t="n"/>
      <c r="R82" s="41" t="n"/>
      <c r="S82" s="41" t="n"/>
      <c r="U82" s="41" t="n"/>
      <c r="V82" s="41" t="n"/>
      <c r="W82" s="41" t="n"/>
      <c r="X82" s="41" t="n"/>
      <c r="Y82" s="41" t="n"/>
      <c r="Z82" s="41" t="n"/>
      <c r="AB82" s="41" t="n"/>
      <c r="AC82" s="41" t="n"/>
      <c r="AD82" s="41" t="n"/>
      <c r="AE82" s="41" t="n"/>
      <c r="AF82" s="41" t="n"/>
      <c r="AG82" s="41" t="n"/>
    </row>
    <row r="83" ht="14.25" customHeight="1" s="60">
      <c r="E83" s="33">
        <f>IF(COUNT(K83:AG83)=0,"",ROUND((F83+G83+H83+I83+J83)/10,2))</f>
        <v/>
      </c>
      <c r="F83" s="34">
        <f>IF(COUNT(K83:AG83)=0,"",(K83*10+L83*8+M83*7+N83*5)/3)</f>
        <v/>
      </c>
      <c r="G83" s="34">
        <f>IF(COUNT(K83:AG83)=0,"",(P83*8+Q83*7+R83*5+S83*5)/3)</f>
        <v/>
      </c>
      <c r="H83" s="34">
        <f>IF(COUNT(K83:AG83)=0,"",(U83*6+V83*6+W83*4+X83*3+Y83*3+Z83*3)/3)</f>
        <v/>
      </c>
      <c r="I83" s="34">
        <f>IF(COUNT(K83:AG83)=0,"",AB83*3+AC83*2+AD83*2+AE83*1)</f>
        <v/>
      </c>
      <c r="J83" s="34">
        <f>IF(COUNT(K83:AG83)=0,"",(AF83*5+AG83*5)/3)</f>
        <v/>
      </c>
      <c r="K83" s="41" t="n"/>
      <c r="L83" s="41" t="n"/>
      <c r="M83" s="41" t="n"/>
      <c r="N83" s="41" t="n"/>
      <c r="P83" s="41" t="n"/>
      <c r="Q83" s="41" t="n"/>
      <c r="R83" s="41" t="n"/>
      <c r="S83" s="41" t="n"/>
      <c r="U83" s="41" t="n"/>
      <c r="V83" s="41" t="n"/>
      <c r="W83" s="41" t="n"/>
      <c r="X83" s="41" t="n"/>
      <c r="Y83" s="41" t="n"/>
      <c r="Z83" s="41" t="n"/>
      <c r="AB83" s="41" t="n"/>
      <c r="AC83" s="41" t="n"/>
      <c r="AD83" s="41" t="n"/>
      <c r="AE83" s="41" t="n"/>
      <c r="AF83" s="41" t="n"/>
      <c r="AG83" s="41" t="n"/>
    </row>
    <row r="84" ht="14.25" customHeight="1" s="60">
      <c r="E84" s="33">
        <f>IF(COUNT(K84:AG84)=0,"",ROUND((F84+G84+H84+I84+J84)/10,2))</f>
        <v/>
      </c>
      <c r="F84" s="34">
        <f>IF(COUNT(K84:AG84)=0,"",(K84*10+L84*8+M84*7+N84*5)/3)</f>
        <v/>
      </c>
      <c r="G84" s="34">
        <f>IF(COUNT(K84:AG84)=0,"",(P84*8+Q84*7+R84*5+S84*5)/3)</f>
        <v/>
      </c>
      <c r="H84" s="34">
        <f>IF(COUNT(K84:AG84)=0,"",(U84*6+V84*6+W84*4+X84*3+Y84*3+Z84*3)/3)</f>
        <v/>
      </c>
      <c r="I84" s="34">
        <f>IF(COUNT(K84:AG84)=0,"",AB84*3+AC84*2+AD84*2+AE84*1)</f>
        <v/>
      </c>
      <c r="J84" s="34">
        <f>IF(COUNT(K84:AG84)=0,"",(AF84*5+AG84*5)/3)</f>
        <v/>
      </c>
      <c r="K84" s="41" t="n"/>
      <c r="L84" s="41" t="n"/>
      <c r="M84" s="41" t="n"/>
      <c r="N84" s="41" t="n"/>
      <c r="P84" s="41" t="n"/>
      <c r="Q84" s="41" t="n"/>
      <c r="R84" s="41" t="n"/>
      <c r="S84" s="41" t="n"/>
      <c r="U84" s="41" t="n"/>
      <c r="V84" s="41" t="n"/>
      <c r="W84" s="41" t="n"/>
      <c r="X84" s="41" t="n"/>
      <c r="Y84" s="41" t="n"/>
      <c r="Z84" s="41" t="n"/>
      <c r="AB84" s="41" t="n"/>
      <c r="AC84" s="41" t="n"/>
      <c r="AD84" s="41" t="n"/>
      <c r="AE84" s="41" t="n"/>
      <c r="AF84" s="41" t="n"/>
      <c r="AG84" s="41" t="n"/>
    </row>
    <row r="85" ht="14.25" customHeight="1" s="60">
      <c r="E85" s="33">
        <f>IF(COUNT(K85:AG85)=0,"",ROUND((F85+G85+H85+I85+J85)/10,2))</f>
        <v/>
      </c>
      <c r="F85" s="34">
        <f>IF(COUNT(K85:AG85)=0,"",(K85*10+L85*8+M85*7+N85*5)/3)</f>
        <v/>
      </c>
      <c r="G85" s="34">
        <f>IF(COUNT(K85:AG85)=0,"",(P85*8+Q85*7+R85*5+S85*5)/3)</f>
        <v/>
      </c>
      <c r="H85" s="34">
        <f>IF(COUNT(K85:AG85)=0,"",(U85*6+V85*6+W85*4+X85*3+Y85*3+Z85*3)/3)</f>
        <v/>
      </c>
      <c r="I85" s="34">
        <f>IF(COUNT(K85:AG85)=0,"",AB85*3+AC85*2+AD85*2+AE85*1)</f>
        <v/>
      </c>
      <c r="J85" s="34">
        <f>IF(COUNT(K85:AG85)=0,"",(AF85*5+AG85*5)/3)</f>
        <v/>
      </c>
      <c r="K85" s="41" t="n"/>
      <c r="L85" s="41" t="n"/>
      <c r="M85" s="41" t="n"/>
      <c r="N85" s="41" t="n"/>
      <c r="P85" s="41" t="n"/>
      <c r="Q85" s="41" t="n"/>
      <c r="R85" s="41" t="n"/>
      <c r="S85" s="41" t="n"/>
      <c r="U85" s="41" t="n"/>
      <c r="V85" s="41" t="n"/>
      <c r="W85" s="41" t="n"/>
      <c r="X85" s="41" t="n"/>
      <c r="Y85" s="41" t="n"/>
      <c r="Z85" s="41" t="n"/>
      <c r="AB85" s="41" t="n"/>
      <c r="AC85" s="41" t="n"/>
      <c r="AD85" s="41" t="n"/>
      <c r="AE85" s="41" t="n"/>
      <c r="AF85" s="41" t="n"/>
      <c r="AG85" s="41" t="n"/>
    </row>
    <row r="86" ht="14.25" customHeight="1" s="60">
      <c r="E86" s="33">
        <f>IF(COUNT(K86:AG86)=0,"",ROUND((F86+G86+H86+I86+J86)/10,2))</f>
        <v/>
      </c>
      <c r="F86" s="34">
        <f>IF(COUNT(K86:AG86)=0,"",(K86*10+L86*8+M86*7+N86*5)/3)</f>
        <v/>
      </c>
      <c r="G86" s="34">
        <f>IF(COUNT(K86:AG86)=0,"",(P86*8+Q86*7+R86*5+S86*5)/3)</f>
        <v/>
      </c>
      <c r="H86" s="34">
        <f>IF(COUNT(K86:AG86)=0,"",(U86*6+V86*6+W86*4+X86*3+Y86*3+Z86*3)/3)</f>
        <v/>
      </c>
      <c r="I86" s="34">
        <f>IF(COUNT(K86:AG86)=0,"",AB86*3+AC86*2+AD86*2+AE86*1)</f>
        <v/>
      </c>
      <c r="J86" s="34">
        <f>IF(COUNT(K86:AG86)=0,"",(AF86*5+AG86*5)/3)</f>
        <v/>
      </c>
      <c r="K86" s="41" t="n"/>
      <c r="L86" s="41" t="n"/>
      <c r="M86" s="41" t="n"/>
      <c r="N86" s="41" t="n"/>
      <c r="P86" s="41" t="n"/>
      <c r="Q86" s="41" t="n"/>
      <c r="R86" s="41" t="n"/>
      <c r="S86" s="41" t="n"/>
      <c r="U86" s="41" t="n"/>
      <c r="V86" s="41" t="n"/>
      <c r="W86" s="41" t="n"/>
      <c r="X86" s="41" t="n"/>
      <c r="Y86" s="41" t="n"/>
      <c r="Z86" s="41" t="n"/>
      <c r="AB86" s="41" t="n"/>
      <c r="AC86" s="41" t="n"/>
      <c r="AD86" s="41" t="n"/>
      <c r="AE86" s="41" t="n"/>
      <c r="AF86" s="41" t="n"/>
      <c r="AG86" s="41" t="n"/>
    </row>
    <row r="87" ht="14.25" customHeight="1" s="60">
      <c r="E87" s="33">
        <f>IF(COUNT(K87:AG87)=0,"",ROUND((F87+G87+H87+I87+J87)/10,2))</f>
        <v/>
      </c>
      <c r="F87" s="34">
        <f>IF(COUNT(K87:AG87)=0,"",(K87*10+L87*8+M87*7+N87*5)/3)</f>
        <v/>
      </c>
      <c r="G87" s="34">
        <f>IF(COUNT(K87:AG87)=0,"",(P87*8+Q87*7+R87*5+S87*5)/3)</f>
        <v/>
      </c>
      <c r="H87" s="34">
        <f>IF(COUNT(K87:AG87)=0,"",(U87*6+V87*6+W87*4+X87*3+Y87*3+Z87*3)/3)</f>
        <v/>
      </c>
      <c r="I87" s="34">
        <f>IF(COUNT(K87:AG87)=0,"",AB87*3+AC87*2+AD87*2+AE87*1)</f>
        <v/>
      </c>
      <c r="J87" s="34">
        <f>IF(COUNT(K87:AG87)=0,"",(AF87*5+AG87*5)/3)</f>
        <v/>
      </c>
      <c r="K87" s="41" t="n"/>
      <c r="L87" s="41" t="n"/>
      <c r="M87" s="41" t="n"/>
      <c r="N87" s="41" t="n"/>
      <c r="P87" s="41" t="n"/>
      <c r="Q87" s="41" t="n"/>
      <c r="R87" s="41" t="n"/>
      <c r="S87" s="41" t="n"/>
      <c r="U87" s="41" t="n"/>
      <c r="V87" s="41" t="n"/>
      <c r="W87" s="41" t="n"/>
      <c r="X87" s="41" t="n"/>
      <c r="Y87" s="41" t="n"/>
      <c r="Z87" s="41" t="n"/>
      <c r="AB87" s="41" t="n"/>
      <c r="AC87" s="41" t="n"/>
      <c r="AD87" s="41" t="n"/>
      <c r="AE87" s="41" t="n"/>
      <c r="AF87" s="41" t="n"/>
      <c r="AG87" s="41" t="n"/>
    </row>
    <row r="88" ht="14.25" customHeight="1" s="60">
      <c r="E88" s="33">
        <f>IF(COUNT(K88:AG88)=0,"",ROUND((F88+G88+H88+I88+J88)/10,2))</f>
        <v/>
      </c>
      <c r="F88" s="34">
        <f>IF(COUNT(K88:AG88)=0,"",(K88*10+L88*8+M88*7+N88*5)/3)</f>
        <v/>
      </c>
      <c r="G88" s="34">
        <f>IF(COUNT(K88:AG88)=0,"",(P88*8+Q88*7+R88*5+S88*5)/3)</f>
        <v/>
      </c>
      <c r="H88" s="34">
        <f>IF(COUNT(K88:AG88)=0,"",(U88*6+V88*6+W88*4+X88*3+Y88*3+Z88*3)/3)</f>
        <v/>
      </c>
      <c r="I88" s="34">
        <f>IF(COUNT(K88:AG88)=0,"",AB88*3+AC88*2+AD88*2+AE88*1)</f>
        <v/>
      </c>
      <c r="J88" s="34">
        <f>IF(COUNT(K88:AG88)=0,"",(AF88*5+AG88*5)/3)</f>
        <v/>
      </c>
      <c r="K88" s="41" t="n"/>
      <c r="L88" s="41" t="n"/>
      <c r="M88" s="41" t="n"/>
      <c r="N88" s="41" t="n"/>
      <c r="P88" s="41" t="n"/>
      <c r="Q88" s="41" t="n"/>
      <c r="R88" s="41" t="n"/>
      <c r="S88" s="41" t="n"/>
      <c r="U88" s="41" t="n"/>
      <c r="V88" s="41" t="n"/>
      <c r="W88" s="41" t="n"/>
      <c r="X88" s="41" t="n"/>
      <c r="Y88" s="41" t="n"/>
      <c r="Z88" s="41" t="n"/>
      <c r="AB88" s="41" t="n"/>
      <c r="AC88" s="41" t="n"/>
      <c r="AD88" s="41" t="n"/>
      <c r="AE88" s="41" t="n"/>
      <c r="AF88" s="41" t="n"/>
      <c r="AG88" s="41" t="n"/>
    </row>
    <row r="89" ht="14.25" customHeight="1" s="60">
      <c r="E89" s="33">
        <f>IF(COUNT(K89:AG89)=0,"",ROUND((F89+G89+H89+I89+J89)/10,2))</f>
        <v/>
      </c>
      <c r="F89" s="34">
        <f>IF(COUNT(K89:AG89)=0,"",(K89*10+L89*8+M89*7+N89*5)/3)</f>
        <v/>
      </c>
      <c r="G89" s="34">
        <f>IF(COUNT(K89:AG89)=0,"",(P89*8+Q89*7+R89*5+S89*5)/3)</f>
        <v/>
      </c>
      <c r="H89" s="34">
        <f>IF(COUNT(K89:AG89)=0,"",(U89*6+V89*6+W89*4+X89*3+Y89*3+Z89*3)/3)</f>
        <v/>
      </c>
      <c r="I89" s="34">
        <f>IF(COUNT(K89:AG89)=0,"",AB89*3+AC89*2+AD89*2+AE89*1)</f>
        <v/>
      </c>
      <c r="J89" s="34">
        <f>IF(COUNT(K89:AG89)=0,"",(AF89*5+AG89*5)/3)</f>
        <v/>
      </c>
      <c r="K89" s="41" t="n"/>
      <c r="L89" s="41" t="n"/>
      <c r="M89" s="41" t="n"/>
      <c r="N89" s="41" t="n"/>
      <c r="P89" s="41" t="n"/>
      <c r="Q89" s="41" t="n"/>
      <c r="R89" s="41" t="n"/>
      <c r="S89" s="41" t="n"/>
      <c r="U89" s="41" t="n"/>
      <c r="V89" s="41" t="n"/>
      <c r="W89" s="41" t="n"/>
      <c r="X89" s="41" t="n"/>
      <c r="Y89" s="41" t="n"/>
      <c r="Z89" s="41" t="n"/>
      <c r="AB89" s="41" t="n"/>
      <c r="AC89" s="41" t="n"/>
      <c r="AD89" s="41" t="n"/>
      <c r="AE89" s="41" t="n"/>
      <c r="AF89" s="41" t="n"/>
      <c r="AG89" s="41" t="n"/>
    </row>
    <row r="90" ht="14.25" customHeight="1" s="60">
      <c r="E90" s="33">
        <f>IF(COUNT(K90:AG90)=0,"",ROUND((F90+G90+H90+I90+J90)/10,2))</f>
        <v/>
      </c>
      <c r="F90" s="34">
        <f>IF(COUNT(K90:AG90)=0,"",(K90*10+L90*8+M90*7+N90*5)/3)</f>
        <v/>
      </c>
      <c r="G90" s="34">
        <f>IF(COUNT(K90:AG90)=0,"",(P90*8+Q90*7+R90*5+S90*5)/3)</f>
        <v/>
      </c>
      <c r="H90" s="34">
        <f>IF(COUNT(K90:AG90)=0,"",(U90*6+V90*6+W90*4+X90*3+Y90*3+Z90*3)/3)</f>
        <v/>
      </c>
      <c r="I90" s="34">
        <f>IF(COUNT(K90:AG90)=0,"",AB90*3+AC90*2+AD90*2+AE90*1)</f>
        <v/>
      </c>
      <c r="J90" s="34">
        <f>IF(COUNT(K90:AG90)=0,"",(AF90*5+AG90*5)/3)</f>
        <v/>
      </c>
      <c r="K90" s="41" t="n"/>
      <c r="L90" s="41" t="n"/>
      <c r="M90" s="41" t="n"/>
      <c r="N90" s="41" t="n"/>
      <c r="P90" s="41" t="n"/>
      <c r="Q90" s="41" t="n"/>
      <c r="R90" s="41" t="n"/>
      <c r="S90" s="41" t="n"/>
      <c r="U90" s="41" t="n"/>
      <c r="V90" s="41" t="n"/>
      <c r="W90" s="41" t="n"/>
      <c r="X90" s="41" t="n"/>
      <c r="Y90" s="41" t="n"/>
      <c r="Z90" s="41" t="n"/>
      <c r="AB90" s="41" t="n"/>
      <c r="AC90" s="41" t="n"/>
      <c r="AD90" s="41" t="n"/>
      <c r="AE90" s="41" t="n"/>
      <c r="AF90" s="41" t="n"/>
      <c r="AG90" s="41" t="n"/>
    </row>
    <row r="91" ht="14.25" customHeight="1" s="60">
      <c r="E91" s="33">
        <f>IF(COUNT(K91:AG91)=0,"",ROUND((F91+G91+H91+I91+J91)/10,2))</f>
        <v/>
      </c>
      <c r="F91" s="34">
        <f>IF(COUNT(K91:AG91)=0,"",(K91*10+L91*8+M91*7+N91*5)/3)</f>
        <v/>
      </c>
      <c r="G91" s="34">
        <f>IF(COUNT(K91:AG91)=0,"",(P91*8+Q91*7+R91*5+S91*5)/3)</f>
        <v/>
      </c>
      <c r="H91" s="34">
        <f>IF(COUNT(K91:AG91)=0,"",(U91*6+V91*6+W91*4+X91*3+Y91*3+Z91*3)/3)</f>
        <v/>
      </c>
      <c r="I91" s="34">
        <f>IF(COUNT(K91:AG91)=0,"",AB91*3+AC91*2+AD91*2+AE91*1)</f>
        <v/>
      </c>
      <c r="J91" s="34">
        <f>IF(COUNT(K91:AG91)=0,"",(AF91*5+AG91*5)/3)</f>
        <v/>
      </c>
      <c r="K91" s="41" t="n"/>
      <c r="L91" s="41" t="n"/>
      <c r="M91" s="41" t="n"/>
      <c r="N91" s="41" t="n"/>
      <c r="P91" s="41" t="n"/>
      <c r="Q91" s="41" t="n"/>
      <c r="R91" s="41" t="n"/>
      <c r="S91" s="41" t="n"/>
      <c r="U91" s="41" t="n"/>
      <c r="V91" s="41" t="n"/>
      <c r="W91" s="41" t="n"/>
      <c r="X91" s="41" t="n"/>
      <c r="Y91" s="41" t="n"/>
      <c r="Z91" s="41" t="n"/>
      <c r="AB91" s="41" t="n"/>
      <c r="AC91" s="41" t="n"/>
      <c r="AD91" s="41" t="n"/>
      <c r="AE91" s="41" t="n"/>
      <c r="AF91" s="41" t="n"/>
      <c r="AG91" s="41" t="n"/>
    </row>
    <row r="92" ht="14.25" customHeight="1" s="60">
      <c r="E92" s="33">
        <f>IF(COUNT(K92:AG92)=0,"",ROUND((F92+G92+H92+I92+J92)/10,2))</f>
        <v/>
      </c>
      <c r="F92" s="34">
        <f>IF(COUNT(K92:AG92)=0,"",(K92*10+L92*8+M92*7+N92*5)/3)</f>
        <v/>
      </c>
      <c r="G92" s="34">
        <f>IF(COUNT(K92:AG92)=0,"",(P92*8+Q92*7+R92*5+S92*5)/3)</f>
        <v/>
      </c>
      <c r="H92" s="34">
        <f>IF(COUNT(K92:AG92)=0,"",(U92*6+V92*6+W92*4+X92*3+Y92*3+Z92*3)/3)</f>
        <v/>
      </c>
      <c r="I92" s="34">
        <f>IF(COUNT(K92:AG92)=0,"",AB92*3+AC92*2+AD92*2+AE92*1)</f>
        <v/>
      </c>
      <c r="J92" s="34">
        <f>IF(COUNT(K92:AG92)=0,"",(AF92*5+AG92*5)/3)</f>
        <v/>
      </c>
      <c r="K92" s="41" t="n"/>
      <c r="L92" s="41" t="n"/>
      <c r="M92" s="41" t="n"/>
      <c r="N92" s="41" t="n"/>
      <c r="P92" s="41" t="n"/>
      <c r="Q92" s="41" t="n"/>
      <c r="R92" s="41" t="n"/>
      <c r="S92" s="41" t="n"/>
      <c r="U92" s="41" t="n"/>
      <c r="V92" s="41" t="n"/>
      <c r="W92" s="41" t="n"/>
      <c r="X92" s="41" t="n"/>
      <c r="Y92" s="41" t="n"/>
      <c r="Z92" s="41" t="n"/>
      <c r="AB92" s="41" t="n"/>
      <c r="AC92" s="41" t="n"/>
      <c r="AD92" s="41" t="n"/>
      <c r="AE92" s="41" t="n"/>
      <c r="AF92" s="41" t="n"/>
      <c r="AG92" s="41" t="n"/>
    </row>
    <row r="93" ht="14.25" customHeight="1" s="60">
      <c r="E93" s="33">
        <f>IF(COUNT(K93:AG93)=0,"",ROUND((F93+G93+H93+I93+J93)/10,2))</f>
        <v/>
      </c>
      <c r="F93" s="34">
        <f>IF(COUNT(K93:AG93)=0,"",(K93*10+L93*8+M93*7+N93*5)/3)</f>
        <v/>
      </c>
      <c r="G93" s="34">
        <f>IF(COUNT(K93:AG93)=0,"",(P93*8+Q93*7+R93*5+S93*5)/3)</f>
        <v/>
      </c>
      <c r="H93" s="34">
        <f>IF(COUNT(K93:AG93)=0,"",(U93*6+V93*6+W93*4+X93*3+Y93*3+Z93*3)/3)</f>
        <v/>
      </c>
      <c r="I93" s="34">
        <f>IF(COUNT(K93:AG93)=0,"",AB93*3+AC93*2+AD93*2+AE93*1)</f>
        <v/>
      </c>
      <c r="J93" s="34">
        <f>IF(COUNT(K93:AG93)=0,"",(AF93*5+AG93*5)/3)</f>
        <v/>
      </c>
      <c r="K93" s="41" t="n"/>
      <c r="L93" s="41" t="n"/>
      <c r="M93" s="41" t="n"/>
      <c r="N93" s="41" t="n"/>
      <c r="P93" s="41" t="n"/>
      <c r="Q93" s="41" t="n"/>
      <c r="R93" s="41" t="n"/>
      <c r="S93" s="41" t="n"/>
      <c r="U93" s="41" t="n"/>
      <c r="V93" s="41" t="n"/>
      <c r="W93" s="41" t="n"/>
      <c r="X93" s="41" t="n"/>
      <c r="Y93" s="41" t="n"/>
      <c r="Z93" s="41" t="n"/>
      <c r="AB93" s="41" t="n"/>
      <c r="AC93" s="41" t="n"/>
      <c r="AD93" s="41" t="n"/>
      <c r="AE93" s="41" t="n"/>
      <c r="AF93" s="41" t="n"/>
      <c r="AG93" s="41" t="n"/>
    </row>
    <row r="94" ht="14.25" customHeight="1" s="60">
      <c r="E94" s="33">
        <f>IF(COUNT(K94:AG94)=0,"",ROUND((F94+G94+H94+I94+J94)/10,2))</f>
        <v/>
      </c>
      <c r="F94" s="34">
        <f>IF(COUNT(K94:AG94)=0,"",(K94*10+L94*8+M94*7+N94*5)/3)</f>
        <v/>
      </c>
      <c r="G94" s="34">
        <f>IF(COUNT(K94:AG94)=0,"",(P94*8+Q94*7+R94*5+S94*5)/3)</f>
        <v/>
      </c>
      <c r="H94" s="34">
        <f>IF(COUNT(K94:AG94)=0,"",(U94*6+V94*6+W94*4+X94*3+Y94*3+Z94*3)/3)</f>
        <v/>
      </c>
      <c r="I94" s="34">
        <f>IF(COUNT(K94:AG94)=0,"",AB94*3+AC94*2+AD94*2+AE94*1)</f>
        <v/>
      </c>
      <c r="J94" s="34">
        <f>IF(COUNT(K94:AG94)=0,"",(AF94*5+AG94*5)/3)</f>
        <v/>
      </c>
      <c r="K94" s="41" t="n"/>
      <c r="L94" s="41" t="n"/>
      <c r="M94" s="41" t="n"/>
      <c r="N94" s="41" t="n"/>
      <c r="P94" s="41" t="n"/>
      <c r="Q94" s="41" t="n"/>
      <c r="R94" s="41" t="n"/>
      <c r="S94" s="41" t="n"/>
      <c r="U94" s="41" t="n"/>
      <c r="V94" s="41" t="n"/>
      <c r="W94" s="41" t="n"/>
      <c r="X94" s="41" t="n"/>
      <c r="Y94" s="41" t="n"/>
      <c r="Z94" s="41" t="n"/>
      <c r="AB94" s="41" t="n"/>
      <c r="AC94" s="41" t="n"/>
      <c r="AD94" s="41" t="n"/>
      <c r="AE94" s="41" t="n"/>
      <c r="AF94" s="41" t="n"/>
      <c r="AG94" s="41" t="n"/>
    </row>
    <row r="95" ht="14.25" customHeight="1" s="60">
      <c r="E95" s="33">
        <f>IF(COUNT(K95:AG95)=0,"",ROUND((F95+G95+H95+I95+J95)/10,2))</f>
        <v/>
      </c>
      <c r="F95" s="34">
        <f>IF(COUNT(K95:AG95)=0,"",(K95*10+L95*8+M95*7+N95*5)/3)</f>
        <v/>
      </c>
      <c r="G95" s="34">
        <f>IF(COUNT(K95:AG95)=0,"",(P95*8+Q95*7+R95*5+S95*5)/3)</f>
        <v/>
      </c>
      <c r="H95" s="34">
        <f>IF(COUNT(K95:AG95)=0,"",(U95*6+V95*6+W95*4+X95*3+Y95*3+Z95*3)/3)</f>
        <v/>
      </c>
      <c r="I95" s="34">
        <f>IF(COUNT(K95:AG95)=0,"",AB95*3+AC95*2+AD95*2+AE95*1)</f>
        <v/>
      </c>
      <c r="J95" s="34">
        <f>IF(COUNT(K95:AG95)=0,"",(AF95*5+AG95*5)/3)</f>
        <v/>
      </c>
      <c r="K95" s="41" t="n"/>
      <c r="L95" s="41" t="n"/>
      <c r="M95" s="41" t="n"/>
      <c r="N95" s="41" t="n"/>
      <c r="P95" s="41" t="n"/>
      <c r="Q95" s="41" t="n"/>
      <c r="R95" s="41" t="n"/>
      <c r="S95" s="41" t="n"/>
      <c r="U95" s="41" t="n"/>
      <c r="V95" s="41" t="n"/>
      <c r="W95" s="41" t="n"/>
      <c r="X95" s="41" t="n"/>
      <c r="Y95" s="41" t="n"/>
      <c r="Z95" s="41" t="n"/>
      <c r="AB95" s="41" t="n"/>
      <c r="AC95" s="41" t="n"/>
      <c r="AD95" s="41" t="n"/>
      <c r="AE95" s="41" t="n"/>
      <c r="AF95" s="41" t="n"/>
      <c r="AG95" s="41" t="n"/>
    </row>
    <row r="96" ht="14.25" customHeight="1" s="60">
      <c r="E96" s="33">
        <f>IF(COUNT(K96:AG96)=0,"",ROUND((F96+G96+H96+I96+J96)/10,2))</f>
        <v/>
      </c>
      <c r="F96" s="34">
        <f>IF(COUNT(K96:AG96)=0,"",(K96*10+L96*8+M96*7+N96*5)/3)</f>
        <v/>
      </c>
      <c r="G96" s="34">
        <f>IF(COUNT(K96:AG96)=0,"",(P96*8+Q96*7+R96*5+S96*5)/3)</f>
        <v/>
      </c>
      <c r="H96" s="34">
        <f>IF(COUNT(K96:AG96)=0,"",(U96*6+V96*6+W96*4+X96*3+Y96*3+Z96*3)/3)</f>
        <v/>
      </c>
      <c r="I96" s="34">
        <f>IF(COUNT(K96:AG96)=0,"",AB96*3+AC96*2+AD96*2+AE96*1)</f>
        <v/>
      </c>
      <c r="J96" s="34">
        <f>IF(COUNT(K96:AG96)=0,"",(AF96*5+AG96*5)/3)</f>
        <v/>
      </c>
      <c r="K96" s="41" t="n"/>
      <c r="L96" s="41" t="n"/>
      <c r="M96" s="41" t="n"/>
      <c r="N96" s="41" t="n"/>
      <c r="P96" s="41" t="n"/>
      <c r="Q96" s="41" t="n"/>
      <c r="R96" s="41" t="n"/>
      <c r="S96" s="41" t="n"/>
      <c r="U96" s="41" t="n"/>
      <c r="V96" s="41" t="n"/>
      <c r="W96" s="41" t="n"/>
      <c r="X96" s="41" t="n"/>
      <c r="Y96" s="41" t="n"/>
      <c r="Z96" s="41" t="n"/>
      <c r="AB96" s="41" t="n"/>
      <c r="AC96" s="41" t="n"/>
      <c r="AD96" s="41" t="n"/>
      <c r="AE96" s="41" t="n"/>
      <c r="AF96" s="41" t="n"/>
      <c r="AG96" s="41" t="n"/>
    </row>
    <row r="97" ht="14.25" customHeight="1" s="60">
      <c r="E97" s="33">
        <f>IF(COUNT(K97:AG97)=0,"",ROUND((F97+G97+H97+I97+J97)/10,2))</f>
        <v/>
      </c>
      <c r="F97" s="34">
        <f>IF(COUNT(K97:AG97)=0,"",(K97*10+L97*8+M97*7+N97*5)/3)</f>
        <v/>
      </c>
      <c r="G97" s="34">
        <f>IF(COUNT(K97:AG97)=0,"",(P97*8+Q97*7+R97*5+S97*5)/3)</f>
        <v/>
      </c>
      <c r="H97" s="34">
        <f>IF(COUNT(K97:AG97)=0,"",(U97*6+V97*6+W97*4+X97*3+Y97*3+Z97*3)/3)</f>
        <v/>
      </c>
      <c r="I97" s="34">
        <f>IF(COUNT(K97:AG97)=0,"",AB97*3+AC97*2+AD97*2+AE97*1)</f>
        <v/>
      </c>
      <c r="J97" s="34">
        <f>IF(COUNT(K97:AG97)=0,"",(AF97*5+AG97*5)/3)</f>
        <v/>
      </c>
      <c r="K97" s="41" t="n"/>
      <c r="L97" s="41" t="n"/>
      <c r="M97" s="41" t="n"/>
      <c r="N97" s="41" t="n"/>
      <c r="P97" s="41" t="n"/>
      <c r="Q97" s="41" t="n"/>
      <c r="R97" s="41" t="n"/>
      <c r="S97" s="41" t="n"/>
      <c r="U97" s="41" t="n"/>
      <c r="V97" s="41" t="n"/>
      <c r="W97" s="41" t="n"/>
      <c r="X97" s="41" t="n"/>
      <c r="Y97" s="41" t="n"/>
      <c r="Z97" s="41" t="n"/>
      <c r="AB97" s="41" t="n"/>
      <c r="AC97" s="41" t="n"/>
      <c r="AD97" s="41" t="n"/>
      <c r="AE97" s="41" t="n"/>
      <c r="AF97" s="41" t="n"/>
      <c r="AG97" s="41" t="n"/>
    </row>
    <row r="98" ht="14.25" customHeight="1" s="60">
      <c r="E98" s="33">
        <f>IF(COUNT(K98:AG98)=0,"",ROUND((F98+G98+H98+I98+J98)/10,2))</f>
        <v/>
      </c>
      <c r="F98" s="34">
        <f>IF(COUNT(K98:AG98)=0,"",(K98*10+L98*8+M98*7+N98*5)/3)</f>
        <v/>
      </c>
      <c r="G98" s="34">
        <f>IF(COUNT(K98:AG98)=0,"",(P98*8+Q98*7+R98*5+S98*5)/3)</f>
        <v/>
      </c>
      <c r="H98" s="34">
        <f>IF(COUNT(K98:AG98)=0,"",(U98*6+V98*6+W98*4+X98*3+Y98*3+Z98*3)/3)</f>
        <v/>
      </c>
      <c r="I98" s="34">
        <f>IF(COUNT(K98:AG98)=0,"",AB98*3+AC98*2+AD98*2+AE98*1)</f>
        <v/>
      </c>
      <c r="J98" s="34">
        <f>IF(COUNT(K98:AG98)=0,"",(AF98*5+AG98*5)/3)</f>
        <v/>
      </c>
      <c r="K98" s="41" t="n"/>
      <c r="L98" s="41" t="n"/>
      <c r="M98" s="41" t="n"/>
      <c r="N98" s="41" t="n"/>
      <c r="P98" s="41" t="n"/>
      <c r="Q98" s="41" t="n"/>
      <c r="R98" s="41" t="n"/>
      <c r="S98" s="41" t="n"/>
      <c r="U98" s="41" t="n"/>
      <c r="V98" s="41" t="n"/>
      <c r="W98" s="41" t="n"/>
      <c r="X98" s="41" t="n"/>
      <c r="Y98" s="41" t="n"/>
      <c r="Z98" s="41" t="n"/>
      <c r="AB98" s="41" t="n"/>
      <c r="AC98" s="41" t="n"/>
      <c r="AD98" s="41" t="n"/>
      <c r="AE98" s="41" t="n"/>
      <c r="AF98" s="41" t="n"/>
      <c r="AG98" s="41" t="n"/>
    </row>
    <row r="99" ht="14.25" customHeight="1" s="60">
      <c r="E99" s="33">
        <f>IF(COUNT(K99:AG99)=0,"",ROUND((F99+G99+H99+I99+J99)/10,2))</f>
        <v/>
      </c>
      <c r="F99" s="34">
        <f>IF(COUNT(K99:AG99)=0,"",(K99*10+L99*8+M99*7+N99*5)/3)</f>
        <v/>
      </c>
      <c r="G99" s="34">
        <f>IF(COUNT(K99:AG99)=0,"",(P99*8+Q99*7+R99*5+S99*5)/3)</f>
        <v/>
      </c>
      <c r="H99" s="34">
        <f>IF(COUNT(K99:AG99)=0,"",(U99*6+V99*6+W99*4+X99*3+Y99*3+Z99*3)/3)</f>
        <v/>
      </c>
      <c r="I99" s="34">
        <f>IF(COUNT(K99:AG99)=0,"",AB99*3+AC99*2+AD99*2+AE99*1)</f>
        <v/>
      </c>
      <c r="J99" s="34">
        <f>IF(COUNT(K99:AG99)=0,"",(AF99*5+AG99*5)/3)</f>
        <v/>
      </c>
      <c r="K99" s="41" t="n"/>
      <c r="L99" s="41" t="n"/>
      <c r="M99" s="41" t="n"/>
      <c r="N99" s="41" t="n"/>
      <c r="P99" s="41" t="n"/>
      <c r="Q99" s="41" t="n"/>
      <c r="R99" s="41" t="n"/>
      <c r="S99" s="41" t="n"/>
      <c r="U99" s="41" t="n"/>
      <c r="V99" s="41" t="n"/>
      <c r="W99" s="41" t="n"/>
      <c r="X99" s="41" t="n"/>
      <c r="Y99" s="41" t="n"/>
      <c r="Z99" s="41" t="n"/>
      <c r="AB99" s="41" t="n"/>
      <c r="AC99" s="41" t="n"/>
      <c r="AD99" s="41" t="n"/>
      <c r="AE99" s="41" t="n"/>
      <c r="AF99" s="41" t="n"/>
      <c r="AG99" s="41" t="n"/>
    </row>
    <row r="100" ht="14.25" customHeight="1" s="60">
      <c r="E100" s="33">
        <f>IF(COUNT(K100:AG100)=0,"",ROUND((F100+G100+H100+I100+J100)/10,2))</f>
        <v/>
      </c>
      <c r="F100" s="34">
        <f>IF(COUNT(K100:AG100)=0,"",(K100*10+L100*8+M100*7+N100*5)/3)</f>
        <v/>
      </c>
      <c r="G100" s="34">
        <f>IF(COUNT(K100:AG100)=0,"",(P100*8+Q100*7+R100*5+S100*5)/3)</f>
        <v/>
      </c>
      <c r="H100" s="34">
        <f>IF(COUNT(K100:AG100)=0,"",(U100*6+V100*6+W100*4+X100*3+Y100*3+Z100*3)/3)</f>
        <v/>
      </c>
      <c r="I100" s="34">
        <f>IF(COUNT(K100:AG100)=0,"",AB100*3+AC100*2+AD100*2+AE100*1)</f>
        <v/>
      </c>
      <c r="J100" s="34">
        <f>IF(COUNT(K100:AG100)=0,"",(AF100*5+AG100*5)/3)</f>
        <v/>
      </c>
      <c r="K100" s="41" t="n"/>
      <c r="L100" s="41" t="n"/>
      <c r="M100" s="41" t="n"/>
      <c r="N100" s="41" t="n"/>
      <c r="P100" s="41" t="n"/>
      <c r="Q100" s="41" t="n"/>
      <c r="R100" s="41" t="n"/>
      <c r="S100" s="41" t="n"/>
      <c r="U100" s="41" t="n"/>
      <c r="V100" s="41" t="n"/>
      <c r="W100" s="41" t="n"/>
      <c r="X100" s="41" t="n"/>
      <c r="Y100" s="41" t="n"/>
      <c r="Z100" s="41" t="n"/>
      <c r="AB100" s="41" t="n"/>
      <c r="AC100" s="41" t="n"/>
      <c r="AD100" s="41" t="n"/>
      <c r="AE100" s="41" t="n"/>
      <c r="AF100" s="41" t="n"/>
      <c r="AG100" s="41" t="n"/>
    </row>
    <row r="101" ht="14.25" customHeight="1" s="60">
      <c r="E101" s="33">
        <f>IF(COUNT(K101:AG101)=0,"",ROUND((F101+G101+H101+I101+J101)/10,2))</f>
        <v/>
      </c>
      <c r="F101" s="34">
        <f>IF(COUNT(K101:AG101)=0,"",(K101*10+L101*8+M101*7+N101*5)/3)</f>
        <v/>
      </c>
      <c r="G101" s="34">
        <f>IF(COUNT(K101:AG101)=0,"",(P101*8+Q101*7+R101*5+S101*5)/3)</f>
        <v/>
      </c>
      <c r="H101" s="34">
        <f>IF(COUNT(K101:AG101)=0,"",(U101*6+V101*6+W101*4+X101*3+Y101*3+Z101*3)/3)</f>
        <v/>
      </c>
      <c r="I101" s="34">
        <f>IF(COUNT(K101:AG101)=0,"",AB101*3+AC101*2+AD101*2+AE101*1)</f>
        <v/>
      </c>
      <c r="J101" s="34">
        <f>IF(COUNT(K101:AG101)=0,"",(AF101*5+AG101*5)/3)</f>
        <v/>
      </c>
      <c r="K101" s="41" t="n"/>
      <c r="L101" s="41" t="n"/>
      <c r="M101" s="41" t="n"/>
      <c r="N101" s="41" t="n"/>
      <c r="P101" s="41" t="n"/>
      <c r="Q101" s="41" t="n"/>
      <c r="R101" s="41" t="n"/>
      <c r="S101" s="41" t="n"/>
      <c r="U101" s="41" t="n"/>
      <c r="V101" s="41" t="n"/>
      <c r="W101" s="41" t="n"/>
      <c r="X101" s="41" t="n"/>
      <c r="Y101" s="41" t="n"/>
      <c r="Z101" s="41" t="n"/>
      <c r="AB101" s="41" t="n"/>
      <c r="AC101" s="41" t="n"/>
      <c r="AD101" s="41" t="n"/>
      <c r="AE101" s="41" t="n"/>
      <c r="AF101" s="41" t="n"/>
      <c r="AG101" s="41" t="n"/>
    </row>
    <row r="102" ht="14.25" customHeight="1" s="60">
      <c r="E102" s="33">
        <f>IF(COUNT(K102:AG102)=0,"",ROUND((F102+G102+H102+I102+J102)/10,2))</f>
        <v/>
      </c>
      <c r="F102" s="34">
        <f>IF(COUNT(K102:AG102)=0,"",(K102*10+L102*8+M102*7+N102*5)/3)</f>
        <v/>
      </c>
      <c r="G102" s="34">
        <f>IF(COUNT(K102:AG102)=0,"",(P102*8+Q102*7+R102*5+S102*5)/3)</f>
        <v/>
      </c>
      <c r="H102" s="34">
        <f>IF(COUNT(K102:AG102)=0,"",(U102*6+V102*6+W102*4+X102*3+Y102*3+Z102*3)/3)</f>
        <v/>
      </c>
      <c r="I102" s="34">
        <f>IF(COUNT(K102:AG102)=0,"",AB102*3+AC102*2+AD102*2+AE102*1)</f>
        <v/>
      </c>
      <c r="J102" s="34">
        <f>IF(COUNT(K102:AG102)=0,"",(AF102*5+AG102*5)/3)</f>
        <v/>
      </c>
      <c r="K102" s="41" t="n"/>
      <c r="L102" s="41" t="n"/>
      <c r="M102" s="41" t="n"/>
      <c r="N102" s="41" t="n"/>
      <c r="P102" s="41" t="n"/>
      <c r="Q102" s="41" t="n"/>
      <c r="R102" s="41" t="n"/>
      <c r="S102" s="41" t="n"/>
      <c r="U102" s="41" t="n"/>
      <c r="V102" s="41" t="n"/>
      <c r="W102" s="41" t="n"/>
      <c r="X102" s="41" t="n"/>
      <c r="Y102" s="41" t="n"/>
      <c r="Z102" s="41" t="n"/>
      <c r="AB102" s="41" t="n"/>
      <c r="AC102" s="41" t="n"/>
      <c r="AD102" s="41" t="n"/>
      <c r="AE102" s="41" t="n"/>
      <c r="AF102" s="41" t="n"/>
      <c r="AG102" s="41" t="n"/>
    </row>
    <row r="103" ht="14.25" customHeight="1" s="60">
      <c r="E103" s="33">
        <f>IF(COUNT(K103:AG103)=0,"",ROUND((F103+G103+H103+I103+J103)/10,2))</f>
        <v/>
      </c>
      <c r="F103" s="34">
        <f>IF(COUNT(K103:AG103)=0,"",(K103*10+L103*8+M103*7+N103*5)/3)</f>
        <v/>
      </c>
      <c r="G103" s="34">
        <f>IF(COUNT(K103:AG103)=0,"",(P103*8+Q103*7+R103*5+S103*5)/3)</f>
        <v/>
      </c>
      <c r="H103" s="34">
        <f>IF(COUNT(K103:AG103)=0,"",(U103*6+V103*6+W103*4+X103*3+Y103*3+Z103*3)/3)</f>
        <v/>
      </c>
      <c r="I103" s="34">
        <f>IF(COUNT(K103:AG103)=0,"",AB103*3+AC103*2+AD103*2+AE103*1)</f>
        <v/>
      </c>
      <c r="J103" s="34">
        <f>IF(COUNT(K103:AG103)=0,"",(AF103*5+AG103*5)/3)</f>
        <v/>
      </c>
      <c r="K103" s="41" t="n"/>
      <c r="L103" s="41" t="n"/>
      <c r="M103" s="41" t="n"/>
      <c r="N103" s="41" t="n"/>
      <c r="P103" s="41" t="n"/>
      <c r="Q103" s="41" t="n"/>
      <c r="R103" s="41" t="n"/>
      <c r="S103" s="41" t="n"/>
      <c r="U103" s="41" t="n"/>
      <c r="V103" s="41" t="n"/>
      <c r="W103" s="41" t="n"/>
      <c r="X103" s="41" t="n"/>
      <c r="Y103" s="41" t="n"/>
      <c r="Z103" s="41" t="n"/>
      <c r="AB103" s="41" t="n"/>
      <c r="AC103" s="41" t="n"/>
      <c r="AD103" s="41" t="n"/>
      <c r="AE103" s="41" t="n"/>
      <c r="AF103" s="41" t="n"/>
      <c r="AG103" s="41" t="n"/>
    </row>
    <row r="104" ht="14.25" customHeight="1" s="60">
      <c r="E104" s="33">
        <f>IF(COUNT(K104:AG104)=0,"",ROUND((F104+G104+H104+I104+J104)/10,2))</f>
        <v/>
      </c>
      <c r="F104" s="34">
        <f>IF(COUNT(K104:AG104)=0,"",(K104*10+L104*8+M104*7+N104*5)/3)</f>
        <v/>
      </c>
      <c r="G104" s="34">
        <f>IF(COUNT(K104:AG104)=0,"",(P104*8+Q104*7+R104*5+S104*5)/3)</f>
        <v/>
      </c>
      <c r="H104" s="34">
        <f>IF(COUNT(K104:AG104)=0,"",(U104*6+V104*6+W104*4+X104*3+Y104*3+Z104*3)/3)</f>
        <v/>
      </c>
      <c r="I104" s="34">
        <f>IF(COUNT(K104:AG104)=0,"",AB104*3+AC104*2+AD104*2+AE104*1)</f>
        <v/>
      </c>
      <c r="J104" s="34">
        <f>IF(COUNT(K104:AG104)=0,"",(AF104*5+AG104*5)/3)</f>
        <v/>
      </c>
      <c r="K104" s="41" t="n"/>
      <c r="L104" s="41" t="n"/>
      <c r="M104" s="41" t="n"/>
      <c r="N104" s="41" t="n"/>
      <c r="P104" s="41" t="n"/>
      <c r="Q104" s="41" t="n"/>
      <c r="R104" s="41" t="n"/>
      <c r="S104" s="41" t="n"/>
      <c r="U104" s="41" t="n"/>
      <c r="V104" s="41" t="n"/>
      <c r="W104" s="41" t="n"/>
      <c r="X104" s="41" t="n"/>
      <c r="Y104" s="41" t="n"/>
      <c r="Z104" s="41" t="n"/>
      <c r="AB104" s="41" t="n"/>
      <c r="AC104" s="41" t="n"/>
      <c r="AD104" s="41" t="n"/>
      <c r="AE104" s="41" t="n"/>
      <c r="AF104" s="41" t="n"/>
      <c r="AG104" s="41" t="n"/>
    </row>
    <row r="105" ht="14.25" customHeight="1" s="60">
      <c r="E105" s="33">
        <f>IF(COUNT(K105:AG105)=0,"",ROUND((F105+G105+H105+I105+J105)/10,2))</f>
        <v/>
      </c>
      <c r="F105" s="34">
        <f>IF(COUNT(K105:AG105)=0,"",(K105*10+L105*8+M105*7+N105*5)/3)</f>
        <v/>
      </c>
      <c r="G105" s="34">
        <f>IF(COUNT(K105:AG105)=0,"",(P105*8+Q105*7+R105*5+S105*5)/3)</f>
        <v/>
      </c>
      <c r="H105" s="34">
        <f>IF(COUNT(K105:AG105)=0,"",(U105*6+V105*6+W105*4+X105*3+Y105*3+Z105*3)/3)</f>
        <v/>
      </c>
      <c r="I105" s="34">
        <f>IF(COUNT(K105:AG105)=0,"",AB105*3+AC105*2+AD105*2+AE105*1)</f>
        <v/>
      </c>
      <c r="J105" s="34">
        <f>IF(COUNT(K105:AG105)=0,"",(AF105*5+AG105*5)/3)</f>
        <v/>
      </c>
      <c r="K105" s="41" t="n"/>
      <c r="L105" s="41" t="n"/>
      <c r="M105" s="41" t="n"/>
      <c r="N105" s="41" t="n"/>
      <c r="P105" s="41" t="n"/>
      <c r="Q105" s="41" t="n"/>
      <c r="R105" s="41" t="n"/>
      <c r="S105" s="41" t="n"/>
      <c r="U105" s="41" t="n"/>
      <c r="V105" s="41" t="n"/>
      <c r="W105" s="41" t="n"/>
      <c r="X105" s="41" t="n"/>
      <c r="Y105" s="41" t="n"/>
      <c r="Z105" s="41" t="n"/>
      <c r="AB105" s="41" t="n"/>
      <c r="AC105" s="41" t="n"/>
      <c r="AD105" s="41" t="n"/>
      <c r="AE105" s="41" t="n"/>
      <c r="AF105" s="41" t="n"/>
      <c r="AG105" s="41" t="n"/>
    </row>
    <row r="106" ht="14.25" customHeight="1" s="60">
      <c r="E106" s="33">
        <f>IF(COUNT(K106:AG106)=0,"",ROUND((F106+G106+H106+I106+J106)/10,2))</f>
        <v/>
      </c>
      <c r="F106" s="34">
        <f>IF(COUNT(K106:AG106)=0,"",(K106*10+L106*8+M106*7+N106*5)/3)</f>
        <v/>
      </c>
      <c r="G106" s="34">
        <f>IF(COUNT(K106:AG106)=0,"",(P106*8+Q106*7+R106*5+S106*5)/3)</f>
        <v/>
      </c>
      <c r="H106" s="34">
        <f>IF(COUNT(K106:AG106)=0,"",(U106*6+V106*6+W106*4+X106*3+Y106*3+Z106*3)/3)</f>
        <v/>
      </c>
      <c r="I106" s="34">
        <f>IF(COUNT(K106:AG106)=0,"",AB106*3+AC106*2+AD106*2+AE106*1)</f>
        <v/>
      </c>
      <c r="J106" s="34">
        <f>IF(COUNT(K106:AG106)=0,"",(AF106*5+AG106*5)/3)</f>
        <v/>
      </c>
      <c r="K106" s="41" t="n"/>
      <c r="L106" s="41" t="n"/>
      <c r="M106" s="41" t="n"/>
      <c r="N106" s="41" t="n"/>
      <c r="P106" s="41" t="n"/>
      <c r="Q106" s="41" t="n"/>
      <c r="R106" s="41" t="n"/>
      <c r="S106" s="41" t="n"/>
      <c r="U106" s="41" t="n"/>
      <c r="V106" s="41" t="n"/>
      <c r="W106" s="41" t="n"/>
      <c r="X106" s="41" t="n"/>
      <c r="Y106" s="41" t="n"/>
      <c r="Z106" s="41" t="n"/>
      <c r="AB106" s="41" t="n"/>
      <c r="AC106" s="41" t="n"/>
      <c r="AD106" s="41" t="n"/>
      <c r="AE106" s="41" t="n"/>
      <c r="AF106" s="41" t="n"/>
      <c r="AG106" s="41" t="n"/>
    </row>
    <row r="107" ht="14.25" customHeight="1" s="60">
      <c r="E107" s="33">
        <f>IF(COUNT(K107:AG107)=0,"",ROUND((F107+G107+H107+I107+J107)/10,2))</f>
        <v/>
      </c>
      <c r="F107" s="34">
        <f>IF(COUNT(K107:AG107)=0,"",(K107*10+L107*8+M107*7+N107*5)/3)</f>
        <v/>
      </c>
      <c r="G107" s="34">
        <f>IF(COUNT(K107:AG107)=0,"",(P107*8+Q107*7+R107*5+S107*5)/3)</f>
        <v/>
      </c>
      <c r="H107" s="34">
        <f>IF(COUNT(K107:AG107)=0,"",(U107*6+V107*6+W107*4+X107*3+Y107*3+Z107*3)/3)</f>
        <v/>
      </c>
      <c r="I107" s="34">
        <f>IF(COUNT(K107:AG107)=0,"",AB107*3+AC107*2+AD107*2+AE107*1)</f>
        <v/>
      </c>
      <c r="J107" s="34">
        <f>IF(COUNT(K107:AG107)=0,"",(AF107*5+AG107*5)/3)</f>
        <v/>
      </c>
      <c r="K107" s="41" t="n"/>
      <c r="L107" s="41" t="n"/>
      <c r="M107" s="41" t="n"/>
      <c r="N107" s="41" t="n"/>
      <c r="P107" s="41" t="n"/>
      <c r="Q107" s="41" t="n"/>
      <c r="R107" s="41" t="n"/>
      <c r="S107" s="41" t="n"/>
      <c r="U107" s="41" t="n"/>
      <c r="V107" s="41" t="n"/>
      <c r="W107" s="41" t="n"/>
      <c r="X107" s="41" t="n"/>
      <c r="Y107" s="41" t="n"/>
      <c r="Z107" s="41" t="n"/>
      <c r="AB107" s="41" t="n"/>
      <c r="AC107" s="41" t="n"/>
      <c r="AD107" s="41" t="n"/>
      <c r="AE107" s="41" t="n"/>
      <c r="AF107" s="41" t="n"/>
      <c r="AG107" s="41" t="n"/>
    </row>
    <row r="108" ht="14.25" customHeight="1" s="60">
      <c r="E108" s="33">
        <f>IF(COUNT(K108:AG108)=0,"",ROUND((F108+G108+H108+I108+J108)/10,2))</f>
        <v/>
      </c>
      <c r="F108" s="34">
        <f>IF(COUNT(K108:AG108)=0,"",(K108*10+L108*8+M108*7+N108*5)/3)</f>
        <v/>
      </c>
      <c r="G108" s="34">
        <f>IF(COUNT(K108:AG108)=0,"",(P108*8+Q108*7+R108*5+S108*5)/3)</f>
        <v/>
      </c>
      <c r="H108" s="34">
        <f>IF(COUNT(K108:AG108)=0,"",(U108*6+V108*6+W108*4+X108*3+Y108*3+Z108*3)/3)</f>
        <v/>
      </c>
      <c r="I108" s="34">
        <f>IF(COUNT(K108:AG108)=0,"",AB108*3+AC108*2+AD108*2+AE108*1)</f>
        <v/>
      </c>
      <c r="J108" s="34">
        <f>IF(COUNT(K108:AG108)=0,"",(AF108*5+AG108*5)/3)</f>
        <v/>
      </c>
      <c r="K108" s="41" t="n"/>
      <c r="L108" s="41" t="n"/>
      <c r="M108" s="41" t="n"/>
      <c r="N108" s="41" t="n"/>
      <c r="P108" s="41" t="n"/>
      <c r="Q108" s="41" t="n"/>
      <c r="R108" s="41" t="n"/>
      <c r="S108" s="41" t="n"/>
      <c r="U108" s="41" t="n"/>
      <c r="V108" s="41" t="n"/>
      <c r="W108" s="41" t="n"/>
      <c r="X108" s="41" t="n"/>
      <c r="Y108" s="41" t="n"/>
      <c r="Z108" s="41" t="n"/>
      <c r="AB108" s="41" t="n"/>
      <c r="AC108" s="41" t="n"/>
      <c r="AD108" s="41" t="n"/>
      <c r="AE108" s="41" t="n"/>
      <c r="AF108" s="41" t="n"/>
      <c r="AG108" s="41" t="n"/>
    </row>
    <row r="109" ht="14.25" customHeight="1" s="60">
      <c r="E109" s="33">
        <f>IF(COUNT(K109:AG109)=0,"",ROUND((F109+G109+H109+I109+J109)/10,2))</f>
        <v/>
      </c>
      <c r="F109" s="34">
        <f>IF(COUNT(K109:AG109)=0,"",(K109*10+L109*8+M109*7+N109*5)/3)</f>
        <v/>
      </c>
      <c r="G109" s="34">
        <f>IF(COUNT(K109:AG109)=0,"",(P109*8+Q109*7+R109*5+S109*5)/3)</f>
        <v/>
      </c>
      <c r="H109" s="34">
        <f>IF(COUNT(K109:AG109)=0,"",(U109*6+V109*6+W109*4+X109*3+Y109*3+Z109*3)/3)</f>
        <v/>
      </c>
      <c r="I109" s="34">
        <f>IF(COUNT(K109:AG109)=0,"",AB109*3+AC109*2+AD109*2+AE109*1)</f>
        <v/>
      </c>
      <c r="J109" s="34">
        <f>IF(COUNT(K109:AG109)=0,"",(AF109*5+AG109*5)/3)</f>
        <v/>
      </c>
      <c r="K109" s="41" t="n"/>
      <c r="L109" s="41" t="n"/>
      <c r="M109" s="41" t="n"/>
      <c r="N109" s="41" t="n"/>
      <c r="P109" s="41" t="n"/>
      <c r="Q109" s="41" t="n"/>
      <c r="R109" s="41" t="n"/>
      <c r="S109" s="41" t="n"/>
      <c r="U109" s="41" t="n"/>
      <c r="V109" s="41" t="n"/>
      <c r="W109" s="41" t="n"/>
      <c r="X109" s="41" t="n"/>
      <c r="Y109" s="41" t="n"/>
      <c r="Z109" s="41" t="n"/>
      <c r="AB109" s="41" t="n"/>
      <c r="AC109" s="41" t="n"/>
      <c r="AD109" s="41" t="n"/>
      <c r="AE109" s="41" t="n"/>
      <c r="AF109" s="41" t="n"/>
      <c r="AG109" s="41" t="n"/>
    </row>
    <row r="110" ht="14.25" customHeight="1" s="60">
      <c r="E110" s="33">
        <f>IF(COUNT(K110:AG110)=0,"",ROUND((F110+G110+H110+I110+J110)/10,2))</f>
        <v/>
      </c>
      <c r="F110" s="34">
        <f>IF(COUNT(K110:AG110)=0,"",(K110*10+L110*8+M110*7+N110*5)/3)</f>
        <v/>
      </c>
      <c r="G110" s="34">
        <f>IF(COUNT(K110:AG110)=0,"",(P110*8+Q110*7+R110*5+S110*5)/3)</f>
        <v/>
      </c>
      <c r="H110" s="34">
        <f>IF(COUNT(K110:AG110)=0,"",(U110*6+V110*6+W110*4+X110*3+Y110*3+Z110*3)/3)</f>
        <v/>
      </c>
      <c r="I110" s="34">
        <f>IF(COUNT(K110:AG110)=0,"",AB110*3+AC110*2+AD110*2+AE110*1)</f>
        <v/>
      </c>
      <c r="J110" s="34">
        <f>IF(COUNT(K110:AG110)=0,"",(AF110*5+AG110*5)/3)</f>
        <v/>
      </c>
      <c r="K110" s="41" t="n"/>
      <c r="L110" s="41" t="n"/>
      <c r="M110" s="41" t="n"/>
      <c r="N110" s="41" t="n"/>
      <c r="P110" s="41" t="n"/>
      <c r="Q110" s="41" t="n"/>
      <c r="R110" s="41" t="n"/>
      <c r="S110" s="41" t="n"/>
      <c r="U110" s="41" t="n"/>
      <c r="V110" s="41" t="n"/>
      <c r="W110" s="41" t="n"/>
      <c r="X110" s="41" t="n"/>
      <c r="Y110" s="41" t="n"/>
      <c r="Z110" s="41" t="n"/>
      <c r="AB110" s="41" t="n"/>
      <c r="AC110" s="41" t="n"/>
      <c r="AD110" s="41" t="n"/>
      <c r="AE110" s="41" t="n"/>
      <c r="AF110" s="41" t="n"/>
      <c r="AG110" s="41" t="n"/>
    </row>
    <row r="111" ht="14.25" customHeight="1" s="60">
      <c r="E111" s="33">
        <f>IF(COUNT(K111:AG111)=0,"",ROUND((F111+G111+H111+I111+J111)/10,2))</f>
        <v/>
      </c>
      <c r="F111" s="34">
        <f>IF(COUNT(K111:AG111)=0,"",(K111*10+L111*8+M111*7+N111*5)/3)</f>
        <v/>
      </c>
      <c r="G111" s="34">
        <f>IF(COUNT(K111:AG111)=0,"",(P111*8+Q111*7+R111*5+S111*5)/3)</f>
        <v/>
      </c>
      <c r="H111" s="34">
        <f>IF(COUNT(K111:AG111)=0,"",(U111*6+V111*6+W111*4+X111*3+Y111*3+Z111*3)/3)</f>
        <v/>
      </c>
      <c r="I111" s="34">
        <f>IF(COUNT(K111:AG111)=0,"",AB111*3+AC111*2+AD111*2+AE111*1)</f>
        <v/>
      </c>
      <c r="J111" s="34">
        <f>IF(COUNT(K111:AG111)=0,"",(AF111*5+AG111*5)/3)</f>
        <v/>
      </c>
      <c r="K111" s="41" t="n"/>
      <c r="L111" s="41" t="n"/>
      <c r="M111" s="41" t="n"/>
      <c r="N111" s="41" t="n"/>
      <c r="P111" s="41" t="n"/>
      <c r="Q111" s="41" t="n"/>
      <c r="R111" s="41" t="n"/>
      <c r="S111" s="41" t="n"/>
      <c r="U111" s="41" t="n"/>
      <c r="V111" s="41" t="n"/>
      <c r="W111" s="41" t="n"/>
      <c r="X111" s="41" t="n"/>
      <c r="Y111" s="41" t="n"/>
      <c r="Z111" s="41" t="n"/>
      <c r="AB111" s="41" t="n"/>
      <c r="AC111" s="41" t="n"/>
      <c r="AD111" s="41" t="n"/>
      <c r="AE111" s="41" t="n"/>
      <c r="AF111" s="41" t="n"/>
      <c r="AG111" s="41" t="n"/>
    </row>
    <row r="112" ht="14.25" customHeight="1" s="60">
      <c r="E112" s="33">
        <f>IF(COUNT(K112:AG112)=0,"",ROUND((F112+G112+H112+I112+J112)/10,2))</f>
        <v/>
      </c>
      <c r="F112" s="34">
        <f>IF(COUNT(K112:AG112)=0,"",(K112*10+L112*8+M112*7+N112*5)/3)</f>
        <v/>
      </c>
      <c r="G112" s="34">
        <f>IF(COUNT(K112:AG112)=0,"",(P112*8+Q112*7+R112*5+S112*5)/3)</f>
        <v/>
      </c>
      <c r="H112" s="34">
        <f>IF(COUNT(K112:AG112)=0,"",(U112*6+V112*6+W112*4+X112*3+Y112*3+Z112*3)/3)</f>
        <v/>
      </c>
      <c r="I112" s="34">
        <f>IF(COUNT(K112:AG112)=0,"",AB112*3+AC112*2+AD112*2+AE112*1)</f>
        <v/>
      </c>
      <c r="J112" s="34">
        <f>IF(COUNT(K112:AG112)=0,"",(AF112*5+AG112*5)/3)</f>
        <v/>
      </c>
      <c r="K112" s="41" t="n"/>
      <c r="L112" s="41" t="n"/>
      <c r="M112" s="41" t="n"/>
      <c r="N112" s="41" t="n"/>
      <c r="P112" s="41" t="n"/>
      <c r="Q112" s="41" t="n"/>
      <c r="R112" s="41" t="n"/>
      <c r="S112" s="41" t="n"/>
      <c r="U112" s="41" t="n"/>
      <c r="V112" s="41" t="n"/>
      <c r="W112" s="41" t="n"/>
      <c r="X112" s="41" t="n"/>
      <c r="Y112" s="41" t="n"/>
      <c r="Z112" s="41" t="n"/>
      <c r="AB112" s="41" t="n"/>
      <c r="AC112" s="41" t="n"/>
      <c r="AD112" s="41" t="n"/>
      <c r="AE112" s="41" t="n"/>
      <c r="AF112" s="41" t="n"/>
      <c r="AG112" s="41" t="n"/>
    </row>
    <row r="113" ht="14.25" customHeight="1" s="60">
      <c r="E113" s="33">
        <f>IF(COUNT(K113:AG113)=0,"",ROUND((F113+G113+H113+I113+J113)/10,2))</f>
        <v/>
      </c>
      <c r="F113" s="34">
        <f>IF(COUNT(K113:AG113)=0,"",(K113*10+L113*8+M113*7+N113*5)/3)</f>
        <v/>
      </c>
      <c r="G113" s="34">
        <f>IF(COUNT(K113:AG113)=0,"",(P113*8+Q113*7+R113*5+S113*5)/3)</f>
        <v/>
      </c>
      <c r="H113" s="34">
        <f>IF(COUNT(K113:AG113)=0,"",(U113*6+V113*6+W113*4+X113*3+Y113*3+Z113*3)/3)</f>
        <v/>
      </c>
      <c r="I113" s="34">
        <f>IF(COUNT(K113:AG113)=0,"",AB113*3+AC113*2+AD113*2+AE113*1)</f>
        <v/>
      </c>
      <c r="J113" s="34">
        <f>IF(COUNT(K113:AG113)=0,"",(AF113*5+AG113*5)/3)</f>
        <v/>
      </c>
      <c r="K113" s="41" t="n"/>
      <c r="L113" s="41" t="n"/>
      <c r="M113" s="41" t="n"/>
      <c r="N113" s="41" t="n"/>
      <c r="P113" s="41" t="n"/>
      <c r="Q113" s="41" t="n"/>
      <c r="R113" s="41" t="n"/>
      <c r="S113" s="41" t="n"/>
      <c r="U113" s="41" t="n"/>
      <c r="V113" s="41" t="n"/>
      <c r="W113" s="41" t="n"/>
      <c r="X113" s="41" t="n"/>
      <c r="Y113" s="41" t="n"/>
      <c r="Z113" s="41" t="n"/>
      <c r="AB113" s="41" t="n"/>
      <c r="AC113" s="41" t="n"/>
      <c r="AD113" s="41" t="n"/>
      <c r="AE113" s="41" t="n"/>
      <c r="AF113" s="41" t="n"/>
      <c r="AG113" s="41" t="n"/>
    </row>
    <row r="114" ht="14.25" customHeight="1" s="60">
      <c r="E114" s="33">
        <f>IF(COUNT(K114:AG114)=0,"",ROUND((F114+G114+H114+I114+J114)/10,2))</f>
        <v/>
      </c>
      <c r="F114" s="34">
        <f>IF(COUNT(K114:AG114)=0,"",(K114*10+L114*8+M114*7+N114*5)/3)</f>
        <v/>
      </c>
      <c r="G114" s="34">
        <f>IF(COUNT(K114:AG114)=0,"",(P114*8+Q114*7+R114*5+S114*5)/3)</f>
        <v/>
      </c>
      <c r="H114" s="34">
        <f>IF(COUNT(K114:AG114)=0,"",(U114*6+V114*6+W114*4+X114*3+Y114*3+Z114*3)/3)</f>
        <v/>
      </c>
      <c r="I114" s="34">
        <f>IF(COUNT(K114:AG114)=0,"",AB114*3+AC114*2+AD114*2+AE114*1)</f>
        <v/>
      </c>
      <c r="J114" s="34">
        <f>IF(COUNT(K114:AG114)=0,"",(AF114*5+AG114*5)/3)</f>
        <v/>
      </c>
      <c r="K114" s="41" t="n"/>
      <c r="L114" s="41" t="n"/>
      <c r="M114" s="41" t="n"/>
      <c r="N114" s="41" t="n"/>
      <c r="P114" s="41" t="n"/>
      <c r="Q114" s="41" t="n"/>
      <c r="R114" s="41" t="n"/>
      <c r="S114" s="41" t="n"/>
      <c r="U114" s="41" t="n"/>
      <c r="V114" s="41" t="n"/>
      <c r="W114" s="41" t="n"/>
      <c r="X114" s="41" t="n"/>
      <c r="Y114" s="41" t="n"/>
      <c r="Z114" s="41" t="n"/>
      <c r="AB114" s="41" t="n"/>
      <c r="AC114" s="41" t="n"/>
      <c r="AD114" s="41" t="n"/>
      <c r="AE114" s="41" t="n"/>
      <c r="AF114" s="41" t="n"/>
      <c r="AG114" s="41" t="n"/>
    </row>
    <row r="115" ht="14.25" customHeight="1" s="60">
      <c r="E115" s="33">
        <f>IF(COUNT(K115:AG115)=0,"",ROUND((F115+G115+H115+I115+J115)/10,2))</f>
        <v/>
      </c>
      <c r="F115" s="34">
        <f>IF(COUNT(K115:AG115)=0,"",(K115*10+L115*8+M115*7+N115*5)/3)</f>
        <v/>
      </c>
      <c r="G115" s="34">
        <f>IF(COUNT(K115:AG115)=0,"",(P115*8+Q115*7+R115*5+S115*5)/3)</f>
        <v/>
      </c>
      <c r="H115" s="34">
        <f>IF(COUNT(K115:AG115)=0,"",(U115*6+V115*6+W115*4+X115*3+Y115*3+Z115*3)/3)</f>
        <v/>
      </c>
      <c r="I115" s="34">
        <f>IF(COUNT(K115:AG115)=0,"",AB115*3+AC115*2+AD115*2+AE115*1)</f>
        <v/>
      </c>
      <c r="J115" s="34">
        <f>IF(COUNT(K115:AG115)=0,"",(AF115*5+AG115*5)/3)</f>
        <v/>
      </c>
      <c r="K115" s="41" t="n"/>
      <c r="L115" s="41" t="n"/>
      <c r="M115" s="41" t="n"/>
      <c r="N115" s="41" t="n"/>
      <c r="P115" s="41" t="n"/>
      <c r="Q115" s="41" t="n"/>
      <c r="R115" s="41" t="n"/>
      <c r="S115" s="41" t="n"/>
      <c r="U115" s="41" t="n"/>
      <c r="V115" s="41" t="n"/>
      <c r="W115" s="41" t="n"/>
      <c r="X115" s="41" t="n"/>
      <c r="Y115" s="41" t="n"/>
      <c r="Z115" s="41" t="n"/>
      <c r="AB115" s="41" t="n"/>
      <c r="AC115" s="41" t="n"/>
      <c r="AD115" s="41" t="n"/>
      <c r="AE115" s="41" t="n"/>
      <c r="AF115" s="41" t="n"/>
      <c r="AG115" s="41" t="n"/>
    </row>
    <row r="116" ht="14.25" customHeight="1" s="60">
      <c r="E116" s="33">
        <f>IF(COUNT(K116:AG116)=0,"",ROUND((F116+G116+H116+I116+J116)/10,2))</f>
        <v/>
      </c>
      <c r="F116" s="34">
        <f>IF(COUNT(K116:AG116)=0,"",(K116*10+L116*8+M116*7+N116*5)/3)</f>
        <v/>
      </c>
      <c r="G116" s="34">
        <f>IF(COUNT(K116:AG116)=0,"",(P116*8+Q116*7+R116*5+S116*5)/3)</f>
        <v/>
      </c>
      <c r="H116" s="34">
        <f>IF(COUNT(K116:AG116)=0,"",(U116*6+V116*6+W116*4+X116*3+Y116*3+Z116*3)/3)</f>
        <v/>
      </c>
      <c r="I116" s="34">
        <f>IF(COUNT(K116:AG116)=0,"",AB116*3+AC116*2+AD116*2+AE116*1)</f>
        <v/>
      </c>
      <c r="J116" s="34">
        <f>IF(COUNT(K116:AG116)=0,"",(AF116*5+AG116*5)/3)</f>
        <v/>
      </c>
      <c r="K116" s="41" t="n"/>
      <c r="L116" s="41" t="n"/>
      <c r="M116" s="41" t="n"/>
      <c r="N116" s="41" t="n"/>
      <c r="P116" s="41" t="n"/>
      <c r="Q116" s="41" t="n"/>
      <c r="R116" s="41" t="n"/>
      <c r="S116" s="41" t="n"/>
      <c r="U116" s="41" t="n"/>
      <c r="V116" s="41" t="n"/>
      <c r="W116" s="41" t="n"/>
      <c r="X116" s="41" t="n"/>
      <c r="Y116" s="41" t="n"/>
      <c r="Z116" s="41" t="n"/>
      <c r="AB116" s="41" t="n"/>
      <c r="AC116" s="41" t="n"/>
      <c r="AD116" s="41" t="n"/>
      <c r="AE116" s="41" t="n"/>
      <c r="AF116" s="41" t="n"/>
      <c r="AG116" s="41" t="n"/>
    </row>
    <row r="117" ht="14.25" customHeight="1" s="60">
      <c r="E117" s="33">
        <f>IF(COUNT(K117:AG117)=0,"",ROUND((F117+G117+H117+I117+J117)/10,2))</f>
        <v/>
      </c>
      <c r="F117" s="34">
        <f>IF(COUNT(K117:AG117)=0,"",(K117*10+L117*8+M117*7+N117*5)/3)</f>
        <v/>
      </c>
      <c r="G117" s="34">
        <f>IF(COUNT(K117:AG117)=0,"",(P117*8+Q117*7+R117*5+S117*5)/3)</f>
        <v/>
      </c>
      <c r="H117" s="34">
        <f>IF(COUNT(K117:AG117)=0,"",(U117*6+V117*6+W117*4+X117*3+Y117*3+Z117*3)/3)</f>
        <v/>
      </c>
      <c r="I117" s="34">
        <f>IF(COUNT(K117:AG117)=0,"",AB117*3+AC117*2+AD117*2+AE117*1)</f>
        <v/>
      </c>
      <c r="J117" s="34">
        <f>IF(COUNT(K117:AG117)=0,"",(AF117*5+AG117*5)/3)</f>
        <v/>
      </c>
      <c r="K117" s="41" t="n"/>
      <c r="L117" s="41" t="n"/>
      <c r="M117" s="41" t="n"/>
      <c r="N117" s="41" t="n"/>
      <c r="P117" s="41" t="n"/>
      <c r="Q117" s="41" t="n"/>
      <c r="R117" s="41" t="n"/>
      <c r="S117" s="41" t="n"/>
      <c r="U117" s="41" t="n"/>
      <c r="V117" s="41" t="n"/>
      <c r="W117" s="41" t="n"/>
      <c r="X117" s="41" t="n"/>
      <c r="Y117" s="41" t="n"/>
      <c r="Z117" s="41" t="n"/>
      <c r="AB117" s="41" t="n"/>
      <c r="AC117" s="41" t="n"/>
      <c r="AD117" s="41" t="n"/>
      <c r="AE117" s="41" t="n"/>
      <c r="AF117" s="41" t="n"/>
      <c r="AG117" s="41" t="n"/>
    </row>
    <row r="118" ht="14.25" customHeight="1" s="60">
      <c r="E118" s="33">
        <f>IF(COUNT(K118:AG118)=0,"",ROUND((F118+G118+H118+I118+J118)/10,2))</f>
        <v/>
      </c>
      <c r="F118" s="34">
        <f>IF(COUNT(K118:AG118)=0,"",(K118*10+L118*8+M118*7+N118*5)/3)</f>
        <v/>
      </c>
      <c r="G118" s="34">
        <f>IF(COUNT(K118:AG118)=0,"",(P118*8+Q118*7+R118*5+S118*5)/3)</f>
        <v/>
      </c>
      <c r="H118" s="34">
        <f>IF(COUNT(K118:AG118)=0,"",(U118*6+V118*6+W118*4+X118*3+Y118*3+Z118*3)/3)</f>
        <v/>
      </c>
      <c r="I118" s="34">
        <f>IF(COUNT(K118:AG118)=0,"",AB118*3+AC118*2+AD118*2+AE118*1)</f>
        <v/>
      </c>
      <c r="J118" s="34">
        <f>IF(COUNT(K118:AG118)=0,"",(AF118*5+AG118*5)/3)</f>
        <v/>
      </c>
      <c r="K118" s="41" t="n"/>
      <c r="L118" s="41" t="n"/>
      <c r="M118" s="41" t="n"/>
      <c r="N118" s="41" t="n"/>
      <c r="P118" s="41" t="n"/>
      <c r="Q118" s="41" t="n"/>
      <c r="R118" s="41" t="n"/>
      <c r="S118" s="41" t="n"/>
      <c r="U118" s="41" t="n"/>
      <c r="V118" s="41" t="n"/>
      <c r="W118" s="41" t="n"/>
      <c r="X118" s="41" t="n"/>
      <c r="Y118" s="41" t="n"/>
      <c r="Z118" s="41" t="n"/>
      <c r="AB118" s="41" t="n"/>
      <c r="AC118" s="41" t="n"/>
      <c r="AD118" s="41" t="n"/>
      <c r="AE118" s="41" t="n"/>
      <c r="AF118" s="41" t="n"/>
      <c r="AG118" s="41" t="n"/>
    </row>
    <row r="119" ht="14.25" customHeight="1" s="60">
      <c r="E119" s="33">
        <f>IF(COUNT(K119:AG119)=0,"",ROUND((F119+G119+H119+I119+J119)/10,2))</f>
        <v/>
      </c>
      <c r="F119" s="34">
        <f>IF(COUNT(K119:AG119)=0,"",(K119*10+L119*8+M119*7+N119*5)/3)</f>
        <v/>
      </c>
      <c r="G119" s="34">
        <f>IF(COUNT(K119:AG119)=0,"",(P119*8+Q119*7+R119*5+S119*5)/3)</f>
        <v/>
      </c>
      <c r="H119" s="34">
        <f>IF(COUNT(K119:AG119)=0,"",(U119*6+V119*6+W119*4+X119*3+Y119*3+Z119*3)/3)</f>
        <v/>
      </c>
      <c r="I119" s="34">
        <f>IF(COUNT(K119:AG119)=0,"",AB119*3+AC119*2+AD119*2+AE119*1)</f>
        <v/>
      </c>
      <c r="J119" s="34">
        <f>IF(COUNT(K119:AG119)=0,"",(AF119*5+AG119*5)/3)</f>
        <v/>
      </c>
      <c r="K119" s="41" t="n"/>
      <c r="L119" s="41" t="n"/>
      <c r="M119" s="41" t="n"/>
      <c r="N119" s="41" t="n"/>
      <c r="P119" s="41" t="n"/>
      <c r="Q119" s="41" t="n"/>
      <c r="R119" s="41" t="n"/>
      <c r="S119" s="41" t="n"/>
      <c r="U119" s="41" t="n"/>
      <c r="V119" s="41" t="n"/>
      <c r="W119" s="41" t="n"/>
      <c r="X119" s="41" t="n"/>
      <c r="Y119" s="41" t="n"/>
      <c r="Z119" s="41" t="n"/>
      <c r="AB119" s="41" t="n"/>
      <c r="AC119" s="41" t="n"/>
      <c r="AD119" s="41" t="n"/>
      <c r="AE119" s="41" t="n"/>
      <c r="AF119" s="41" t="n"/>
      <c r="AG119" s="41" t="n"/>
    </row>
    <row r="120" ht="14.25" customHeight="1" s="60">
      <c r="E120" s="33">
        <f>IF(COUNT(K120:AG120)=0,"",ROUND((F120+G120+H120+I120+J120)/10,2))</f>
        <v/>
      </c>
      <c r="F120" s="34">
        <f>IF(COUNT(K120:AG120)=0,"",(K120*10+L120*8+M120*7+N120*5)/3)</f>
        <v/>
      </c>
      <c r="G120" s="34">
        <f>IF(COUNT(K120:AG120)=0,"",(P120*8+Q120*7+R120*5+S120*5)/3)</f>
        <v/>
      </c>
      <c r="H120" s="34">
        <f>IF(COUNT(K120:AG120)=0,"",(U120*6+V120*6+W120*4+X120*3+Y120*3+Z120*3)/3)</f>
        <v/>
      </c>
      <c r="I120" s="34">
        <f>IF(COUNT(K120:AG120)=0,"",AB120*3+AC120*2+AD120*2+AE120*1)</f>
        <v/>
      </c>
      <c r="J120" s="34">
        <f>IF(COUNT(K120:AG120)=0,"",(AF120*5+AG120*5)/3)</f>
        <v/>
      </c>
      <c r="K120" s="41" t="n"/>
      <c r="L120" s="41" t="n"/>
      <c r="M120" s="41" t="n"/>
      <c r="N120" s="41" t="n"/>
      <c r="P120" s="41" t="n"/>
      <c r="Q120" s="41" t="n"/>
      <c r="R120" s="41" t="n"/>
      <c r="S120" s="41" t="n"/>
      <c r="U120" s="41" t="n"/>
      <c r="V120" s="41" t="n"/>
      <c r="W120" s="41" t="n"/>
      <c r="X120" s="41" t="n"/>
      <c r="Y120" s="41" t="n"/>
      <c r="Z120" s="41" t="n"/>
      <c r="AB120" s="41" t="n"/>
      <c r="AC120" s="41" t="n"/>
      <c r="AD120" s="41" t="n"/>
      <c r="AE120" s="41" t="n"/>
      <c r="AF120" s="41" t="n"/>
      <c r="AG120" s="41" t="n"/>
    </row>
    <row r="121" ht="14.25" customHeight="1" s="60">
      <c r="E121" s="33">
        <f>IF(COUNT(K121:AG121)=0,"",ROUND((F121+G121+H121+I121+J121)/10,2))</f>
        <v/>
      </c>
      <c r="F121" s="34">
        <f>IF(COUNT(K121:AG121)=0,"",(K121*10+L121*8+M121*7+N121*5)/3)</f>
        <v/>
      </c>
      <c r="G121" s="34">
        <f>IF(COUNT(K121:AG121)=0,"",(P121*8+Q121*7+R121*5+S121*5)/3)</f>
        <v/>
      </c>
      <c r="H121" s="34">
        <f>IF(COUNT(K121:AG121)=0,"",(U121*6+V121*6+W121*4+X121*3+Y121*3+Z121*3)/3)</f>
        <v/>
      </c>
      <c r="I121" s="34">
        <f>IF(COUNT(K121:AG121)=0,"",AB121*3+AC121*2+AD121*2+AE121*1)</f>
        <v/>
      </c>
      <c r="J121" s="34">
        <f>IF(COUNT(K121:AG121)=0,"",(AF121*5+AG121*5)/3)</f>
        <v/>
      </c>
      <c r="K121" s="41" t="n"/>
      <c r="L121" s="41" t="n"/>
      <c r="M121" s="41" t="n"/>
      <c r="N121" s="41" t="n"/>
      <c r="P121" s="41" t="n"/>
      <c r="Q121" s="41" t="n"/>
      <c r="R121" s="41" t="n"/>
      <c r="S121" s="41" t="n"/>
      <c r="U121" s="41" t="n"/>
      <c r="V121" s="41" t="n"/>
      <c r="W121" s="41" t="n"/>
      <c r="X121" s="41" t="n"/>
      <c r="Y121" s="41" t="n"/>
      <c r="Z121" s="41" t="n"/>
      <c r="AB121" s="41" t="n"/>
      <c r="AC121" s="41" t="n"/>
      <c r="AD121" s="41" t="n"/>
      <c r="AE121" s="41" t="n"/>
      <c r="AF121" s="41" t="n"/>
      <c r="AG121" s="41" t="n"/>
    </row>
    <row r="122" ht="14.25" customHeight="1" s="60">
      <c r="E122" s="33">
        <f>IF(COUNT(K122:AG122)=0,"",ROUND((F122+G122+H122+I122+J122)/10,2))</f>
        <v/>
      </c>
      <c r="F122" s="34">
        <f>IF(COUNT(K122:AG122)=0,"",(K122*10+L122*8+M122*7+N122*5)/3)</f>
        <v/>
      </c>
      <c r="G122" s="34">
        <f>IF(COUNT(K122:AG122)=0,"",(P122*8+Q122*7+R122*5+S122*5)/3)</f>
        <v/>
      </c>
      <c r="H122" s="34">
        <f>IF(COUNT(K122:AG122)=0,"",(U122*6+V122*6+W122*4+X122*3+Y122*3+Z122*3)/3)</f>
        <v/>
      </c>
      <c r="I122" s="34">
        <f>IF(COUNT(K122:AG122)=0,"",AB122*3+AC122*2+AD122*2+AE122*1)</f>
        <v/>
      </c>
      <c r="J122" s="34">
        <f>IF(COUNT(K122:AG122)=0,"",(AF122*5+AG122*5)/3)</f>
        <v/>
      </c>
      <c r="K122" s="41" t="n"/>
      <c r="L122" s="41" t="n"/>
      <c r="M122" s="41" t="n"/>
      <c r="N122" s="41" t="n"/>
      <c r="P122" s="41" t="n"/>
      <c r="Q122" s="41" t="n"/>
      <c r="R122" s="41" t="n"/>
      <c r="S122" s="41" t="n"/>
      <c r="U122" s="41" t="n"/>
      <c r="V122" s="41" t="n"/>
      <c r="W122" s="41" t="n"/>
      <c r="X122" s="41" t="n"/>
      <c r="Y122" s="41" t="n"/>
      <c r="Z122" s="41" t="n"/>
      <c r="AB122" s="41" t="n"/>
      <c r="AC122" s="41" t="n"/>
      <c r="AD122" s="41" t="n"/>
      <c r="AE122" s="41" t="n"/>
      <c r="AF122" s="41" t="n"/>
      <c r="AG122" s="41" t="n"/>
    </row>
    <row r="123" ht="14.25" customHeight="1" s="60">
      <c r="E123" s="33">
        <f>IF(COUNT(K123:AG123)=0,"",ROUND((F123+G123+H123+I123+J123)/10,2))</f>
        <v/>
      </c>
      <c r="F123" s="34">
        <f>IF(COUNT(K123:AG123)=0,"",(K123*10+L123*8+M123*7+N123*5)/3)</f>
        <v/>
      </c>
      <c r="G123" s="34">
        <f>IF(COUNT(K123:AG123)=0,"",(P123*8+Q123*7+R123*5+S123*5)/3)</f>
        <v/>
      </c>
      <c r="H123" s="34">
        <f>IF(COUNT(K123:AG123)=0,"",(U123*6+V123*6+W123*4+X123*3+Y123*3+Z123*3)/3)</f>
        <v/>
      </c>
      <c r="I123" s="34">
        <f>IF(COUNT(K123:AG123)=0,"",AB123*3+AC123*2+AD123*2+AE123*1)</f>
        <v/>
      </c>
      <c r="J123" s="34">
        <f>IF(COUNT(K123:AG123)=0,"",(AF123*5+AG123*5)/3)</f>
        <v/>
      </c>
      <c r="K123" s="41" t="n"/>
      <c r="L123" s="41" t="n"/>
      <c r="M123" s="41" t="n"/>
      <c r="N123" s="41" t="n"/>
      <c r="P123" s="41" t="n"/>
      <c r="Q123" s="41" t="n"/>
      <c r="R123" s="41" t="n"/>
      <c r="S123" s="41" t="n"/>
      <c r="U123" s="41" t="n"/>
      <c r="V123" s="41" t="n"/>
      <c r="W123" s="41" t="n"/>
      <c r="X123" s="41" t="n"/>
      <c r="Y123" s="41" t="n"/>
      <c r="Z123" s="41" t="n"/>
      <c r="AB123" s="41" t="n"/>
      <c r="AC123" s="41" t="n"/>
      <c r="AD123" s="41" t="n"/>
      <c r="AE123" s="41" t="n"/>
      <c r="AF123" s="41" t="n"/>
      <c r="AG123" s="41" t="n"/>
    </row>
    <row r="124" ht="14.25" customHeight="1" s="60">
      <c r="E124" s="33">
        <f>IF(COUNT(K124:AG124)=0,"",ROUND((F124+G124+H124+I124+J124)/10,2))</f>
        <v/>
      </c>
      <c r="F124" s="34">
        <f>IF(COUNT(K124:AG124)=0,"",(K124*10+L124*8+M124*7+N124*5)/3)</f>
        <v/>
      </c>
      <c r="G124" s="34">
        <f>IF(COUNT(K124:AG124)=0,"",(P124*8+Q124*7+R124*5+S124*5)/3)</f>
        <v/>
      </c>
      <c r="H124" s="34">
        <f>IF(COUNT(K124:AG124)=0,"",(U124*6+V124*6+W124*4+X124*3+Y124*3+Z124*3)/3)</f>
        <v/>
      </c>
      <c r="I124" s="34">
        <f>IF(COUNT(K124:AG124)=0,"",AB124*3+AC124*2+AD124*2+AE124*1)</f>
        <v/>
      </c>
      <c r="J124" s="34">
        <f>IF(COUNT(K124:AG124)=0,"",(AF124*5+AG124*5)/3)</f>
        <v/>
      </c>
      <c r="K124" s="41" t="n"/>
      <c r="L124" s="41" t="n"/>
      <c r="M124" s="41" t="n"/>
      <c r="N124" s="41" t="n"/>
      <c r="P124" s="41" t="n"/>
      <c r="Q124" s="41" t="n"/>
      <c r="R124" s="41" t="n"/>
      <c r="S124" s="41" t="n"/>
      <c r="U124" s="41" t="n"/>
      <c r="V124" s="41" t="n"/>
      <c r="W124" s="41" t="n"/>
      <c r="X124" s="41" t="n"/>
      <c r="Y124" s="41" t="n"/>
      <c r="Z124" s="41" t="n"/>
      <c r="AB124" s="41" t="n"/>
      <c r="AC124" s="41" t="n"/>
      <c r="AD124" s="41" t="n"/>
      <c r="AE124" s="41" t="n"/>
      <c r="AF124" s="41" t="n"/>
      <c r="AG124" s="41" t="n"/>
    </row>
    <row r="125" ht="14.25" customHeight="1" s="60">
      <c r="E125" s="33">
        <f>IF(COUNT(K125:AG125)=0,"",ROUND((F125+G125+H125+I125+J125)/10,2))</f>
        <v/>
      </c>
      <c r="F125" s="34">
        <f>IF(COUNT(K125:AG125)=0,"",(K125*10+L125*8+M125*7+N125*5)/3)</f>
        <v/>
      </c>
      <c r="G125" s="34">
        <f>IF(COUNT(K125:AG125)=0,"",(P125*8+Q125*7+R125*5+S125*5)/3)</f>
        <v/>
      </c>
      <c r="H125" s="34">
        <f>IF(COUNT(K125:AG125)=0,"",(U125*6+V125*6+W125*4+X125*3+Y125*3+Z125*3)/3)</f>
        <v/>
      </c>
      <c r="I125" s="34">
        <f>IF(COUNT(K125:AG125)=0,"",AB125*3+AC125*2+AD125*2+AE125*1)</f>
        <v/>
      </c>
      <c r="J125" s="34">
        <f>IF(COUNT(K125:AG125)=0,"",(AF125*5+AG125*5)/3)</f>
        <v/>
      </c>
      <c r="K125" s="41" t="n"/>
      <c r="L125" s="41" t="n"/>
      <c r="M125" s="41" t="n"/>
      <c r="N125" s="41" t="n"/>
      <c r="P125" s="41" t="n"/>
      <c r="Q125" s="41" t="n"/>
      <c r="R125" s="41" t="n"/>
      <c r="S125" s="41" t="n"/>
      <c r="U125" s="41" t="n"/>
      <c r="V125" s="41" t="n"/>
      <c r="W125" s="41" t="n"/>
      <c r="X125" s="41" t="n"/>
      <c r="Y125" s="41" t="n"/>
      <c r="Z125" s="41" t="n"/>
      <c r="AB125" s="41" t="n"/>
      <c r="AC125" s="41" t="n"/>
      <c r="AD125" s="41" t="n"/>
      <c r="AE125" s="41" t="n"/>
      <c r="AF125" s="41" t="n"/>
      <c r="AG125" s="41" t="n"/>
    </row>
    <row r="126" ht="14.25" customHeight="1" s="60">
      <c r="E126" s="33">
        <f>IF(COUNT(K126:AG126)=0,"",ROUND((F126+G126+H126+I126+J126)/10,2))</f>
        <v/>
      </c>
      <c r="F126" s="34">
        <f>IF(COUNT(K126:AG126)=0,"",(K126*10+L126*8+M126*7+N126*5)/3)</f>
        <v/>
      </c>
      <c r="G126" s="34">
        <f>IF(COUNT(K126:AG126)=0,"",(P126*8+Q126*7+R126*5+S126*5)/3)</f>
        <v/>
      </c>
      <c r="H126" s="34">
        <f>IF(COUNT(K126:AG126)=0,"",(U126*6+V126*6+W126*4+X126*3+Y126*3+Z126*3)/3)</f>
        <v/>
      </c>
      <c r="I126" s="34">
        <f>IF(COUNT(K126:AG126)=0,"",AB126*3+AC126*2+AD126*2+AE126*1)</f>
        <v/>
      </c>
      <c r="J126" s="34">
        <f>IF(COUNT(K126:AG126)=0,"",(AF126*5+AG126*5)/3)</f>
        <v/>
      </c>
      <c r="K126" s="41" t="n"/>
      <c r="L126" s="41" t="n"/>
      <c r="M126" s="41" t="n"/>
      <c r="N126" s="41" t="n"/>
      <c r="P126" s="41" t="n"/>
      <c r="Q126" s="41" t="n"/>
      <c r="R126" s="41" t="n"/>
      <c r="S126" s="41" t="n"/>
      <c r="U126" s="41" t="n"/>
      <c r="V126" s="41" t="n"/>
      <c r="W126" s="41" t="n"/>
      <c r="X126" s="41" t="n"/>
      <c r="Y126" s="41" t="n"/>
      <c r="Z126" s="41" t="n"/>
      <c r="AB126" s="41" t="n"/>
      <c r="AC126" s="41" t="n"/>
      <c r="AD126" s="41" t="n"/>
      <c r="AE126" s="41" t="n"/>
      <c r="AF126" s="41" t="n"/>
      <c r="AG126" s="41" t="n"/>
    </row>
    <row r="127" ht="14.25" customHeight="1" s="60">
      <c r="E127" s="33">
        <f>IF(COUNT(K127:AG127)=0,"",ROUND((F127+G127+H127+I127+J127)/10,2))</f>
        <v/>
      </c>
      <c r="F127" s="34">
        <f>IF(COUNT(K127:AG127)=0,"",(K127*10+L127*8+M127*7+N127*5)/3)</f>
        <v/>
      </c>
      <c r="G127" s="34">
        <f>IF(COUNT(K127:AG127)=0,"",(P127*8+Q127*7+R127*5+S127*5)/3)</f>
        <v/>
      </c>
      <c r="H127" s="34">
        <f>IF(COUNT(K127:AG127)=0,"",(U127*6+V127*6+W127*4+X127*3+Y127*3+Z127*3)/3)</f>
        <v/>
      </c>
      <c r="I127" s="34">
        <f>IF(COUNT(K127:AG127)=0,"",AB127*3+AC127*2+AD127*2+AE127*1)</f>
        <v/>
      </c>
      <c r="J127" s="34">
        <f>IF(COUNT(K127:AG127)=0,"",(AF127*5+AG127*5)/3)</f>
        <v/>
      </c>
      <c r="K127" s="41" t="n"/>
      <c r="L127" s="41" t="n"/>
      <c r="M127" s="41" t="n"/>
      <c r="N127" s="41" t="n"/>
      <c r="P127" s="41" t="n"/>
      <c r="Q127" s="41" t="n"/>
      <c r="R127" s="41" t="n"/>
      <c r="S127" s="41" t="n"/>
      <c r="U127" s="41" t="n"/>
      <c r="V127" s="41" t="n"/>
      <c r="W127" s="41" t="n"/>
      <c r="X127" s="41" t="n"/>
      <c r="Y127" s="41" t="n"/>
      <c r="Z127" s="41" t="n"/>
      <c r="AB127" s="41" t="n"/>
      <c r="AC127" s="41" t="n"/>
      <c r="AD127" s="41" t="n"/>
      <c r="AE127" s="41" t="n"/>
      <c r="AF127" s="41" t="n"/>
      <c r="AG127" s="41" t="n"/>
    </row>
    <row r="128" ht="14.25" customHeight="1" s="60">
      <c r="E128" s="33">
        <f>IF(COUNT(K128:AG128)=0,"",ROUND((F128+G128+H128+I128+J128)/10,2))</f>
        <v/>
      </c>
      <c r="F128" s="34">
        <f>IF(COUNT(K128:AG128)=0,"",(K128*10+L128*8+M128*7+N128*5)/3)</f>
        <v/>
      </c>
      <c r="G128" s="34">
        <f>IF(COUNT(K128:AG128)=0,"",(P128*8+Q128*7+R128*5+S128*5)/3)</f>
        <v/>
      </c>
      <c r="H128" s="34">
        <f>IF(COUNT(K128:AG128)=0,"",(U128*6+V128*6+W128*4+X128*3+Y128*3+Z128*3)/3)</f>
        <v/>
      </c>
      <c r="I128" s="34">
        <f>IF(COUNT(K128:AG128)=0,"",AB128*3+AC128*2+AD128*2+AE128*1)</f>
        <v/>
      </c>
      <c r="J128" s="34">
        <f>IF(COUNT(K128:AG128)=0,"",(AF128*5+AG128*5)/3)</f>
        <v/>
      </c>
      <c r="K128" s="41" t="n"/>
      <c r="L128" s="41" t="n"/>
      <c r="M128" s="41" t="n"/>
      <c r="N128" s="41" t="n"/>
      <c r="P128" s="41" t="n"/>
      <c r="Q128" s="41" t="n"/>
      <c r="R128" s="41" t="n"/>
      <c r="S128" s="41" t="n"/>
      <c r="U128" s="41" t="n"/>
      <c r="V128" s="41" t="n"/>
      <c r="W128" s="41" t="n"/>
      <c r="X128" s="41" t="n"/>
      <c r="Y128" s="41" t="n"/>
      <c r="Z128" s="41" t="n"/>
      <c r="AB128" s="41" t="n"/>
      <c r="AC128" s="41" t="n"/>
      <c r="AD128" s="41" t="n"/>
      <c r="AE128" s="41" t="n"/>
      <c r="AF128" s="41" t="n"/>
      <c r="AG128" s="41" t="n"/>
    </row>
    <row r="129" ht="14.25" customHeight="1" s="60">
      <c r="E129" s="33">
        <f>IF(COUNT(K129:AG129)=0,"",ROUND((F129+G129+H129+I129+J129)/10,2))</f>
        <v/>
      </c>
      <c r="F129" s="34">
        <f>IF(COUNT(K129:AG129)=0,"",(K129*10+L129*8+M129*7+N129*5)/3)</f>
        <v/>
      </c>
      <c r="G129" s="34">
        <f>IF(COUNT(K129:AG129)=0,"",(P129*8+Q129*7+R129*5+S129*5)/3)</f>
        <v/>
      </c>
      <c r="H129" s="34">
        <f>IF(COUNT(K129:AG129)=0,"",(U129*6+V129*6+W129*4+X129*3+Y129*3+Z129*3)/3)</f>
        <v/>
      </c>
      <c r="I129" s="34">
        <f>IF(COUNT(K129:AG129)=0,"",AB129*3+AC129*2+AD129*2+AE129*1)</f>
        <v/>
      </c>
      <c r="J129" s="34">
        <f>IF(COUNT(K129:AG129)=0,"",(AF129*5+AG129*5)/3)</f>
        <v/>
      </c>
      <c r="K129" s="41" t="n"/>
      <c r="L129" s="41" t="n"/>
      <c r="M129" s="41" t="n"/>
      <c r="N129" s="41" t="n"/>
      <c r="P129" s="41" t="n"/>
      <c r="Q129" s="41" t="n"/>
      <c r="R129" s="41" t="n"/>
      <c r="S129" s="41" t="n"/>
      <c r="U129" s="41" t="n"/>
      <c r="V129" s="41" t="n"/>
      <c r="W129" s="41" t="n"/>
      <c r="X129" s="41" t="n"/>
      <c r="Y129" s="41" t="n"/>
      <c r="Z129" s="41" t="n"/>
      <c r="AB129" s="41" t="n"/>
      <c r="AC129" s="41" t="n"/>
      <c r="AD129" s="41" t="n"/>
      <c r="AE129" s="41" t="n"/>
      <c r="AF129" s="41" t="n"/>
      <c r="AG129" s="41" t="n"/>
    </row>
    <row r="130" ht="14.25" customHeight="1" s="60">
      <c r="E130" s="33">
        <f>IF(COUNT(K130:AG130)=0,"",ROUND((F130+G130+H130+I130+J130)/10,2))</f>
        <v/>
      </c>
      <c r="F130" s="34">
        <f>IF(COUNT(K130:AG130)=0,"",(K130*10+L130*8+M130*7+N130*5)/3)</f>
        <v/>
      </c>
      <c r="G130" s="34">
        <f>IF(COUNT(K130:AG130)=0,"",(P130*8+Q130*7+R130*5+S130*5)/3)</f>
        <v/>
      </c>
      <c r="H130" s="34">
        <f>IF(COUNT(K130:AG130)=0,"",(U130*6+V130*6+W130*4+X130*3+Y130*3+Z130*3)/3)</f>
        <v/>
      </c>
      <c r="I130" s="34">
        <f>IF(COUNT(K130:AG130)=0,"",AB130*3+AC130*2+AD130*2+AE130*1)</f>
        <v/>
      </c>
      <c r="J130" s="34">
        <f>IF(COUNT(K130:AG130)=0,"",(AF130*5+AG130*5)/3)</f>
        <v/>
      </c>
      <c r="K130" s="41" t="n"/>
      <c r="L130" s="41" t="n"/>
      <c r="M130" s="41" t="n"/>
      <c r="N130" s="41" t="n"/>
      <c r="P130" s="41" t="n"/>
      <c r="Q130" s="41" t="n"/>
      <c r="R130" s="41" t="n"/>
      <c r="S130" s="41" t="n"/>
      <c r="U130" s="41" t="n"/>
      <c r="V130" s="41" t="n"/>
      <c r="W130" s="41" t="n"/>
      <c r="X130" s="41" t="n"/>
      <c r="Y130" s="41" t="n"/>
      <c r="Z130" s="41" t="n"/>
      <c r="AB130" s="41" t="n"/>
      <c r="AC130" s="41" t="n"/>
      <c r="AD130" s="41" t="n"/>
      <c r="AE130" s="41" t="n"/>
      <c r="AF130" s="41" t="n"/>
      <c r="AG130" s="41" t="n"/>
    </row>
    <row r="131" ht="14.25" customHeight="1" s="60">
      <c r="E131" s="33">
        <f>IF(COUNT(K131:AG131)=0,"",ROUND((F131+G131+H131+I131+J131)/10,2))</f>
        <v/>
      </c>
      <c r="F131" s="34">
        <f>IF(COUNT(K131:AG131)=0,"",(K131*10+L131*8+M131*7+N131*5)/3)</f>
        <v/>
      </c>
      <c r="G131" s="34">
        <f>IF(COUNT(K131:AG131)=0,"",(P131*8+Q131*7+R131*5+S131*5)/3)</f>
        <v/>
      </c>
      <c r="H131" s="34">
        <f>IF(COUNT(K131:AG131)=0,"",(U131*6+V131*6+W131*4+X131*3+Y131*3+Z131*3)/3)</f>
        <v/>
      </c>
      <c r="I131" s="34">
        <f>IF(COUNT(K131:AG131)=0,"",AB131*3+AC131*2+AD131*2+AE131*1)</f>
        <v/>
      </c>
      <c r="J131" s="34">
        <f>IF(COUNT(K131:AG131)=0,"",(AF131*5+AG131*5)/3)</f>
        <v/>
      </c>
      <c r="K131" s="41" t="n"/>
      <c r="L131" s="41" t="n"/>
      <c r="M131" s="41" t="n"/>
      <c r="N131" s="41" t="n"/>
      <c r="P131" s="41" t="n"/>
      <c r="Q131" s="41" t="n"/>
      <c r="R131" s="41" t="n"/>
      <c r="S131" s="41" t="n"/>
      <c r="U131" s="41" t="n"/>
      <c r="V131" s="41" t="n"/>
      <c r="W131" s="41" t="n"/>
      <c r="X131" s="41" t="n"/>
      <c r="Y131" s="41" t="n"/>
      <c r="Z131" s="41" t="n"/>
      <c r="AB131" s="41" t="n"/>
      <c r="AC131" s="41" t="n"/>
      <c r="AD131" s="41" t="n"/>
      <c r="AE131" s="41" t="n"/>
      <c r="AF131" s="41" t="n"/>
      <c r="AG131" s="41" t="n"/>
    </row>
    <row r="132" ht="14.25" customHeight="1" s="60">
      <c r="E132" s="33">
        <f>IF(COUNT(K132:AG132)=0,"",ROUND((F132+G132+H132+I132+J132)/10,2))</f>
        <v/>
      </c>
      <c r="F132" s="34">
        <f>IF(COUNT(K132:AG132)=0,"",(K132*10+L132*8+M132*7+N132*5)/3)</f>
        <v/>
      </c>
      <c r="G132" s="34">
        <f>IF(COUNT(K132:AG132)=0,"",(P132*8+Q132*7+R132*5+S132*5)/3)</f>
        <v/>
      </c>
      <c r="H132" s="34">
        <f>IF(COUNT(K132:AG132)=0,"",(U132*6+V132*6+W132*4+X132*3+Y132*3+Z132*3)/3)</f>
        <v/>
      </c>
      <c r="I132" s="34">
        <f>IF(COUNT(K132:AG132)=0,"",AB132*3+AC132*2+AD132*2+AE132*1)</f>
        <v/>
      </c>
      <c r="J132" s="34">
        <f>IF(COUNT(K132:AG132)=0,"",(AF132*5+AG132*5)/3)</f>
        <v/>
      </c>
      <c r="K132" s="41" t="n"/>
      <c r="L132" s="41" t="n"/>
      <c r="M132" s="41" t="n"/>
      <c r="N132" s="41" t="n"/>
      <c r="P132" s="41" t="n"/>
      <c r="Q132" s="41" t="n"/>
      <c r="R132" s="41" t="n"/>
      <c r="S132" s="41" t="n"/>
      <c r="U132" s="41" t="n"/>
      <c r="V132" s="41" t="n"/>
      <c r="W132" s="41" t="n"/>
      <c r="X132" s="41" t="n"/>
      <c r="Y132" s="41" t="n"/>
      <c r="Z132" s="41" t="n"/>
      <c r="AB132" s="41" t="n"/>
      <c r="AC132" s="41" t="n"/>
      <c r="AD132" s="41" t="n"/>
      <c r="AE132" s="41" t="n"/>
      <c r="AF132" s="41" t="n"/>
      <c r="AG132" s="41" t="n"/>
    </row>
    <row r="133" ht="14.25" customHeight="1" s="60">
      <c r="E133" s="33">
        <f>IF(COUNT(K133:AG133)=0,"",ROUND((F133+G133+H133+I133+J133)/10,2))</f>
        <v/>
      </c>
      <c r="F133" s="34">
        <f>IF(COUNT(K133:AG133)=0,"",(K133*10+L133*8+M133*7+N133*5)/3)</f>
        <v/>
      </c>
      <c r="G133" s="34">
        <f>IF(COUNT(K133:AG133)=0,"",(P133*8+Q133*7+R133*5+S133*5)/3)</f>
        <v/>
      </c>
      <c r="H133" s="34">
        <f>IF(COUNT(K133:AG133)=0,"",(U133*6+V133*6+W133*4+X133*3+Y133*3+Z133*3)/3)</f>
        <v/>
      </c>
      <c r="I133" s="34">
        <f>IF(COUNT(K133:AG133)=0,"",AB133*3+AC133*2+AD133*2+AE133*1)</f>
        <v/>
      </c>
      <c r="J133" s="34">
        <f>IF(COUNT(K133:AG133)=0,"",(AF133*5+AG133*5)/3)</f>
        <v/>
      </c>
      <c r="K133" s="41" t="n"/>
      <c r="L133" s="41" t="n"/>
      <c r="M133" s="41" t="n"/>
      <c r="N133" s="41" t="n"/>
      <c r="P133" s="41" t="n"/>
      <c r="Q133" s="41" t="n"/>
      <c r="R133" s="41" t="n"/>
      <c r="S133" s="41" t="n"/>
      <c r="U133" s="41" t="n"/>
      <c r="V133" s="41" t="n"/>
      <c r="W133" s="41" t="n"/>
      <c r="X133" s="41" t="n"/>
      <c r="Y133" s="41" t="n"/>
      <c r="Z133" s="41" t="n"/>
      <c r="AB133" s="41" t="n"/>
      <c r="AC133" s="41" t="n"/>
      <c r="AD133" s="41" t="n"/>
      <c r="AE133" s="41" t="n"/>
      <c r="AF133" s="41" t="n"/>
      <c r="AG133" s="41" t="n"/>
    </row>
    <row r="134" ht="14.25" customHeight="1" s="60">
      <c r="E134" s="33">
        <f>IF(COUNT(K134:AG134)=0,"",ROUND((F134+G134+H134+I134+J134)/10,2))</f>
        <v/>
      </c>
      <c r="F134" s="34">
        <f>IF(COUNT(K134:AG134)=0,"",(K134*10+L134*8+M134*7+N134*5)/3)</f>
        <v/>
      </c>
      <c r="G134" s="34">
        <f>IF(COUNT(K134:AG134)=0,"",(P134*8+Q134*7+R134*5+S134*5)/3)</f>
        <v/>
      </c>
      <c r="H134" s="34">
        <f>IF(COUNT(K134:AG134)=0,"",(U134*6+V134*6+W134*4+X134*3+Y134*3+Z134*3)/3)</f>
        <v/>
      </c>
      <c r="I134" s="34">
        <f>IF(COUNT(K134:AG134)=0,"",AB134*3+AC134*2+AD134*2+AE134*1)</f>
        <v/>
      </c>
      <c r="J134" s="34">
        <f>IF(COUNT(K134:AG134)=0,"",(AF134*5+AG134*5)/3)</f>
        <v/>
      </c>
      <c r="K134" s="41" t="n"/>
      <c r="L134" s="41" t="n"/>
      <c r="M134" s="41" t="n"/>
      <c r="N134" s="41" t="n"/>
      <c r="P134" s="41" t="n"/>
      <c r="Q134" s="41" t="n"/>
      <c r="R134" s="41" t="n"/>
      <c r="S134" s="41" t="n"/>
      <c r="U134" s="41" t="n"/>
      <c r="V134" s="41" t="n"/>
      <c r="W134" s="41" t="n"/>
      <c r="X134" s="41" t="n"/>
      <c r="Y134" s="41" t="n"/>
      <c r="Z134" s="41" t="n"/>
      <c r="AB134" s="41" t="n"/>
      <c r="AC134" s="41" t="n"/>
      <c r="AD134" s="41" t="n"/>
      <c r="AE134" s="41" t="n"/>
      <c r="AF134" s="41" t="n"/>
      <c r="AG134" s="41" t="n"/>
    </row>
    <row r="135" ht="14.25" customHeight="1" s="60">
      <c r="E135" s="33">
        <f>IF(COUNT(K135:AG135)=0,"",ROUND((F135+G135+H135+I135+J135)/10,2))</f>
        <v/>
      </c>
      <c r="F135" s="34">
        <f>IF(COUNT(K135:AG135)=0,"",(K135*10+L135*8+M135*7+N135*5)/3)</f>
        <v/>
      </c>
      <c r="G135" s="34">
        <f>IF(COUNT(K135:AG135)=0,"",(P135*8+Q135*7+R135*5+S135*5)/3)</f>
        <v/>
      </c>
      <c r="H135" s="34">
        <f>IF(COUNT(K135:AG135)=0,"",(U135*6+V135*6+W135*4+X135*3+Y135*3+Z135*3)/3)</f>
        <v/>
      </c>
      <c r="I135" s="34">
        <f>IF(COUNT(K135:AG135)=0,"",AB135*3+AC135*2+AD135*2+AE135*1)</f>
        <v/>
      </c>
      <c r="J135" s="34">
        <f>IF(COUNT(K135:AG135)=0,"",(AF135*5+AG135*5)/3)</f>
        <v/>
      </c>
      <c r="K135" s="41" t="n"/>
      <c r="L135" s="41" t="n"/>
      <c r="M135" s="41" t="n"/>
      <c r="N135" s="41" t="n"/>
      <c r="P135" s="41" t="n"/>
      <c r="Q135" s="41" t="n"/>
      <c r="R135" s="41" t="n"/>
      <c r="S135" s="41" t="n"/>
      <c r="U135" s="41" t="n"/>
      <c r="V135" s="41" t="n"/>
      <c r="W135" s="41" t="n"/>
      <c r="X135" s="41" t="n"/>
      <c r="Y135" s="41" t="n"/>
      <c r="Z135" s="41" t="n"/>
      <c r="AB135" s="41" t="n"/>
      <c r="AC135" s="41" t="n"/>
      <c r="AD135" s="41" t="n"/>
      <c r="AE135" s="41" t="n"/>
      <c r="AF135" s="41" t="n"/>
      <c r="AG135" s="41" t="n"/>
    </row>
    <row r="136" ht="14.25" customHeight="1" s="60">
      <c r="E136" s="33">
        <f>IF(COUNT(K136:AG136)=0,"",ROUND((F136+G136+H136+I136+J136)/10,2))</f>
        <v/>
      </c>
      <c r="F136" s="34">
        <f>IF(COUNT(K136:AG136)=0,"",(K136*10+L136*8+M136*7+N136*5)/3)</f>
        <v/>
      </c>
      <c r="G136" s="34">
        <f>IF(COUNT(K136:AG136)=0,"",(P136*8+Q136*7+R136*5+S136*5)/3)</f>
        <v/>
      </c>
      <c r="H136" s="34">
        <f>IF(COUNT(K136:AG136)=0,"",(U136*6+V136*6+W136*4+X136*3+Y136*3+Z136*3)/3)</f>
        <v/>
      </c>
      <c r="I136" s="34">
        <f>IF(COUNT(K136:AG136)=0,"",AB136*3+AC136*2+AD136*2+AE136*1)</f>
        <v/>
      </c>
      <c r="J136" s="34">
        <f>IF(COUNT(K136:AG136)=0,"",(AF136*5+AG136*5)/3)</f>
        <v/>
      </c>
      <c r="K136" s="41" t="n"/>
      <c r="L136" s="41" t="n"/>
      <c r="M136" s="41" t="n"/>
      <c r="N136" s="41" t="n"/>
      <c r="P136" s="41" t="n"/>
      <c r="Q136" s="41" t="n"/>
      <c r="R136" s="41" t="n"/>
      <c r="S136" s="41" t="n"/>
      <c r="U136" s="41" t="n"/>
      <c r="V136" s="41" t="n"/>
      <c r="W136" s="41" t="n"/>
      <c r="X136" s="41" t="n"/>
      <c r="Y136" s="41" t="n"/>
      <c r="Z136" s="41" t="n"/>
      <c r="AB136" s="41" t="n"/>
      <c r="AC136" s="41" t="n"/>
      <c r="AD136" s="41" t="n"/>
      <c r="AE136" s="41" t="n"/>
      <c r="AF136" s="41" t="n"/>
      <c r="AG136" s="41" t="n"/>
    </row>
    <row r="137" ht="14.25" customHeight="1" s="60">
      <c r="E137" s="33">
        <f>IF(COUNT(K137:AG137)=0,"",ROUND((F137+G137+H137+I137+J137)/10,2))</f>
        <v/>
      </c>
      <c r="F137" s="34">
        <f>IF(COUNT(K137:AG137)=0,"",(K137*10+L137*8+M137*7+N137*5)/3)</f>
        <v/>
      </c>
      <c r="G137" s="34">
        <f>IF(COUNT(K137:AG137)=0,"",(P137*8+Q137*7+R137*5+S137*5)/3)</f>
        <v/>
      </c>
      <c r="H137" s="34">
        <f>IF(COUNT(K137:AG137)=0,"",(U137*6+V137*6+W137*4+X137*3+Y137*3+Z137*3)/3)</f>
        <v/>
      </c>
      <c r="I137" s="34">
        <f>IF(COUNT(K137:AG137)=0,"",AB137*3+AC137*2+AD137*2+AE137*1)</f>
        <v/>
      </c>
      <c r="J137" s="34">
        <f>IF(COUNT(K137:AG137)=0,"",(AF137*5+AG137*5)/3)</f>
        <v/>
      </c>
      <c r="K137" s="41" t="n"/>
      <c r="L137" s="41" t="n"/>
      <c r="M137" s="41" t="n"/>
      <c r="N137" s="41" t="n"/>
      <c r="P137" s="41" t="n"/>
      <c r="Q137" s="41" t="n"/>
      <c r="R137" s="41" t="n"/>
      <c r="S137" s="41" t="n"/>
      <c r="U137" s="41" t="n"/>
      <c r="V137" s="41" t="n"/>
      <c r="W137" s="41" t="n"/>
      <c r="X137" s="41" t="n"/>
      <c r="Y137" s="41" t="n"/>
      <c r="Z137" s="41" t="n"/>
      <c r="AB137" s="41" t="n"/>
      <c r="AC137" s="41" t="n"/>
      <c r="AD137" s="41" t="n"/>
      <c r="AE137" s="41" t="n"/>
      <c r="AF137" s="41" t="n"/>
      <c r="AG137" s="41" t="n"/>
    </row>
    <row r="138" ht="14.25" customHeight="1" s="60">
      <c r="E138" s="33">
        <f>IF(COUNT(K138:AG138)=0,"",ROUND((F138+G138+H138+I138+J138)/10,2))</f>
        <v/>
      </c>
      <c r="F138" s="34">
        <f>IF(COUNT(K138:AG138)=0,"",(K138*10+L138*8+M138*7+N138*5)/3)</f>
        <v/>
      </c>
      <c r="G138" s="34">
        <f>IF(COUNT(K138:AG138)=0,"",(P138*8+Q138*7+R138*5+S138*5)/3)</f>
        <v/>
      </c>
      <c r="H138" s="34">
        <f>IF(COUNT(K138:AG138)=0,"",(U138*6+V138*6+W138*4+X138*3+Y138*3+Z138*3)/3)</f>
        <v/>
      </c>
      <c r="I138" s="34">
        <f>IF(COUNT(K138:AG138)=0,"",AB138*3+AC138*2+AD138*2+AE138*1)</f>
        <v/>
      </c>
      <c r="J138" s="34">
        <f>IF(COUNT(K138:AG138)=0,"",(AF138*5+AG138*5)/3)</f>
        <v/>
      </c>
      <c r="K138" s="41" t="n"/>
      <c r="L138" s="41" t="n"/>
      <c r="M138" s="41" t="n"/>
      <c r="N138" s="41" t="n"/>
      <c r="P138" s="41" t="n"/>
      <c r="Q138" s="41" t="n"/>
      <c r="R138" s="41" t="n"/>
      <c r="S138" s="41" t="n"/>
      <c r="U138" s="41" t="n"/>
      <c r="V138" s="41" t="n"/>
      <c r="W138" s="41" t="n"/>
      <c r="X138" s="41" t="n"/>
      <c r="Y138" s="41" t="n"/>
      <c r="Z138" s="41" t="n"/>
      <c r="AB138" s="41" t="n"/>
      <c r="AC138" s="41" t="n"/>
      <c r="AD138" s="41" t="n"/>
      <c r="AE138" s="41" t="n"/>
      <c r="AF138" s="41" t="n"/>
      <c r="AG138" s="41" t="n"/>
    </row>
    <row r="139" ht="14.25" customHeight="1" s="60">
      <c r="E139" s="33">
        <f>IF(COUNT(K139:AG139)=0,"",ROUND((F139+G139+H139+I139+J139)/10,2))</f>
        <v/>
      </c>
      <c r="F139" s="34">
        <f>IF(COUNT(K139:AG139)=0,"",(K139*10+L139*8+M139*7+N139*5)/3)</f>
        <v/>
      </c>
      <c r="G139" s="34">
        <f>IF(COUNT(K139:AG139)=0,"",(P139*8+Q139*7+R139*5+S139*5)/3)</f>
        <v/>
      </c>
      <c r="H139" s="34">
        <f>IF(COUNT(K139:AG139)=0,"",(U139*6+V139*6+W139*4+X139*3+Y139*3+Z139*3)/3)</f>
        <v/>
      </c>
      <c r="I139" s="34">
        <f>IF(COUNT(K139:AG139)=0,"",AB139*3+AC139*2+AD139*2+AE139*1)</f>
        <v/>
      </c>
      <c r="J139" s="34">
        <f>IF(COUNT(K139:AG139)=0,"",(AF139*5+AG139*5)/3)</f>
        <v/>
      </c>
      <c r="K139" s="41" t="n"/>
      <c r="L139" s="41" t="n"/>
      <c r="M139" s="41" t="n"/>
      <c r="N139" s="41" t="n"/>
      <c r="P139" s="41" t="n"/>
      <c r="Q139" s="41" t="n"/>
      <c r="R139" s="41" t="n"/>
      <c r="S139" s="41" t="n"/>
      <c r="U139" s="41" t="n"/>
      <c r="V139" s="41" t="n"/>
      <c r="W139" s="41" t="n"/>
      <c r="X139" s="41" t="n"/>
      <c r="Y139" s="41" t="n"/>
      <c r="Z139" s="41" t="n"/>
      <c r="AB139" s="41" t="n"/>
      <c r="AC139" s="41" t="n"/>
      <c r="AD139" s="41" t="n"/>
      <c r="AE139" s="41" t="n"/>
      <c r="AF139" s="41" t="n"/>
      <c r="AG139" s="41" t="n"/>
    </row>
    <row r="140" ht="14.25" customHeight="1" s="60">
      <c r="E140" s="33">
        <f>IF(COUNT(K140:AG140)=0,"",ROUND((F140+G140+H140+I140+J140)/10,2))</f>
        <v/>
      </c>
      <c r="F140" s="34">
        <f>IF(COUNT(K140:AG140)=0,"",(K140*10+L140*8+M140*7+N140*5)/3)</f>
        <v/>
      </c>
      <c r="G140" s="34">
        <f>IF(COUNT(K140:AG140)=0,"",(P140*8+Q140*7+R140*5+S140*5)/3)</f>
        <v/>
      </c>
      <c r="H140" s="34">
        <f>IF(COUNT(K140:AG140)=0,"",(U140*6+V140*6+W140*4+X140*3+Y140*3+Z140*3)/3)</f>
        <v/>
      </c>
      <c r="I140" s="34">
        <f>IF(COUNT(K140:AG140)=0,"",AB140*3+AC140*2+AD140*2+AE140*1)</f>
        <v/>
      </c>
      <c r="J140" s="34">
        <f>IF(COUNT(K140:AG140)=0,"",(AF140*5+AG140*5)/3)</f>
        <v/>
      </c>
      <c r="K140" s="41" t="n"/>
      <c r="L140" s="41" t="n"/>
      <c r="M140" s="41" t="n"/>
      <c r="N140" s="41" t="n"/>
      <c r="P140" s="41" t="n"/>
      <c r="Q140" s="41" t="n"/>
      <c r="R140" s="41" t="n"/>
      <c r="S140" s="41" t="n"/>
      <c r="U140" s="41" t="n"/>
      <c r="V140" s="41" t="n"/>
      <c r="W140" s="41" t="n"/>
      <c r="X140" s="41" t="n"/>
      <c r="Y140" s="41" t="n"/>
      <c r="Z140" s="41" t="n"/>
      <c r="AB140" s="41" t="n"/>
      <c r="AC140" s="41" t="n"/>
      <c r="AD140" s="41" t="n"/>
      <c r="AE140" s="41" t="n"/>
      <c r="AF140" s="41" t="n"/>
      <c r="AG140" s="41" t="n"/>
    </row>
    <row r="141" ht="14.25" customHeight="1" s="60">
      <c r="E141" s="33">
        <f>IF(COUNT(K141:AG141)=0,"",ROUND((F141+G141+H141+I141+J141)/10,2))</f>
        <v/>
      </c>
      <c r="F141" s="34">
        <f>IF(COUNT(K141:AG141)=0,"",(K141*10+L141*8+M141*7+N141*5)/3)</f>
        <v/>
      </c>
      <c r="G141" s="34">
        <f>IF(COUNT(K141:AG141)=0,"",(P141*8+Q141*7+R141*5+S141*5)/3)</f>
        <v/>
      </c>
      <c r="H141" s="34">
        <f>IF(COUNT(K141:AG141)=0,"",(U141*6+V141*6+W141*4+X141*3+Y141*3+Z141*3)/3)</f>
        <v/>
      </c>
      <c r="I141" s="34">
        <f>IF(COUNT(K141:AG141)=0,"",AB141*3+AC141*2+AD141*2+AE141*1)</f>
        <v/>
      </c>
      <c r="J141" s="34">
        <f>IF(COUNT(K141:AG141)=0,"",(AF141*5+AG141*5)/3)</f>
        <v/>
      </c>
      <c r="K141" s="41" t="n"/>
      <c r="L141" s="41" t="n"/>
      <c r="M141" s="41" t="n"/>
      <c r="N141" s="41" t="n"/>
      <c r="P141" s="41" t="n"/>
      <c r="Q141" s="41" t="n"/>
      <c r="R141" s="41" t="n"/>
      <c r="S141" s="41" t="n"/>
      <c r="U141" s="41" t="n"/>
      <c r="V141" s="41" t="n"/>
      <c r="W141" s="41" t="n"/>
      <c r="X141" s="41" t="n"/>
      <c r="Y141" s="41" t="n"/>
      <c r="Z141" s="41" t="n"/>
      <c r="AB141" s="41" t="n"/>
      <c r="AC141" s="41" t="n"/>
      <c r="AD141" s="41" t="n"/>
      <c r="AE141" s="41" t="n"/>
      <c r="AF141" s="41" t="n"/>
      <c r="AG141" s="41" t="n"/>
    </row>
    <row r="142" ht="14.25" customHeight="1" s="60">
      <c r="E142" s="33">
        <f>IF(COUNT(K142:AG142)=0,"",ROUND((F142+G142+H142+I142+J142)/10,2))</f>
        <v/>
      </c>
      <c r="F142" s="34">
        <f>IF(COUNT(K142:AG142)=0,"",(K142*10+L142*8+M142*7+N142*5)/3)</f>
        <v/>
      </c>
      <c r="G142" s="34">
        <f>IF(COUNT(K142:AG142)=0,"",(P142*8+Q142*7+R142*5+S142*5)/3)</f>
        <v/>
      </c>
      <c r="H142" s="34">
        <f>IF(COUNT(K142:AG142)=0,"",(U142*6+V142*6+W142*4+X142*3+Y142*3+Z142*3)/3)</f>
        <v/>
      </c>
      <c r="I142" s="34">
        <f>IF(COUNT(K142:AG142)=0,"",AB142*3+AC142*2+AD142*2+AE142*1)</f>
        <v/>
      </c>
      <c r="J142" s="34">
        <f>IF(COUNT(K142:AG142)=0,"",(AF142*5+AG142*5)/3)</f>
        <v/>
      </c>
      <c r="K142" s="41" t="n"/>
      <c r="L142" s="41" t="n"/>
      <c r="M142" s="41" t="n"/>
      <c r="N142" s="41" t="n"/>
      <c r="P142" s="41" t="n"/>
      <c r="Q142" s="41" t="n"/>
      <c r="R142" s="41" t="n"/>
      <c r="S142" s="41" t="n"/>
      <c r="U142" s="41" t="n"/>
      <c r="V142" s="41" t="n"/>
      <c r="W142" s="41" t="n"/>
      <c r="X142" s="41" t="n"/>
      <c r="Y142" s="41" t="n"/>
      <c r="Z142" s="41" t="n"/>
      <c r="AB142" s="41" t="n"/>
      <c r="AC142" s="41" t="n"/>
      <c r="AD142" s="41" t="n"/>
      <c r="AE142" s="41" t="n"/>
      <c r="AF142" s="41" t="n"/>
      <c r="AG142" s="41" t="n"/>
    </row>
    <row r="143" ht="14.25" customHeight="1" s="60">
      <c r="E143" s="33">
        <f>IF(COUNT(K143:AG143)=0,"",ROUND((F143+G143+H143+I143+J143)/10,2))</f>
        <v/>
      </c>
      <c r="F143" s="34">
        <f>IF(COUNT(K143:AG143)=0,"",(K143*10+L143*8+M143*7+N143*5)/3)</f>
        <v/>
      </c>
      <c r="G143" s="34">
        <f>IF(COUNT(K143:AG143)=0,"",(P143*8+Q143*7+R143*5+S143*5)/3)</f>
        <v/>
      </c>
      <c r="H143" s="34">
        <f>IF(COUNT(K143:AG143)=0,"",(U143*6+V143*6+W143*4+X143*3+Y143*3+Z143*3)/3)</f>
        <v/>
      </c>
      <c r="I143" s="34">
        <f>IF(COUNT(K143:AG143)=0,"",AB143*3+AC143*2+AD143*2+AE143*1)</f>
        <v/>
      </c>
      <c r="J143" s="34">
        <f>IF(COUNT(K143:AG143)=0,"",(AF143*5+AG143*5)/3)</f>
        <v/>
      </c>
      <c r="K143" s="41" t="n"/>
      <c r="L143" s="41" t="n"/>
      <c r="M143" s="41" t="n"/>
      <c r="N143" s="41" t="n"/>
      <c r="P143" s="41" t="n"/>
      <c r="Q143" s="41" t="n"/>
      <c r="R143" s="41" t="n"/>
      <c r="S143" s="41" t="n"/>
      <c r="U143" s="41" t="n"/>
      <c r="V143" s="41" t="n"/>
      <c r="W143" s="41" t="n"/>
      <c r="X143" s="41" t="n"/>
      <c r="Y143" s="41" t="n"/>
      <c r="Z143" s="41" t="n"/>
      <c r="AB143" s="41" t="n"/>
      <c r="AC143" s="41" t="n"/>
      <c r="AD143" s="41" t="n"/>
      <c r="AE143" s="41" t="n"/>
      <c r="AF143" s="41" t="n"/>
      <c r="AG143" s="41" t="n"/>
    </row>
    <row r="144" ht="14.25" customHeight="1" s="60">
      <c r="E144" s="33">
        <f>IF(COUNT(K144:AG144)=0,"",ROUND((F144+G144+H144+I144+J144)/10,2))</f>
        <v/>
      </c>
      <c r="F144" s="34">
        <f>IF(COUNT(K144:AG144)=0,"",(K144*10+L144*8+M144*7+N144*5)/3)</f>
        <v/>
      </c>
      <c r="G144" s="34">
        <f>IF(COUNT(K144:AG144)=0,"",(P144*8+Q144*7+R144*5+S144*5)/3)</f>
        <v/>
      </c>
      <c r="H144" s="34">
        <f>IF(COUNT(K144:AG144)=0,"",(U144*6+V144*6+W144*4+X144*3+Y144*3+Z144*3)/3)</f>
        <v/>
      </c>
      <c r="I144" s="34">
        <f>IF(COUNT(K144:AG144)=0,"",AB144*3+AC144*2+AD144*2+AE144*1)</f>
        <v/>
      </c>
      <c r="J144" s="34">
        <f>IF(COUNT(K144:AG144)=0,"",(AF144*5+AG144*5)/3)</f>
        <v/>
      </c>
      <c r="K144" s="41" t="n"/>
      <c r="L144" s="41" t="n"/>
      <c r="M144" s="41" t="n"/>
      <c r="N144" s="41" t="n"/>
      <c r="P144" s="41" t="n"/>
      <c r="Q144" s="41" t="n"/>
      <c r="R144" s="41" t="n"/>
      <c r="S144" s="41" t="n"/>
      <c r="U144" s="41" t="n"/>
      <c r="V144" s="41" t="n"/>
      <c r="W144" s="41" t="n"/>
      <c r="X144" s="41" t="n"/>
      <c r="Y144" s="41" t="n"/>
      <c r="Z144" s="41" t="n"/>
      <c r="AB144" s="41" t="n"/>
      <c r="AC144" s="41" t="n"/>
      <c r="AD144" s="41" t="n"/>
      <c r="AE144" s="41" t="n"/>
      <c r="AF144" s="41" t="n"/>
      <c r="AG144" s="41" t="n"/>
    </row>
    <row r="145" ht="14.25" customHeight="1" s="60">
      <c r="E145" s="33">
        <f>IF(COUNT(K145:AG145)=0,"",ROUND((F145+G145+H145+I145+J145)/10,2))</f>
        <v/>
      </c>
      <c r="F145" s="34">
        <f>IF(COUNT(K145:AG145)=0,"",(K145*10+L145*8+M145*7+N145*5)/3)</f>
        <v/>
      </c>
      <c r="G145" s="34">
        <f>IF(COUNT(K145:AG145)=0,"",(P145*8+Q145*7+R145*5+S145*5)/3)</f>
        <v/>
      </c>
      <c r="H145" s="34">
        <f>IF(COUNT(K145:AG145)=0,"",(U145*6+V145*6+W145*4+X145*3+Y145*3+Z145*3)/3)</f>
        <v/>
      </c>
      <c r="I145" s="34">
        <f>IF(COUNT(K145:AG145)=0,"",AB145*3+AC145*2+AD145*2+AE145*1)</f>
        <v/>
      </c>
      <c r="J145" s="34">
        <f>IF(COUNT(K145:AG145)=0,"",(AF145*5+AG145*5)/3)</f>
        <v/>
      </c>
      <c r="K145" s="41" t="n"/>
      <c r="L145" s="41" t="n"/>
      <c r="M145" s="41" t="n"/>
      <c r="N145" s="41" t="n"/>
      <c r="P145" s="41" t="n"/>
      <c r="Q145" s="41" t="n"/>
      <c r="R145" s="41" t="n"/>
      <c r="S145" s="41" t="n"/>
      <c r="U145" s="41" t="n"/>
      <c r="V145" s="41" t="n"/>
      <c r="W145" s="41" t="n"/>
      <c r="X145" s="41" t="n"/>
      <c r="Y145" s="41" t="n"/>
      <c r="Z145" s="41" t="n"/>
      <c r="AB145" s="41" t="n"/>
      <c r="AC145" s="41" t="n"/>
      <c r="AD145" s="41" t="n"/>
      <c r="AE145" s="41" t="n"/>
      <c r="AF145" s="41" t="n"/>
      <c r="AG145" s="41" t="n"/>
    </row>
    <row r="146" ht="14.25" customHeight="1" s="60">
      <c r="E146" s="33">
        <f>IF(COUNT(K146:AG146)=0,"",ROUND((F146+G146+H146+I146+J146)/10,2))</f>
        <v/>
      </c>
      <c r="F146" s="34">
        <f>IF(COUNT(K146:AG146)=0,"",(K146*10+L146*8+M146*7+N146*5)/3)</f>
        <v/>
      </c>
      <c r="G146" s="34">
        <f>IF(COUNT(K146:AG146)=0,"",(P146*8+Q146*7+R146*5+S146*5)/3)</f>
        <v/>
      </c>
      <c r="H146" s="34">
        <f>IF(COUNT(K146:AG146)=0,"",(U146*6+V146*6+W146*4+X146*3+Y146*3+Z146*3)/3)</f>
        <v/>
      </c>
      <c r="I146" s="34">
        <f>IF(COUNT(K146:AG146)=0,"",AB146*3+AC146*2+AD146*2+AE146*1)</f>
        <v/>
      </c>
      <c r="J146" s="34">
        <f>IF(COUNT(K146:AG146)=0,"",(AF146*5+AG146*5)/3)</f>
        <v/>
      </c>
      <c r="K146" s="41" t="n"/>
      <c r="L146" s="41" t="n"/>
      <c r="M146" s="41" t="n"/>
      <c r="N146" s="41" t="n"/>
      <c r="P146" s="41" t="n"/>
      <c r="Q146" s="41" t="n"/>
      <c r="R146" s="41" t="n"/>
      <c r="S146" s="41" t="n"/>
      <c r="U146" s="41" t="n"/>
      <c r="V146" s="41" t="n"/>
      <c r="W146" s="41" t="n"/>
      <c r="X146" s="41" t="n"/>
      <c r="Y146" s="41" t="n"/>
      <c r="Z146" s="41" t="n"/>
      <c r="AB146" s="41" t="n"/>
      <c r="AC146" s="41" t="n"/>
      <c r="AD146" s="41" t="n"/>
      <c r="AE146" s="41" t="n"/>
      <c r="AF146" s="41" t="n"/>
      <c r="AG146" s="41" t="n"/>
    </row>
    <row r="147" ht="14.25" customHeight="1" s="60">
      <c r="E147" s="33">
        <f>IF(COUNT(K147:AG147)=0,"",ROUND((F147+G147+H147+I147+J147)/10,2))</f>
        <v/>
      </c>
      <c r="F147" s="34">
        <f>IF(COUNT(K147:AG147)=0,"",(K147*10+L147*8+M147*7+N147*5)/3)</f>
        <v/>
      </c>
      <c r="G147" s="34">
        <f>IF(COUNT(K147:AG147)=0,"",(P147*8+Q147*7+R147*5+S147*5)/3)</f>
        <v/>
      </c>
      <c r="H147" s="34">
        <f>IF(COUNT(K147:AG147)=0,"",(U147*6+V147*6+W147*4+X147*3+Y147*3+Z147*3)/3)</f>
        <v/>
      </c>
      <c r="I147" s="34">
        <f>IF(COUNT(K147:AG147)=0,"",AB147*3+AC147*2+AD147*2+AE147*1)</f>
        <v/>
      </c>
      <c r="J147" s="34">
        <f>IF(COUNT(K147:AG147)=0,"",(AF147*5+AG147*5)/3)</f>
        <v/>
      </c>
      <c r="K147" s="41" t="n"/>
      <c r="L147" s="41" t="n"/>
      <c r="M147" s="41" t="n"/>
      <c r="N147" s="41" t="n"/>
      <c r="P147" s="41" t="n"/>
      <c r="Q147" s="41" t="n"/>
      <c r="R147" s="41" t="n"/>
      <c r="S147" s="41" t="n"/>
      <c r="U147" s="41" t="n"/>
      <c r="V147" s="41" t="n"/>
      <c r="W147" s="41" t="n"/>
      <c r="X147" s="41" t="n"/>
      <c r="Y147" s="41" t="n"/>
      <c r="Z147" s="41" t="n"/>
      <c r="AB147" s="41" t="n"/>
      <c r="AC147" s="41" t="n"/>
      <c r="AD147" s="41" t="n"/>
      <c r="AE147" s="41" t="n"/>
      <c r="AF147" s="41" t="n"/>
      <c r="AG147" s="41" t="n"/>
    </row>
    <row r="148" ht="14.25" customHeight="1" s="60">
      <c r="E148" s="33">
        <f>IF(COUNT(K148:AG148)=0,"",ROUND((F148+G148+H148+I148+J148)/10,2))</f>
        <v/>
      </c>
      <c r="F148" s="34">
        <f>IF(COUNT(K148:AG148)=0,"",(K148*10+L148*8+M148*7+N148*5)/3)</f>
        <v/>
      </c>
      <c r="G148" s="34">
        <f>IF(COUNT(K148:AG148)=0,"",(P148*8+Q148*7+R148*5+S148*5)/3)</f>
        <v/>
      </c>
      <c r="H148" s="34">
        <f>IF(COUNT(K148:AG148)=0,"",(U148*6+V148*6+W148*4+X148*3+Y148*3+Z148*3)/3)</f>
        <v/>
      </c>
      <c r="I148" s="34">
        <f>IF(COUNT(K148:AG148)=0,"",AB148*3+AC148*2+AD148*2+AE148*1)</f>
        <v/>
      </c>
      <c r="J148" s="34">
        <f>IF(COUNT(K148:AG148)=0,"",(AF148*5+AG148*5)/3)</f>
        <v/>
      </c>
      <c r="K148" s="41" t="n"/>
      <c r="L148" s="41" t="n"/>
      <c r="M148" s="41" t="n"/>
      <c r="N148" s="41" t="n"/>
      <c r="P148" s="41" t="n"/>
      <c r="Q148" s="41" t="n"/>
      <c r="R148" s="41" t="n"/>
      <c r="S148" s="41" t="n"/>
      <c r="U148" s="41" t="n"/>
      <c r="V148" s="41" t="n"/>
      <c r="W148" s="41" t="n"/>
      <c r="X148" s="41" t="n"/>
      <c r="Y148" s="41" t="n"/>
      <c r="Z148" s="41" t="n"/>
      <c r="AB148" s="41" t="n"/>
      <c r="AC148" s="41" t="n"/>
      <c r="AD148" s="41" t="n"/>
      <c r="AE148" s="41" t="n"/>
      <c r="AF148" s="41" t="n"/>
      <c r="AG148" s="41" t="n"/>
    </row>
    <row r="149" ht="14.25" customHeight="1" s="60">
      <c r="E149" s="33">
        <f>IF(COUNT(K149:AG149)=0,"",ROUND((F149+G149+H149+I149+J149)/10,2))</f>
        <v/>
      </c>
      <c r="F149" s="34">
        <f>IF(COUNT(K149:AG149)=0,"",(K149*10+L149*8+M149*7+N149*5)/3)</f>
        <v/>
      </c>
      <c r="G149" s="34">
        <f>IF(COUNT(K149:AG149)=0,"",(P149*8+Q149*7+R149*5+S149*5)/3)</f>
        <v/>
      </c>
      <c r="H149" s="34">
        <f>IF(COUNT(K149:AG149)=0,"",(U149*6+V149*6+W149*4+X149*3+Y149*3+Z149*3)/3)</f>
        <v/>
      </c>
      <c r="I149" s="34">
        <f>IF(COUNT(K149:AG149)=0,"",AB149*3+AC149*2+AD149*2+AE149*1)</f>
        <v/>
      </c>
      <c r="J149" s="34">
        <f>IF(COUNT(K149:AG149)=0,"",(AF149*5+AG149*5)/3)</f>
        <v/>
      </c>
      <c r="K149" s="41" t="n"/>
      <c r="L149" s="41" t="n"/>
      <c r="M149" s="41" t="n"/>
      <c r="N149" s="41" t="n"/>
      <c r="P149" s="41" t="n"/>
      <c r="Q149" s="41" t="n"/>
      <c r="R149" s="41" t="n"/>
      <c r="S149" s="41" t="n"/>
      <c r="U149" s="41" t="n"/>
      <c r="V149" s="41" t="n"/>
      <c r="W149" s="41" t="n"/>
      <c r="X149" s="41" t="n"/>
      <c r="Y149" s="41" t="n"/>
      <c r="Z149" s="41" t="n"/>
      <c r="AB149" s="41" t="n"/>
      <c r="AC149" s="41" t="n"/>
      <c r="AD149" s="41" t="n"/>
      <c r="AE149" s="41" t="n"/>
      <c r="AF149" s="41" t="n"/>
      <c r="AG149" s="41" t="n"/>
    </row>
    <row r="150" ht="14.25" customHeight="1" s="60">
      <c r="E150" s="33">
        <f>IF(COUNT(K150:AG150)=0,"",ROUND((F150+G150+H150+I150+J150)/10,2))</f>
        <v/>
      </c>
      <c r="F150" s="34">
        <f>IF(COUNT(K150:AG150)=0,"",(K150*10+L150*8+M150*7+N150*5)/3)</f>
        <v/>
      </c>
      <c r="G150" s="34">
        <f>IF(COUNT(K150:AG150)=0,"",(P150*8+Q150*7+R150*5+S150*5)/3)</f>
        <v/>
      </c>
      <c r="H150" s="34">
        <f>IF(COUNT(K150:AG150)=0,"",(U150*6+V150*6+W150*4+X150*3+Y150*3+Z150*3)/3)</f>
        <v/>
      </c>
      <c r="I150" s="34">
        <f>IF(COUNT(K150:AG150)=0,"",AB150*3+AC150*2+AD150*2+AE150*1)</f>
        <v/>
      </c>
      <c r="J150" s="34">
        <f>IF(COUNT(K150:AG150)=0,"",(AF150*5+AG150*5)/3)</f>
        <v/>
      </c>
      <c r="K150" s="41" t="n"/>
      <c r="L150" s="41" t="n"/>
      <c r="M150" s="41" t="n"/>
      <c r="N150" s="41" t="n"/>
      <c r="P150" s="41" t="n"/>
      <c r="Q150" s="41" t="n"/>
      <c r="R150" s="41" t="n"/>
      <c r="S150" s="41" t="n"/>
      <c r="U150" s="41" t="n"/>
      <c r="V150" s="41" t="n"/>
      <c r="W150" s="41" t="n"/>
      <c r="X150" s="41" t="n"/>
      <c r="Y150" s="41" t="n"/>
      <c r="Z150" s="41" t="n"/>
      <c r="AB150" s="41" t="n"/>
      <c r="AC150" s="41" t="n"/>
      <c r="AD150" s="41" t="n"/>
      <c r="AE150" s="41" t="n"/>
      <c r="AF150" s="41" t="n"/>
      <c r="AG150" s="41" t="n"/>
    </row>
    <row r="151" ht="14.25" customHeight="1" s="60">
      <c r="E151" s="33">
        <f>IF(COUNT(K151:AG151)=0,"",ROUND((F151+G151+H151+I151+J151)/10,2))</f>
        <v/>
      </c>
      <c r="F151" s="34">
        <f>IF(COUNT(K151:AG151)=0,"",(K151*10+L151*8+M151*7+N151*5)/3)</f>
        <v/>
      </c>
      <c r="G151" s="34">
        <f>IF(COUNT(K151:AG151)=0,"",(P151*8+Q151*7+R151*5+S151*5)/3)</f>
        <v/>
      </c>
      <c r="H151" s="34">
        <f>IF(COUNT(K151:AG151)=0,"",(U151*6+V151*6+W151*4+X151*3+Y151*3+Z151*3)/3)</f>
        <v/>
      </c>
      <c r="I151" s="34">
        <f>IF(COUNT(K151:AG151)=0,"",AB151*3+AC151*2+AD151*2+AE151*1)</f>
        <v/>
      </c>
      <c r="J151" s="34">
        <f>IF(COUNT(K151:AG151)=0,"",(AF151*5+AG151*5)/3)</f>
        <v/>
      </c>
      <c r="K151" s="41" t="n"/>
      <c r="L151" s="41" t="n"/>
      <c r="M151" s="41" t="n"/>
      <c r="N151" s="41" t="n"/>
      <c r="P151" s="41" t="n"/>
      <c r="Q151" s="41" t="n"/>
      <c r="R151" s="41" t="n"/>
      <c r="S151" s="41" t="n"/>
      <c r="U151" s="41" t="n"/>
      <c r="V151" s="41" t="n"/>
      <c r="W151" s="41" t="n"/>
      <c r="X151" s="41" t="n"/>
      <c r="Y151" s="41" t="n"/>
      <c r="Z151" s="41" t="n"/>
      <c r="AB151" s="41" t="n"/>
      <c r="AC151" s="41" t="n"/>
      <c r="AD151" s="41" t="n"/>
      <c r="AE151" s="41" t="n"/>
      <c r="AF151" s="41" t="n"/>
      <c r="AG151" s="41" t="n"/>
    </row>
    <row r="152" ht="14.25" customHeight="1" s="60">
      <c r="E152" s="33">
        <f>IF(COUNT(K152:AG152)=0,"",ROUND((F152+G152+H152+I152+J152)/10,2))</f>
        <v/>
      </c>
      <c r="F152" s="34">
        <f>IF(COUNT(K152:AG152)=0,"",(K152*10+L152*8+M152*7+N152*5)/3)</f>
        <v/>
      </c>
      <c r="G152" s="34">
        <f>IF(COUNT(K152:AG152)=0,"",(P152*8+Q152*7+R152*5+S152*5)/3)</f>
        <v/>
      </c>
      <c r="H152" s="34">
        <f>IF(COUNT(K152:AG152)=0,"",(U152*6+V152*6+W152*4+X152*3+Y152*3+Z152*3)/3)</f>
        <v/>
      </c>
      <c r="I152" s="34">
        <f>IF(COUNT(K152:AG152)=0,"",AB152*3+AC152*2+AD152*2+AE152*1)</f>
        <v/>
      </c>
      <c r="J152" s="34">
        <f>IF(COUNT(K152:AG152)=0,"",(AF152*5+AG152*5)/3)</f>
        <v/>
      </c>
      <c r="K152" s="41" t="n"/>
      <c r="L152" s="41" t="n"/>
      <c r="M152" s="41" t="n"/>
      <c r="N152" s="41" t="n"/>
      <c r="P152" s="41" t="n"/>
      <c r="Q152" s="41" t="n"/>
      <c r="R152" s="41" t="n"/>
      <c r="S152" s="41" t="n"/>
      <c r="U152" s="41" t="n"/>
      <c r="V152" s="41" t="n"/>
      <c r="W152" s="41" t="n"/>
      <c r="X152" s="41" t="n"/>
      <c r="Y152" s="41" t="n"/>
      <c r="Z152" s="41" t="n"/>
      <c r="AB152" s="41" t="n"/>
      <c r="AC152" s="41" t="n"/>
      <c r="AD152" s="41" t="n"/>
      <c r="AE152" s="41" t="n"/>
      <c r="AF152" s="41" t="n"/>
      <c r="AG152" s="41" t="n"/>
    </row>
    <row r="153" ht="14.25" customHeight="1" s="60">
      <c r="E153" s="33">
        <f>IF(COUNT(K153:AG153)=0,"",ROUND((F153+G153+H153+I153+J153)/10,2))</f>
        <v/>
      </c>
      <c r="F153" s="34">
        <f>IF(COUNT(K153:AG153)=0,"",(K153*10+L153*8+M153*7+N153*5)/3)</f>
        <v/>
      </c>
      <c r="G153" s="34">
        <f>IF(COUNT(K153:AG153)=0,"",(P153*8+Q153*7+R153*5+S153*5)/3)</f>
        <v/>
      </c>
      <c r="H153" s="34">
        <f>IF(COUNT(K153:AG153)=0,"",(U153*6+V153*6+W153*4+X153*3+Y153*3+Z153*3)/3)</f>
        <v/>
      </c>
      <c r="I153" s="34">
        <f>IF(COUNT(K153:AG153)=0,"",AB153*3+AC153*2+AD153*2+AE153*1)</f>
        <v/>
      </c>
      <c r="J153" s="34">
        <f>IF(COUNT(K153:AG153)=0,"",(AF153*5+AG153*5)/3)</f>
        <v/>
      </c>
      <c r="K153" s="41" t="n"/>
      <c r="L153" s="41" t="n"/>
      <c r="M153" s="41" t="n"/>
      <c r="N153" s="41" t="n"/>
      <c r="P153" s="41" t="n"/>
      <c r="Q153" s="41" t="n"/>
      <c r="R153" s="41" t="n"/>
      <c r="S153" s="41" t="n"/>
      <c r="U153" s="41" t="n"/>
      <c r="V153" s="41" t="n"/>
      <c r="W153" s="41" t="n"/>
      <c r="X153" s="41" t="n"/>
      <c r="Y153" s="41" t="n"/>
      <c r="Z153" s="41" t="n"/>
      <c r="AB153" s="41" t="n"/>
      <c r="AC153" s="41" t="n"/>
      <c r="AD153" s="41" t="n"/>
      <c r="AE153" s="41" t="n"/>
      <c r="AF153" s="41" t="n"/>
      <c r="AG153" s="41" t="n"/>
    </row>
    <row r="154" ht="14.25" customHeight="1" s="60">
      <c r="E154" s="33">
        <f>IF(COUNT(K154:AG154)=0,"",ROUND((F154+G154+H154+I154+J154)/10,2))</f>
        <v/>
      </c>
      <c r="F154" s="34">
        <f>IF(COUNT(K154:AG154)=0,"",(K154*10+L154*8+M154*7+N154*5)/3)</f>
        <v/>
      </c>
      <c r="G154" s="34">
        <f>IF(COUNT(K154:AG154)=0,"",(P154*8+Q154*7+R154*5+S154*5)/3)</f>
        <v/>
      </c>
      <c r="H154" s="34">
        <f>IF(COUNT(K154:AG154)=0,"",(U154*6+V154*6+W154*4+X154*3+Y154*3+Z154*3)/3)</f>
        <v/>
      </c>
      <c r="I154" s="34">
        <f>IF(COUNT(K154:AG154)=0,"",AB154*3+AC154*2+AD154*2+AE154*1)</f>
        <v/>
      </c>
      <c r="J154" s="34">
        <f>IF(COUNT(K154:AG154)=0,"",(AF154*5+AG154*5)/3)</f>
        <v/>
      </c>
      <c r="K154" s="41" t="n"/>
      <c r="L154" s="41" t="n"/>
      <c r="M154" s="41" t="n"/>
      <c r="N154" s="41" t="n"/>
      <c r="P154" s="41" t="n"/>
      <c r="Q154" s="41" t="n"/>
      <c r="R154" s="41" t="n"/>
      <c r="S154" s="41" t="n"/>
      <c r="U154" s="41" t="n"/>
      <c r="V154" s="41" t="n"/>
      <c r="W154" s="41" t="n"/>
      <c r="X154" s="41" t="n"/>
      <c r="Y154" s="41" t="n"/>
      <c r="Z154" s="41" t="n"/>
      <c r="AB154" s="41" t="n"/>
      <c r="AC154" s="41" t="n"/>
      <c r="AD154" s="41" t="n"/>
      <c r="AE154" s="41" t="n"/>
      <c r="AF154" s="41" t="n"/>
      <c r="AG154" s="41" t="n"/>
    </row>
    <row r="155" ht="14.25" customHeight="1" s="60">
      <c r="E155" s="33">
        <f>IF(COUNT(K155:AG155)=0,"",ROUND((F155+G155+H155+I155+J155)/10,2))</f>
        <v/>
      </c>
      <c r="F155" s="34">
        <f>IF(COUNT(K155:AG155)=0,"",(K155*10+L155*8+M155*7+N155*5)/3)</f>
        <v/>
      </c>
      <c r="G155" s="34">
        <f>IF(COUNT(K155:AG155)=0,"",(P155*8+Q155*7+R155*5+S155*5)/3)</f>
        <v/>
      </c>
      <c r="H155" s="34">
        <f>IF(COUNT(K155:AG155)=0,"",(U155*6+V155*6+W155*4+X155*3+Y155*3+Z155*3)/3)</f>
        <v/>
      </c>
      <c r="I155" s="34">
        <f>IF(COUNT(K155:AG155)=0,"",AB155*3+AC155*2+AD155*2+AE155*1)</f>
        <v/>
      </c>
      <c r="J155" s="34">
        <f>IF(COUNT(K155:AG155)=0,"",(AF155*5+AG155*5)/3)</f>
        <v/>
      </c>
      <c r="K155" s="41" t="n"/>
      <c r="L155" s="41" t="n"/>
      <c r="M155" s="41" t="n"/>
      <c r="N155" s="41" t="n"/>
      <c r="P155" s="41" t="n"/>
      <c r="Q155" s="41" t="n"/>
      <c r="R155" s="41" t="n"/>
      <c r="S155" s="41" t="n"/>
      <c r="U155" s="41" t="n"/>
      <c r="V155" s="41" t="n"/>
      <c r="W155" s="41" t="n"/>
      <c r="X155" s="41" t="n"/>
      <c r="Y155" s="41" t="n"/>
      <c r="Z155" s="41" t="n"/>
      <c r="AB155" s="41" t="n"/>
      <c r="AC155" s="41" t="n"/>
      <c r="AD155" s="41" t="n"/>
      <c r="AE155" s="41" t="n"/>
      <c r="AF155" s="41" t="n"/>
      <c r="AG155" s="41" t="n"/>
    </row>
    <row r="156" ht="14.25" customHeight="1" s="60">
      <c r="E156" s="33">
        <f>IF(COUNT(K156:AG156)=0,"",ROUND((F156+G156+H156+I156+J156)/10,2))</f>
        <v/>
      </c>
      <c r="F156" s="34">
        <f>IF(COUNT(K156:AG156)=0,"",(K156*10+L156*8+M156*7+N156*5)/3)</f>
        <v/>
      </c>
      <c r="G156" s="34">
        <f>IF(COUNT(K156:AG156)=0,"",(P156*8+Q156*7+R156*5+S156*5)/3)</f>
        <v/>
      </c>
      <c r="H156" s="34">
        <f>IF(COUNT(K156:AG156)=0,"",(U156*6+V156*6+W156*4+X156*3+Y156*3+Z156*3)/3)</f>
        <v/>
      </c>
      <c r="I156" s="34">
        <f>IF(COUNT(K156:AG156)=0,"",AB156*3+AC156*2+AD156*2+AE156*1)</f>
        <v/>
      </c>
      <c r="J156" s="34">
        <f>IF(COUNT(K156:AG156)=0,"",(AF156*5+AG156*5)/3)</f>
        <v/>
      </c>
      <c r="K156" s="41" t="n"/>
      <c r="L156" s="41" t="n"/>
      <c r="M156" s="41" t="n"/>
      <c r="N156" s="41" t="n"/>
      <c r="P156" s="41" t="n"/>
      <c r="Q156" s="41" t="n"/>
      <c r="R156" s="41" t="n"/>
      <c r="S156" s="41" t="n"/>
      <c r="U156" s="41" t="n"/>
      <c r="V156" s="41" t="n"/>
      <c r="W156" s="41" t="n"/>
      <c r="X156" s="41" t="n"/>
      <c r="Y156" s="41" t="n"/>
      <c r="Z156" s="41" t="n"/>
      <c r="AB156" s="41" t="n"/>
      <c r="AC156" s="41" t="n"/>
      <c r="AD156" s="41" t="n"/>
      <c r="AE156" s="41" t="n"/>
      <c r="AF156" s="41" t="n"/>
      <c r="AG156" s="41" t="n"/>
    </row>
    <row r="157" ht="14.25" customHeight="1" s="60">
      <c r="E157" s="33">
        <f>IF(COUNT(K157:AG157)=0,"",ROUND((F157+G157+H157+I157+J157)/10,2))</f>
        <v/>
      </c>
      <c r="F157" s="34">
        <f>IF(COUNT(K157:AG157)=0,"",(K157*10+L157*8+M157*7+N157*5)/3)</f>
        <v/>
      </c>
      <c r="G157" s="34">
        <f>IF(COUNT(K157:AG157)=0,"",(P157*8+Q157*7+R157*5+S157*5)/3)</f>
        <v/>
      </c>
      <c r="H157" s="34">
        <f>IF(COUNT(K157:AG157)=0,"",(U157*6+V157*6+W157*4+X157*3+Y157*3+Z157*3)/3)</f>
        <v/>
      </c>
      <c r="I157" s="34">
        <f>IF(COUNT(K157:AG157)=0,"",AB157*3+AC157*2+AD157*2+AE157*1)</f>
        <v/>
      </c>
      <c r="J157" s="34">
        <f>IF(COUNT(K157:AG157)=0,"",(AF157*5+AG157*5)/3)</f>
        <v/>
      </c>
      <c r="K157" s="41" t="n"/>
      <c r="L157" s="41" t="n"/>
      <c r="M157" s="41" t="n"/>
      <c r="N157" s="41" t="n"/>
      <c r="P157" s="41" t="n"/>
      <c r="Q157" s="41" t="n"/>
      <c r="R157" s="41" t="n"/>
      <c r="S157" s="41" t="n"/>
      <c r="U157" s="41" t="n"/>
      <c r="V157" s="41" t="n"/>
      <c r="W157" s="41" t="n"/>
      <c r="X157" s="41" t="n"/>
      <c r="Y157" s="41" t="n"/>
      <c r="Z157" s="41" t="n"/>
      <c r="AB157" s="41" t="n"/>
      <c r="AC157" s="41" t="n"/>
      <c r="AD157" s="41" t="n"/>
      <c r="AE157" s="41" t="n"/>
      <c r="AF157" s="41" t="n"/>
      <c r="AG157" s="41" t="n"/>
    </row>
    <row r="158" ht="14.25" customHeight="1" s="60">
      <c r="E158" s="33">
        <f>IF(COUNT(K158:AG158)=0,"",ROUND((F158+G158+H158+I158+J158)/10,2))</f>
        <v/>
      </c>
      <c r="F158" s="34">
        <f>IF(COUNT(K158:AG158)=0,"",(K158*10+L158*8+M158*7+N158*5)/3)</f>
        <v/>
      </c>
      <c r="G158" s="34">
        <f>IF(COUNT(K158:AG158)=0,"",(P158*8+Q158*7+R158*5+S158*5)/3)</f>
        <v/>
      </c>
      <c r="H158" s="34">
        <f>IF(COUNT(K158:AG158)=0,"",(U158*6+V158*6+W158*4+X158*3+Y158*3+Z158*3)/3)</f>
        <v/>
      </c>
      <c r="I158" s="34">
        <f>IF(COUNT(K158:AG158)=0,"",AB158*3+AC158*2+AD158*2+AE158*1)</f>
        <v/>
      </c>
      <c r="J158" s="34">
        <f>IF(COUNT(K158:AG158)=0,"",(AF158*5+AG158*5)/3)</f>
        <v/>
      </c>
      <c r="K158" s="41" t="n"/>
      <c r="L158" s="41" t="n"/>
      <c r="M158" s="41" t="n"/>
      <c r="N158" s="41" t="n"/>
      <c r="P158" s="41" t="n"/>
      <c r="Q158" s="41" t="n"/>
      <c r="R158" s="41" t="n"/>
      <c r="S158" s="41" t="n"/>
      <c r="U158" s="41" t="n"/>
      <c r="V158" s="41" t="n"/>
      <c r="W158" s="41" t="n"/>
      <c r="X158" s="41" t="n"/>
      <c r="Y158" s="41" t="n"/>
      <c r="Z158" s="41" t="n"/>
      <c r="AB158" s="41" t="n"/>
      <c r="AC158" s="41" t="n"/>
      <c r="AD158" s="41" t="n"/>
      <c r="AE158" s="41" t="n"/>
      <c r="AF158" s="41" t="n"/>
      <c r="AG158" s="41" t="n"/>
    </row>
    <row r="159" ht="14.25" customHeight="1" s="60">
      <c r="E159" s="33">
        <f>IF(COUNT(K159:AG159)=0,"",ROUND((F159+G159+H159+I159+J159)/10,2))</f>
        <v/>
      </c>
      <c r="F159" s="34">
        <f>IF(COUNT(K159:AG159)=0,"",(K159*10+L159*8+M159*7+N159*5)/3)</f>
        <v/>
      </c>
      <c r="G159" s="34">
        <f>IF(COUNT(K159:AG159)=0,"",(P159*8+Q159*7+R159*5+S159*5)/3)</f>
        <v/>
      </c>
      <c r="H159" s="34">
        <f>IF(COUNT(K159:AG159)=0,"",(U159*6+V159*6+W159*4+X159*3+Y159*3+Z159*3)/3)</f>
        <v/>
      </c>
      <c r="I159" s="34">
        <f>IF(COUNT(K159:AG159)=0,"",AB159*3+AC159*2+AD159*2+AE159*1)</f>
        <v/>
      </c>
      <c r="J159" s="34">
        <f>IF(COUNT(K159:AG159)=0,"",(AF159*5+AG159*5)/3)</f>
        <v/>
      </c>
      <c r="K159" s="41" t="n"/>
      <c r="L159" s="41" t="n"/>
      <c r="M159" s="41" t="n"/>
      <c r="N159" s="41" t="n"/>
      <c r="P159" s="41" t="n"/>
      <c r="Q159" s="41" t="n"/>
      <c r="R159" s="41" t="n"/>
      <c r="S159" s="41" t="n"/>
      <c r="U159" s="41" t="n"/>
      <c r="V159" s="41" t="n"/>
      <c r="W159" s="41" t="n"/>
      <c r="X159" s="41" t="n"/>
      <c r="Y159" s="41" t="n"/>
      <c r="Z159" s="41" t="n"/>
      <c r="AB159" s="41" t="n"/>
      <c r="AC159" s="41" t="n"/>
      <c r="AD159" s="41" t="n"/>
      <c r="AE159" s="41" t="n"/>
      <c r="AF159" s="41" t="n"/>
      <c r="AG159" s="41" t="n"/>
    </row>
    <row r="160" ht="14.25" customHeight="1" s="60">
      <c r="E160" s="33">
        <f>IF(COUNT(K160:AG160)=0,"",ROUND((F160+G160+H160+I160+J160)/10,2))</f>
        <v/>
      </c>
      <c r="F160" s="34">
        <f>IF(COUNT(K160:AG160)=0,"",(K160*10+L160*8+M160*7+N160*5)/3)</f>
        <v/>
      </c>
      <c r="G160" s="34">
        <f>IF(COUNT(K160:AG160)=0,"",(P160*8+Q160*7+R160*5+S160*5)/3)</f>
        <v/>
      </c>
      <c r="H160" s="34">
        <f>IF(COUNT(K160:AG160)=0,"",(U160*6+V160*6+W160*4+X160*3+Y160*3+Z160*3)/3)</f>
        <v/>
      </c>
      <c r="I160" s="34">
        <f>IF(COUNT(K160:AG160)=0,"",AB160*3+AC160*2+AD160*2+AE160*1)</f>
        <v/>
      </c>
      <c r="J160" s="34">
        <f>IF(COUNT(K160:AG160)=0,"",(AF160*5+AG160*5)/3)</f>
        <v/>
      </c>
      <c r="K160" s="41" t="n"/>
      <c r="L160" s="41" t="n"/>
      <c r="M160" s="41" t="n"/>
      <c r="N160" s="41" t="n"/>
      <c r="P160" s="41" t="n"/>
      <c r="Q160" s="41" t="n"/>
      <c r="R160" s="41" t="n"/>
      <c r="S160" s="41" t="n"/>
      <c r="U160" s="41" t="n"/>
      <c r="V160" s="41" t="n"/>
      <c r="W160" s="41" t="n"/>
      <c r="X160" s="41" t="n"/>
      <c r="Y160" s="41" t="n"/>
      <c r="Z160" s="41" t="n"/>
      <c r="AB160" s="41" t="n"/>
      <c r="AC160" s="41" t="n"/>
      <c r="AD160" s="41" t="n"/>
      <c r="AE160" s="41" t="n"/>
      <c r="AF160" s="41" t="n"/>
      <c r="AG160" s="41" t="n"/>
    </row>
    <row r="161" ht="14.25" customHeight="1" s="60">
      <c r="E161" s="33">
        <f>IF(COUNT(K161:AG161)=0,"",ROUND((F161+G161+H161+I161+J161)/10,2))</f>
        <v/>
      </c>
      <c r="F161" s="34">
        <f>IF(COUNT(K161:AG161)=0,"",(K161*10+L161*8+M161*7+N161*5)/3)</f>
        <v/>
      </c>
      <c r="G161" s="34">
        <f>IF(COUNT(K161:AG161)=0,"",(P161*8+Q161*7+R161*5+S161*5)/3)</f>
        <v/>
      </c>
      <c r="H161" s="34">
        <f>IF(COUNT(K161:AG161)=0,"",(U161*6+V161*6+W161*4+X161*3+Y161*3+Z161*3)/3)</f>
        <v/>
      </c>
      <c r="I161" s="34">
        <f>IF(COUNT(K161:AG161)=0,"",AB161*3+AC161*2+AD161*2+AE161*1)</f>
        <v/>
      </c>
      <c r="J161" s="34">
        <f>IF(COUNT(K161:AG161)=0,"",(AF161*5+AG161*5)/3)</f>
        <v/>
      </c>
      <c r="K161" s="41" t="n"/>
      <c r="L161" s="41" t="n"/>
      <c r="M161" s="41" t="n"/>
      <c r="N161" s="41" t="n"/>
      <c r="P161" s="41" t="n"/>
      <c r="Q161" s="41" t="n"/>
      <c r="R161" s="41" t="n"/>
      <c r="S161" s="41" t="n"/>
      <c r="U161" s="41" t="n"/>
      <c r="V161" s="41" t="n"/>
      <c r="W161" s="41" t="n"/>
      <c r="X161" s="41" t="n"/>
      <c r="Y161" s="41" t="n"/>
      <c r="Z161" s="41" t="n"/>
      <c r="AB161" s="41" t="n"/>
      <c r="AC161" s="41" t="n"/>
      <c r="AD161" s="41" t="n"/>
      <c r="AE161" s="41" t="n"/>
      <c r="AF161" s="41" t="n"/>
      <c r="AG161" s="41" t="n"/>
    </row>
    <row r="162" ht="14.25" customHeight="1" s="60">
      <c r="E162" s="33">
        <f>IF(COUNT(K162:AG162)=0,"",ROUND((F162+G162+H162+I162+J162)/10,2))</f>
        <v/>
      </c>
      <c r="F162" s="34">
        <f>IF(COUNT(K162:AG162)=0,"",(K162*10+L162*8+M162*7+N162*5)/3)</f>
        <v/>
      </c>
      <c r="G162" s="34">
        <f>IF(COUNT(K162:AG162)=0,"",(P162*8+Q162*7+R162*5+S162*5)/3)</f>
        <v/>
      </c>
      <c r="H162" s="34">
        <f>IF(COUNT(K162:AG162)=0,"",(U162*6+V162*6+W162*4+X162*3+Y162*3+Z162*3)/3)</f>
        <v/>
      </c>
      <c r="I162" s="34">
        <f>IF(COUNT(K162:AG162)=0,"",AB162*3+AC162*2+AD162*2+AE162*1)</f>
        <v/>
      </c>
      <c r="J162" s="34">
        <f>IF(COUNT(K162:AG162)=0,"",(AF162*5+AG162*5)/3)</f>
        <v/>
      </c>
      <c r="K162" s="41" t="n"/>
      <c r="L162" s="41" t="n"/>
      <c r="M162" s="41" t="n"/>
      <c r="N162" s="41" t="n"/>
      <c r="P162" s="41" t="n"/>
      <c r="Q162" s="41" t="n"/>
      <c r="R162" s="41" t="n"/>
      <c r="S162" s="41" t="n"/>
      <c r="U162" s="41" t="n"/>
      <c r="V162" s="41" t="n"/>
      <c r="W162" s="41" t="n"/>
      <c r="X162" s="41" t="n"/>
      <c r="Y162" s="41" t="n"/>
      <c r="Z162" s="41" t="n"/>
      <c r="AB162" s="41" t="n"/>
      <c r="AC162" s="41" t="n"/>
      <c r="AD162" s="41" t="n"/>
      <c r="AE162" s="41" t="n"/>
      <c r="AF162" s="41" t="n"/>
      <c r="AG162" s="41" t="n"/>
    </row>
    <row r="163" ht="14.25" customHeight="1" s="60">
      <c r="E163" s="33">
        <f>IF(COUNT(K163:AG163)=0,"",ROUND((F163+G163+H163+I163+J163)/10,2))</f>
        <v/>
      </c>
      <c r="F163" s="34">
        <f>IF(COUNT(K163:AG163)=0,"",(K163*10+L163*8+M163*7+N163*5)/3)</f>
        <v/>
      </c>
      <c r="G163" s="34">
        <f>IF(COUNT(K163:AG163)=0,"",(P163*8+Q163*7+R163*5+S163*5)/3)</f>
        <v/>
      </c>
      <c r="H163" s="34">
        <f>IF(COUNT(K163:AG163)=0,"",(U163*6+V163*6+W163*4+X163*3+Y163*3+Z163*3)/3)</f>
        <v/>
      </c>
      <c r="I163" s="34">
        <f>IF(COUNT(K163:AG163)=0,"",AB163*3+AC163*2+AD163*2+AE163*1)</f>
        <v/>
      </c>
      <c r="J163" s="34">
        <f>IF(COUNT(K163:AG163)=0,"",(AF163*5+AG163*5)/3)</f>
        <v/>
      </c>
      <c r="K163" s="41" t="n"/>
      <c r="L163" s="41" t="n"/>
      <c r="M163" s="41" t="n"/>
      <c r="N163" s="41" t="n"/>
      <c r="P163" s="41" t="n"/>
      <c r="Q163" s="41" t="n"/>
      <c r="R163" s="41" t="n"/>
      <c r="S163" s="41" t="n"/>
      <c r="U163" s="41" t="n"/>
      <c r="V163" s="41" t="n"/>
      <c r="W163" s="41" t="n"/>
      <c r="X163" s="41" t="n"/>
      <c r="Y163" s="41" t="n"/>
      <c r="Z163" s="41" t="n"/>
      <c r="AB163" s="41" t="n"/>
      <c r="AC163" s="41" t="n"/>
      <c r="AD163" s="41" t="n"/>
      <c r="AE163" s="41" t="n"/>
      <c r="AF163" s="41" t="n"/>
      <c r="AG163" s="41" t="n"/>
    </row>
    <row r="164" ht="14.25" customHeight="1" s="60">
      <c r="E164" s="33">
        <f>IF(COUNT(K164:AG164)=0,"",ROUND((F164+G164+H164+I164+J164)/10,2))</f>
        <v/>
      </c>
      <c r="F164" s="34">
        <f>IF(COUNT(K164:AG164)=0,"",(K164*10+L164*8+M164*7+N164*5)/3)</f>
        <v/>
      </c>
      <c r="G164" s="34">
        <f>IF(COUNT(K164:AG164)=0,"",(P164*8+Q164*7+R164*5+S164*5)/3)</f>
        <v/>
      </c>
      <c r="H164" s="34">
        <f>IF(COUNT(K164:AG164)=0,"",(U164*6+V164*6+W164*4+X164*3+Y164*3+Z164*3)/3)</f>
        <v/>
      </c>
      <c r="I164" s="34">
        <f>IF(COUNT(K164:AG164)=0,"",AB164*3+AC164*2+AD164*2+AE164*1)</f>
        <v/>
      </c>
      <c r="J164" s="34">
        <f>IF(COUNT(K164:AG164)=0,"",(AF164*5+AG164*5)/3)</f>
        <v/>
      </c>
      <c r="K164" s="41" t="n"/>
      <c r="L164" s="41" t="n"/>
      <c r="M164" s="41" t="n"/>
      <c r="N164" s="41" t="n"/>
      <c r="P164" s="41" t="n"/>
      <c r="Q164" s="41" t="n"/>
      <c r="R164" s="41" t="n"/>
      <c r="S164" s="41" t="n"/>
      <c r="U164" s="41" t="n"/>
      <c r="V164" s="41" t="n"/>
      <c r="W164" s="41" t="n"/>
      <c r="X164" s="41" t="n"/>
      <c r="Y164" s="41" t="n"/>
      <c r="Z164" s="41" t="n"/>
      <c r="AB164" s="41" t="n"/>
      <c r="AC164" s="41" t="n"/>
      <c r="AD164" s="41" t="n"/>
      <c r="AE164" s="41" t="n"/>
      <c r="AF164" s="41" t="n"/>
      <c r="AG164" s="41" t="n"/>
    </row>
    <row r="165" ht="14.25" customHeight="1" s="60">
      <c r="E165" s="33">
        <f>IF(COUNT(K165:AG165)=0,"",ROUND((F165+G165+H165+I165+J165)/10,2))</f>
        <v/>
      </c>
      <c r="F165" s="34">
        <f>IF(COUNT(K165:AG165)=0,"",(K165*10+L165*8+M165*7+N165*5)/3)</f>
        <v/>
      </c>
      <c r="G165" s="34">
        <f>IF(COUNT(K165:AG165)=0,"",(P165*8+Q165*7+R165*5+S165*5)/3)</f>
        <v/>
      </c>
      <c r="H165" s="34">
        <f>IF(COUNT(K165:AG165)=0,"",(U165*6+V165*6+W165*4+X165*3+Y165*3+Z165*3)/3)</f>
        <v/>
      </c>
      <c r="I165" s="34">
        <f>IF(COUNT(K165:AG165)=0,"",AB165*3+AC165*2+AD165*2+AE165*1)</f>
        <v/>
      </c>
      <c r="J165" s="34">
        <f>IF(COUNT(K165:AG165)=0,"",(AF165*5+AG165*5)/3)</f>
        <v/>
      </c>
      <c r="K165" s="41" t="n"/>
      <c r="L165" s="41" t="n"/>
      <c r="M165" s="41" t="n"/>
      <c r="N165" s="41" t="n"/>
      <c r="P165" s="41" t="n"/>
      <c r="Q165" s="41" t="n"/>
      <c r="R165" s="41" t="n"/>
      <c r="S165" s="41" t="n"/>
      <c r="U165" s="41" t="n"/>
      <c r="V165" s="41" t="n"/>
      <c r="W165" s="41" t="n"/>
      <c r="X165" s="41" t="n"/>
      <c r="Y165" s="41" t="n"/>
      <c r="Z165" s="41" t="n"/>
      <c r="AB165" s="41" t="n"/>
      <c r="AC165" s="41" t="n"/>
      <c r="AD165" s="41" t="n"/>
      <c r="AE165" s="41" t="n"/>
      <c r="AF165" s="41" t="n"/>
      <c r="AG165" s="41" t="n"/>
    </row>
    <row r="166" ht="14.25" customHeight="1" s="60">
      <c r="E166" s="33">
        <f>IF(COUNT(K166:AG166)=0,"",ROUND((F166+G166+H166+I166+J166)/10,2))</f>
        <v/>
      </c>
      <c r="F166" s="34">
        <f>IF(COUNT(K166:AG166)=0,"",(K166*10+L166*8+M166*7+N166*5)/3)</f>
        <v/>
      </c>
      <c r="G166" s="34">
        <f>IF(COUNT(K166:AG166)=0,"",(P166*8+Q166*7+R166*5+S166*5)/3)</f>
        <v/>
      </c>
      <c r="H166" s="34">
        <f>IF(COUNT(K166:AG166)=0,"",(U166*6+V166*6+W166*4+X166*3+Y166*3+Z166*3)/3)</f>
        <v/>
      </c>
      <c r="I166" s="34">
        <f>IF(COUNT(K166:AG166)=0,"",AB166*3+AC166*2+AD166*2+AE166*1)</f>
        <v/>
      </c>
      <c r="J166" s="34">
        <f>IF(COUNT(K166:AG166)=0,"",(AF166*5+AG166*5)/3)</f>
        <v/>
      </c>
      <c r="K166" s="41" t="n"/>
      <c r="L166" s="41" t="n"/>
      <c r="M166" s="41" t="n"/>
      <c r="N166" s="41" t="n"/>
      <c r="P166" s="41" t="n"/>
      <c r="Q166" s="41" t="n"/>
      <c r="R166" s="41" t="n"/>
      <c r="S166" s="41" t="n"/>
      <c r="U166" s="41" t="n"/>
      <c r="V166" s="41" t="n"/>
      <c r="W166" s="41" t="n"/>
      <c r="X166" s="41" t="n"/>
      <c r="Y166" s="41" t="n"/>
      <c r="Z166" s="41" t="n"/>
      <c r="AB166" s="41" t="n"/>
      <c r="AC166" s="41" t="n"/>
      <c r="AD166" s="41" t="n"/>
      <c r="AE166" s="41" t="n"/>
      <c r="AF166" s="41" t="n"/>
      <c r="AG166" s="41" t="n"/>
    </row>
    <row r="167" ht="14.25" customHeight="1" s="60">
      <c r="E167" s="33">
        <f>IF(COUNT(K167:AG167)=0,"",ROUND((F167+G167+H167+I167+J167)/10,2))</f>
        <v/>
      </c>
      <c r="F167" s="34">
        <f>IF(COUNT(K167:AG167)=0,"",(K167*10+L167*8+M167*7+N167*5)/3)</f>
        <v/>
      </c>
      <c r="G167" s="34">
        <f>IF(COUNT(K167:AG167)=0,"",(P167*8+Q167*7+R167*5+S167*5)/3)</f>
        <v/>
      </c>
      <c r="H167" s="34">
        <f>IF(COUNT(K167:AG167)=0,"",(U167*6+V167*6+W167*4+X167*3+Y167*3+Z167*3)/3)</f>
        <v/>
      </c>
      <c r="I167" s="34">
        <f>IF(COUNT(K167:AG167)=0,"",AB167*3+AC167*2+AD167*2+AE167*1)</f>
        <v/>
      </c>
      <c r="J167" s="34">
        <f>IF(COUNT(K167:AG167)=0,"",(AF167*5+AG167*5)/3)</f>
        <v/>
      </c>
      <c r="K167" s="41" t="n"/>
      <c r="L167" s="41" t="n"/>
      <c r="M167" s="41" t="n"/>
      <c r="N167" s="41" t="n"/>
      <c r="P167" s="41" t="n"/>
      <c r="Q167" s="41" t="n"/>
      <c r="R167" s="41" t="n"/>
      <c r="S167" s="41" t="n"/>
      <c r="U167" s="41" t="n"/>
      <c r="V167" s="41" t="n"/>
      <c r="W167" s="41" t="n"/>
      <c r="X167" s="41" t="n"/>
      <c r="Y167" s="41" t="n"/>
      <c r="Z167" s="41" t="n"/>
      <c r="AB167" s="41" t="n"/>
      <c r="AC167" s="41" t="n"/>
      <c r="AD167" s="41" t="n"/>
      <c r="AE167" s="41" t="n"/>
      <c r="AF167" s="41" t="n"/>
      <c r="AG167" s="41" t="n"/>
    </row>
    <row r="168" ht="14.25" customHeight="1" s="60">
      <c r="E168" s="33">
        <f>IF(COUNT(K168:AG168)=0,"",ROUND((F168+G168+H168+I168+J168)/10,2))</f>
        <v/>
      </c>
      <c r="F168" s="34">
        <f>IF(COUNT(K168:AG168)=0,"",(K168*10+L168*8+M168*7+N168*5)/3)</f>
        <v/>
      </c>
      <c r="G168" s="34">
        <f>IF(COUNT(K168:AG168)=0,"",(P168*8+Q168*7+R168*5+S168*5)/3)</f>
        <v/>
      </c>
      <c r="H168" s="34">
        <f>IF(COUNT(K168:AG168)=0,"",(U168*6+V168*6+W168*4+X168*3+Y168*3+Z168*3)/3)</f>
        <v/>
      </c>
      <c r="I168" s="34">
        <f>IF(COUNT(K168:AG168)=0,"",AB168*3+AC168*2+AD168*2+AE168*1)</f>
        <v/>
      </c>
      <c r="J168" s="34">
        <f>IF(COUNT(K168:AG168)=0,"",(AF168*5+AG168*5)/3)</f>
        <v/>
      </c>
      <c r="K168" s="41" t="n"/>
      <c r="L168" s="41" t="n"/>
      <c r="M168" s="41" t="n"/>
      <c r="N168" s="41" t="n"/>
      <c r="P168" s="41" t="n"/>
      <c r="Q168" s="41" t="n"/>
      <c r="R168" s="41" t="n"/>
      <c r="S168" s="41" t="n"/>
      <c r="U168" s="41" t="n"/>
      <c r="V168" s="41" t="n"/>
      <c r="W168" s="41" t="n"/>
      <c r="X168" s="41" t="n"/>
      <c r="Y168" s="41" t="n"/>
      <c r="Z168" s="41" t="n"/>
      <c r="AB168" s="41" t="n"/>
      <c r="AC168" s="41" t="n"/>
      <c r="AD168" s="41" t="n"/>
      <c r="AE168" s="41" t="n"/>
      <c r="AF168" s="41" t="n"/>
      <c r="AG168" s="41" t="n"/>
    </row>
    <row r="169" ht="14.25" customHeight="1" s="60">
      <c r="E169" s="33">
        <f>IF(COUNT(K169:AG169)=0,"",ROUND((F169+G169+H169+I169+J169)/10,2))</f>
        <v/>
      </c>
      <c r="F169" s="34">
        <f>IF(COUNT(K169:AG169)=0,"",(K169*10+L169*8+M169*7+N169*5)/3)</f>
        <v/>
      </c>
      <c r="G169" s="34">
        <f>IF(COUNT(K169:AG169)=0,"",(P169*8+Q169*7+R169*5+S169*5)/3)</f>
        <v/>
      </c>
      <c r="H169" s="34">
        <f>IF(COUNT(K169:AG169)=0,"",(U169*6+V169*6+W169*4+X169*3+Y169*3+Z169*3)/3)</f>
        <v/>
      </c>
      <c r="I169" s="34">
        <f>IF(COUNT(K169:AG169)=0,"",AB169*3+AC169*2+AD169*2+AE169*1)</f>
        <v/>
      </c>
      <c r="J169" s="34">
        <f>IF(COUNT(K169:AG169)=0,"",(AF169*5+AG169*5)/3)</f>
        <v/>
      </c>
      <c r="K169" s="41" t="n"/>
      <c r="L169" s="41" t="n"/>
      <c r="M169" s="41" t="n"/>
      <c r="N169" s="41" t="n"/>
      <c r="P169" s="41" t="n"/>
      <c r="Q169" s="41" t="n"/>
      <c r="R169" s="41" t="n"/>
      <c r="S169" s="41" t="n"/>
      <c r="U169" s="41" t="n"/>
      <c r="V169" s="41" t="n"/>
      <c r="W169" s="41" t="n"/>
      <c r="X169" s="41" t="n"/>
      <c r="Y169" s="41" t="n"/>
      <c r="Z169" s="41" t="n"/>
      <c r="AB169" s="41" t="n"/>
      <c r="AC169" s="41" t="n"/>
      <c r="AD169" s="41" t="n"/>
      <c r="AE169" s="41" t="n"/>
      <c r="AF169" s="41" t="n"/>
      <c r="AG169" s="41" t="n"/>
    </row>
    <row r="170" ht="14.25" customHeight="1" s="60">
      <c r="E170" s="33">
        <f>IF(COUNT(K170:AG170)=0,"",ROUND((F170+G170+H170+I170+J170)/10,2))</f>
        <v/>
      </c>
      <c r="F170" s="34">
        <f>IF(COUNT(K170:AG170)=0,"",(K170*10+L170*8+M170*7+N170*5)/3)</f>
        <v/>
      </c>
      <c r="G170" s="34">
        <f>IF(COUNT(K170:AG170)=0,"",(P170*8+Q170*7+R170*5+S170*5)/3)</f>
        <v/>
      </c>
      <c r="H170" s="34">
        <f>IF(COUNT(K170:AG170)=0,"",(U170*6+V170*6+W170*4+X170*3+Y170*3+Z170*3)/3)</f>
        <v/>
      </c>
      <c r="I170" s="34">
        <f>IF(COUNT(K170:AG170)=0,"",AB170*3+AC170*2+AD170*2+AE170*1)</f>
        <v/>
      </c>
      <c r="J170" s="34">
        <f>IF(COUNT(K170:AG170)=0,"",(AF170*5+AG170*5)/3)</f>
        <v/>
      </c>
      <c r="K170" s="41" t="n"/>
      <c r="L170" s="41" t="n"/>
      <c r="M170" s="41" t="n"/>
      <c r="N170" s="41" t="n"/>
      <c r="P170" s="41" t="n"/>
      <c r="Q170" s="41" t="n"/>
      <c r="R170" s="41" t="n"/>
      <c r="S170" s="41" t="n"/>
      <c r="U170" s="41" t="n"/>
      <c r="V170" s="41" t="n"/>
      <c r="W170" s="41" t="n"/>
      <c r="X170" s="41" t="n"/>
      <c r="Y170" s="41" t="n"/>
      <c r="Z170" s="41" t="n"/>
      <c r="AB170" s="41" t="n"/>
      <c r="AC170" s="41" t="n"/>
      <c r="AD170" s="41" t="n"/>
      <c r="AE170" s="41" t="n"/>
      <c r="AF170" s="41" t="n"/>
      <c r="AG170" s="41" t="n"/>
    </row>
    <row r="171" ht="14.25" customHeight="1" s="60">
      <c r="E171" s="33">
        <f>IF(COUNT(K171:AG171)=0,"",ROUND((F171+G171+H171+I171+J171)/10,2))</f>
        <v/>
      </c>
      <c r="F171" s="34">
        <f>IF(COUNT(K171:AG171)=0,"",(K171*10+L171*8+M171*7+N171*5)/3)</f>
        <v/>
      </c>
      <c r="G171" s="34">
        <f>IF(COUNT(K171:AG171)=0,"",(P171*8+Q171*7+R171*5+S171*5)/3)</f>
        <v/>
      </c>
      <c r="H171" s="34">
        <f>IF(COUNT(K171:AG171)=0,"",(U171*6+V171*6+W171*4+X171*3+Y171*3+Z171*3)/3)</f>
        <v/>
      </c>
      <c r="I171" s="34">
        <f>IF(COUNT(K171:AG171)=0,"",AB171*3+AC171*2+AD171*2+AE171*1)</f>
        <v/>
      </c>
      <c r="J171" s="34">
        <f>IF(COUNT(K171:AG171)=0,"",(AF171*5+AG171*5)/3)</f>
        <v/>
      </c>
      <c r="K171" s="41" t="n"/>
      <c r="L171" s="41" t="n"/>
      <c r="M171" s="41" t="n"/>
      <c r="N171" s="41" t="n"/>
      <c r="P171" s="41" t="n"/>
      <c r="Q171" s="41" t="n"/>
      <c r="R171" s="41" t="n"/>
      <c r="S171" s="41" t="n"/>
      <c r="U171" s="41" t="n"/>
      <c r="V171" s="41" t="n"/>
      <c r="W171" s="41" t="n"/>
      <c r="X171" s="41" t="n"/>
      <c r="Y171" s="41" t="n"/>
      <c r="Z171" s="41" t="n"/>
      <c r="AB171" s="41" t="n"/>
      <c r="AC171" s="41" t="n"/>
      <c r="AD171" s="41" t="n"/>
      <c r="AE171" s="41" t="n"/>
      <c r="AF171" s="41" t="n"/>
      <c r="AG171" s="41" t="n"/>
    </row>
    <row r="172" ht="14.25" customHeight="1" s="60">
      <c r="E172" s="33">
        <f>IF(COUNT(K172:AG172)=0,"",ROUND((F172+G172+H172+I172+J172)/10,2))</f>
        <v/>
      </c>
      <c r="F172" s="34">
        <f>IF(COUNT(K172:AG172)=0,"",(K172*10+L172*8+M172*7+N172*5)/3)</f>
        <v/>
      </c>
      <c r="G172" s="34">
        <f>IF(COUNT(K172:AG172)=0,"",(P172*8+Q172*7+R172*5+S172*5)/3)</f>
        <v/>
      </c>
      <c r="H172" s="34">
        <f>IF(COUNT(K172:AG172)=0,"",(U172*6+V172*6+W172*4+X172*3+Y172*3+Z172*3)/3)</f>
        <v/>
      </c>
      <c r="I172" s="34">
        <f>IF(COUNT(K172:AG172)=0,"",AB172*3+AC172*2+AD172*2+AE172*1)</f>
        <v/>
      </c>
      <c r="J172" s="34">
        <f>IF(COUNT(K172:AG172)=0,"",(AF172*5+AG172*5)/3)</f>
        <v/>
      </c>
      <c r="K172" s="41" t="n"/>
      <c r="L172" s="41" t="n"/>
      <c r="M172" s="41" t="n"/>
      <c r="N172" s="41" t="n"/>
      <c r="P172" s="41" t="n"/>
      <c r="Q172" s="41" t="n"/>
      <c r="R172" s="41" t="n"/>
      <c r="S172" s="41" t="n"/>
      <c r="U172" s="41" t="n"/>
      <c r="V172" s="41" t="n"/>
      <c r="W172" s="41" t="n"/>
      <c r="X172" s="41" t="n"/>
      <c r="Y172" s="41" t="n"/>
      <c r="Z172" s="41" t="n"/>
      <c r="AB172" s="41" t="n"/>
      <c r="AC172" s="41" t="n"/>
      <c r="AD172" s="41" t="n"/>
      <c r="AE172" s="41" t="n"/>
      <c r="AF172" s="41" t="n"/>
      <c r="AG172" s="41" t="n"/>
    </row>
    <row r="173" ht="14.25" customHeight="1" s="60">
      <c r="E173" s="33">
        <f>IF(COUNT(K173:AG173)=0,"",ROUND((F173+G173+H173+I173+J173)/10,2))</f>
        <v/>
      </c>
      <c r="F173" s="34">
        <f>IF(COUNT(K173:AG173)=0,"",(K173*10+L173*8+M173*7+N173*5)/3)</f>
        <v/>
      </c>
      <c r="G173" s="34">
        <f>IF(COUNT(K173:AG173)=0,"",(P173*8+Q173*7+R173*5+S173*5)/3)</f>
        <v/>
      </c>
      <c r="H173" s="34">
        <f>IF(COUNT(K173:AG173)=0,"",(U173*6+V173*6+W173*4+X173*3+Y173*3+Z173*3)/3)</f>
        <v/>
      </c>
      <c r="I173" s="34">
        <f>IF(COUNT(K173:AG173)=0,"",AB173*3+AC173*2+AD173*2+AE173*1)</f>
        <v/>
      </c>
      <c r="J173" s="34">
        <f>IF(COUNT(K173:AG173)=0,"",(AF173*5+AG173*5)/3)</f>
        <v/>
      </c>
      <c r="K173" s="41" t="n"/>
      <c r="L173" s="41" t="n"/>
      <c r="M173" s="41" t="n"/>
      <c r="N173" s="41" t="n"/>
      <c r="P173" s="41" t="n"/>
      <c r="Q173" s="41" t="n"/>
      <c r="R173" s="41" t="n"/>
      <c r="S173" s="41" t="n"/>
      <c r="U173" s="41" t="n"/>
      <c r="V173" s="41" t="n"/>
      <c r="W173" s="41" t="n"/>
      <c r="X173" s="41" t="n"/>
      <c r="Y173" s="41" t="n"/>
      <c r="Z173" s="41" t="n"/>
      <c r="AB173" s="41" t="n"/>
      <c r="AC173" s="41" t="n"/>
      <c r="AD173" s="41" t="n"/>
      <c r="AE173" s="41" t="n"/>
      <c r="AF173" s="41" t="n"/>
      <c r="AG173" s="41" t="n"/>
    </row>
    <row r="174" ht="14.25" customHeight="1" s="60">
      <c r="E174" s="33">
        <f>IF(COUNT(K174:AG174)=0,"",ROUND((F174+G174+H174+I174+J174)/10,2))</f>
        <v/>
      </c>
      <c r="F174" s="34">
        <f>IF(COUNT(K174:AG174)=0,"",(K174*10+L174*8+M174*7+N174*5)/3)</f>
        <v/>
      </c>
      <c r="G174" s="34">
        <f>IF(COUNT(K174:AG174)=0,"",(P174*8+Q174*7+R174*5+S174*5)/3)</f>
        <v/>
      </c>
      <c r="H174" s="34">
        <f>IF(COUNT(K174:AG174)=0,"",(U174*6+V174*6+W174*4+X174*3+Y174*3+Z174*3)/3)</f>
        <v/>
      </c>
      <c r="I174" s="34">
        <f>IF(COUNT(K174:AG174)=0,"",AB174*3+AC174*2+AD174*2+AE174*1)</f>
        <v/>
      </c>
      <c r="J174" s="34">
        <f>IF(COUNT(K174:AG174)=0,"",(AF174*5+AG174*5)/3)</f>
        <v/>
      </c>
      <c r="K174" s="41" t="n"/>
      <c r="L174" s="41" t="n"/>
      <c r="M174" s="41" t="n"/>
      <c r="N174" s="41" t="n"/>
      <c r="P174" s="41" t="n"/>
      <c r="Q174" s="41" t="n"/>
      <c r="R174" s="41" t="n"/>
      <c r="S174" s="41" t="n"/>
      <c r="U174" s="41" t="n"/>
      <c r="V174" s="41" t="n"/>
      <c r="W174" s="41" t="n"/>
      <c r="X174" s="41" t="n"/>
      <c r="Y174" s="41" t="n"/>
      <c r="Z174" s="41" t="n"/>
      <c r="AB174" s="41" t="n"/>
      <c r="AC174" s="41" t="n"/>
      <c r="AD174" s="41" t="n"/>
      <c r="AE174" s="41" t="n"/>
      <c r="AF174" s="41" t="n"/>
      <c r="AG174" s="41" t="n"/>
    </row>
    <row r="175" ht="14.25" customHeight="1" s="60">
      <c r="E175" s="33">
        <f>IF(COUNT(K175:AG175)=0,"",ROUND((F175+G175+H175+I175+J175)/10,2))</f>
        <v/>
      </c>
      <c r="F175" s="34">
        <f>IF(COUNT(K175:AG175)=0,"",(K175*10+L175*8+M175*7+N175*5)/3)</f>
        <v/>
      </c>
      <c r="G175" s="34">
        <f>IF(COUNT(K175:AG175)=0,"",(P175*8+Q175*7+R175*5+S175*5)/3)</f>
        <v/>
      </c>
      <c r="H175" s="34">
        <f>IF(COUNT(K175:AG175)=0,"",(U175*6+V175*6+W175*4+X175*3+Y175*3+Z175*3)/3)</f>
        <v/>
      </c>
      <c r="I175" s="34">
        <f>IF(COUNT(K175:AG175)=0,"",AB175*3+AC175*2+AD175*2+AE175*1)</f>
        <v/>
      </c>
      <c r="J175" s="34">
        <f>IF(COUNT(K175:AG175)=0,"",(AF175*5+AG175*5)/3)</f>
        <v/>
      </c>
      <c r="K175" s="41" t="n"/>
      <c r="L175" s="41" t="n"/>
      <c r="M175" s="41" t="n"/>
      <c r="N175" s="41" t="n"/>
      <c r="P175" s="41" t="n"/>
      <c r="Q175" s="41" t="n"/>
      <c r="R175" s="41" t="n"/>
      <c r="S175" s="41" t="n"/>
      <c r="U175" s="41" t="n"/>
      <c r="V175" s="41" t="n"/>
      <c r="W175" s="41" t="n"/>
      <c r="X175" s="41" t="n"/>
      <c r="Y175" s="41" t="n"/>
      <c r="Z175" s="41" t="n"/>
      <c r="AB175" s="41" t="n"/>
      <c r="AC175" s="41" t="n"/>
      <c r="AD175" s="41" t="n"/>
      <c r="AE175" s="41" t="n"/>
      <c r="AF175" s="41" t="n"/>
      <c r="AG175" s="41" t="n"/>
    </row>
    <row r="176" ht="14.25" customHeight="1" s="60">
      <c r="E176" s="33">
        <f>IF(COUNT(K176:AG176)=0,"",ROUND((F176+G176+H176+I176+J176)/10,2))</f>
        <v/>
      </c>
      <c r="F176" s="34">
        <f>IF(COUNT(K176:AG176)=0,"",(K176*10+L176*8+M176*7+N176*5)/3)</f>
        <v/>
      </c>
      <c r="G176" s="34">
        <f>IF(COUNT(K176:AG176)=0,"",(P176*8+Q176*7+R176*5+S176*5)/3)</f>
        <v/>
      </c>
      <c r="H176" s="34">
        <f>IF(COUNT(K176:AG176)=0,"",(U176*6+V176*6+W176*4+X176*3+Y176*3+Z176*3)/3)</f>
        <v/>
      </c>
      <c r="I176" s="34">
        <f>IF(COUNT(K176:AG176)=0,"",AB176*3+AC176*2+AD176*2+AE176*1)</f>
        <v/>
      </c>
      <c r="J176" s="34">
        <f>IF(COUNT(K176:AG176)=0,"",(AF176*5+AG176*5)/3)</f>
        <v/>
      </c>
      <c r="K176" s="41" t="n"/>
      <c r="L176" s="41" t="n"/>
      <c r="M176" s="41" t="n"/>
      <c r="N176" s="41" t="n"/>
      <c r="P176" s="41" t="n"/>
      <c r="Q176" s="41" t="n"/>
      <c r="R176" s="41" t="n"/>
      <c r="S176" s="41" t="n"/>
      <c r="U176" s="41" t="n"/>
      <c r="V176" s="41" t="n"/>
      <c r="W176" s="41" t="n"/>
      <c r="X176" s="41" t="n"/>
      <c r="Y176" s="41" t="n"/>
      <c r="Z176" s="41" t="n"/>
      <c r="AB176" s="41" t="n"/>
      <c r="AC176" s="41" t="n"/>
      <c r="AD176" s="41" t="n"/>
      <c r="AE176" s="41" t="n"/>
      <c r="AF176" s="41" t="n"/>
      <c r="AG176" s="41" t="n"/>
    </row>
    <row r="177" ht="14.25" customHeight="1" s="60">
      <c r="E177" s="33">
        <f>IF(COUNT(K177:AG177)=0,"",ROUND((F177+G177+H177+I177+J177)/10,2))</f>
        <v/>
      </c>
      <c r="F177" s="34">
        <f>IF(COUNT(K177:AG177)=0,"",(K177*10+L177*8+M177*7+N177*5)/3)</f>
        <v/>
      </c>
      <c r="G177" s="34">
        <f>IF(COUNT(K177:AG177)=0,"",(P177*8+Q177*7+R177*5+S177*5)/3)</f>
        <v/>
      </c>
      <c r="H177" s="34">
        <f>IF(COUNT(K177:AG177)=0,"",(U177*6+V177*6+W177*4+X177*3+Y177*3+Z177*3)/3)</f>
        <v/>
      </c>
      <c r="I177" s="34">
        <f>IF(COUNT(K177:AG177)=0,"",AB177*3+AC177*2+AD177*2+AE177*1)</f>
        <v/>
      </c>
      <c r="J177" s="34">
        <f>IF(COUNT(K177:AG177)=0,"",(AF177*5+AG177*5)/3)</f>
        <v/>
      </c>
      <c r="K177" s="41" t="n"/>
      <c r="L177" s="41" t="n"/>
      <c r="M177" s="41" t="n"/>
      <c r="N177" s="41" t="n"/>
      <c r="P177" s="41" t="n"/>
      <c r="Q177" s="41" t="n"/>
      <c r="R177" s="41" t="n"/>
      <c r="S177" s="41" t="n"/>
      <c r="U177" s="41" t="n"/>
      <c r="V177" s="41" t="n"/>
      <c r="W177" s="41" t="n"/>
      <c r="X177" s="41" t="n"/>
      <c r="Y177" s="41" t="n"/>
      <c r="Z177" s="41" t="n"/>
      <c r="AB177" s="41" t="n"/>
      <c r="AC177" s="41" t="n"/>
      <c r="AD177" s="41" t="n"/>
      <c r="AE177" s="41" t="n"/>
      <c r="AF177" s="41" t="n"/>
      <c r="AG177" s="41" t="n"/>
    </row>
    <row r="178" ht="14.25" customHeight="1" s="60">
      <c r="E178" s="33">
        <f>IF(COUNT(K178:AG178)=0,"",ROUND((F178+G178+H178+I178+J178)/10,2))</f>
        <v/>
      </c>
      <c r="F178" s="34">
        <f>IF(COUNT(K178:AG178)=0,"",(K178*10+L178*8+M178*7+N178*5)/3)</f>
        <v/>
      </c>
      <c r="G178" s="34">
        <f>IF(COUNT(K178:AG178)=0,"",(P178*8+Q178*7+R178*5+S178*5)/3)</f>
        <v/>
      </c>
      <c r="H178" s="34">
        <f>IF(COUNT(K178:AG178)=0,"",(U178*6+V178*6+W178*4+X178*3+Y178*3+Z178*3)/3)</f>
        <v/>
      </c>
      <c r="I178" s="34">
        <f>IF(COUNT(K178:AG178)=0,"",AB178*3+AC178*2+AD178*2+AE178*1)</f>
        <v/>
      </c>
      <c r="J178" s="34">
        <f>IF(COUNT(K178:AG178)=0,"",(AF178*5+AG178*5)/3)</f>
        <v/>
      </c>
      <c r="K178" s="41" t="n"/>
      <c r="L178" s="41" t="n"/>
      <c r="M178" s="41" t="n"/>
      <c r="N178" s="41" t="n"/>
      <c r="P178" s="41" t="n"/>
      <c r="Q178" s="41" t="n"/>
      <c r="R178" s="41" t="n"/>
      <c r="S178" s="41" t="n"/>
      <c r="U178" s="41" t="n"/>
      <c r="V178" s="41" t="n"/>
      <c r="W178" s="41" t="n"/>
      <c r="X178" s="41" t="n"/>
      <c r="Y178" s="41" t="n"/>
      <c r="Z178" s="41" t="n"/>
      <c r="AB178" s="41" t="n"/>
      <c r="AC178" s="41" t="n"/>
      <c r="AD178" s="41" t="n"/>
      <c r="AE178" s="41" t="n"/>
      <c r="AF178" s="41" t="n"/>
      <c r="AG178" s="41" t="n"/>
    </row>
    <row r="179" ht="14.25" customHeight="1" s="60">
      <c r="E179" s="33">
        <f>IF(COUNT(K179:AG179)=0,"",ROUND((F179+G179+H179+I179+J179)/10,2))</f>
        <v/>
      </c>
      <c r="F179" s="34">
        <f>IF(COUNT(K179:AG179)=0,"",(K179*10+L179*8+M179*7+N179*5)/3)</f>
        <v/>
      </c>
      <c r="G179" s="34">
        <f>IF(COUNT(K179:AG179)=0,"",(P179*8+Q179*7+R179*5+S179*5)/3)</f>
        <v/>
      </c>
      <c r="H179" s="34">
        <f>IF(COUNT(K179:AG179)=0,"",(U179*6+V179*6+W179*4+X179*3+Y179*3+Z179*3)/3)</f>
        <v/>
      </c>
      <c r="I179" s="34">
        <f>IF(COUNT(K179:AG179)=0,"",AB179*3+AC179*2+AD179*2+AE179*1)</f>
        <v/>
      </c>
      <c r="J179" s="34">
        <f>IF(COUNT(K179:AG179)=0,"",(AF179*5+AG179*5)/3)</f>
        <v/>
      </c>
      <c r="K179" s="41" t="n"/>
      <c r="L179" s="41" t="n"/>
      <c r="M179" s="41" t="n"/>
      <c r="N179" s="41" t="n"/>
      <c r="P179" s="41" t="n"/>
      <c r="Q179" s="41" t="n"/>
      <c r="R179" s="41" t="n"/>
      <c r="S179" s="41" t="n"/>
      <c r="U179" s="41" t="n"/>
      <c r="V179" s="41" t="n"/>
      <c r="W179" s="41" t="n"/>
      <c r="X179" s="41" t="n"/>
      <c r="Y179" s="41" t="n"/>
      <c r="Z179" s="41" t="n"/>
      <c r="AB179" s="41" t="n"/>
      <c r="AC179" s="41" t="n"/>
      <c r="AD179" s="41" t="n"/>
      <c r="AE179" s="41" t="n"/>
      <c r="AF179" s="41" t="n"/>
      <c r="AG179" s="41" t="n"/>
    </row>
    <row r="180" ht="14.25" customHeight="1" s="60">
      <c r="E180" s="33">
        <f>IF(COUNT(K180:AG180)=0,"",ROUND((F180+G180+H180+I180+J180)/10,2))</f>
        <v/>
      </c>
      <c r="F180" s="34">
        <f>IF(COUNT(K180:AG180)=0,"",(K180*10+L180*8+M180*7+N180*5)/3)</f>
        <v/>
      </c>
      <c r="G180" s="34">
        <f>IF(COUNT(K180:AG180)=0,"",(P180*8+Q180*7+R180*5+S180*5)/3)</f>
        <v/>
      </c>
      <c r="H180" s="34">
        <f>IF(COUNT(K180:AG180)=0,"",(U180*6+V180*6+W180*4+X180*3+Y180*3+Z180*3)/3)</f>
        <v/>
      </c>
      <c r="I180" s="34">
        <f>IF(COUNT(K180:AG180)=0,"",AB180*3+AC180*2+AD180*2+AE180*1)</f>
        <v/>
      </c>
      <c r="J180" s="34">
        <f>IF(COUNT(K180:AG180)=0,"",(AF180*5+AG180*5)/3)</f>
        <v/>
      </c>
      <c r="K180" s="41" t="n"/>
      <c r="L180" s="41" t="n"/>
      <c r="M180" s="41" t="n"/>
      <c r="N180" s="41" t="n"/>
      <c r="P180" s="41" t="n"/>
      <c r="Q180" s="41" t="n"/>
      <c r="R180" s="41" t="n"/>
      <c r="S180" s="41" t="n"/>
      <c r="U180" s="41" t="n"/>
      <c r="V180" s="41" t="n"/>
      <c r="W180" s="41" t="n"/>
      <c r="X180" s="41" t="n"/>
      <c r="Y180" s="41" t="n"/>
      <c r="Z180" s="41" t="n"/>
      <c r="AB180" s="41" t="n"/>
      <c r="AC180" s="41" t="n"/>
      <c r="AD180" s="41" t="n"/>
      <c r="AE180" s="41" t="n"/>
      <c r="AF180" s="41" t="n"/>
      <c r="AG180" s="41" t="n"/>
    </row>
    <row r="181" ht="14.25" customHeight="1" s="60">
      <c r="E181" s="33">
        <f>IF(COUNT(K181:AG181)=0,"",ROUND((F181+G181+H181+I181+J181)/10,2))</f>
        <v/>
      </c>
      <c r="F181" s="34">
        <f>IF(COUNT(K181:AG181)=0,"",(K181*10+L181*8+M181*7+N181*5)/3)</f>
        <v/>
      </c>
      <c r="G181" s="34">
        <f>IF(COUNT(K181:AG181)=0,"",(P181*8+Q181*7+R181*5+S181*5)/3)</f>
        <v/>
      </c>
      <c r="H181" s="34">
        <f>IF(COUNT(K181:AG181)=0,"",(U181*6+V181*6+W181*4+X181*3+Y181*3+Z181*3)/3)</f>
        <v/>
      </c>
      <c r="I181" s="34">
        <f>IF(COUNT(K181:AG181)=0,"",AB181*3+AC181*2+AD181*2+AE181*1)</f>
        <v/>
      </c>
      <c r="J181" s="34">
        <f>IF(COUNT(K181:AG181)=0,"",(AF181*5+AG181*5)/3)</f>
        <v/>
      </c>
      <c r="K181" s="41" t="n"/>
      <c r="L181" s="41" t="n"/>
      <c r="M181" s="41" t="n"/>
      <c r="N181" s="41" t="n"/>
      <c r="P181" s="41" t="n"/>
      <c r="Q181" s="41" t="n"/>
      <c r="R181" s="41" t="n"/>
      <c r="S181" s="41" t="n"/>
      <c r="U181" s="41" t="n"/>
      <c r="V181" s="41" t="n"/>
      <c r="W181" s="41" t="n"/>
      <c r="X181" s="41" t="n"/>
      <c r="Y181" s="41" t="n"/>
      <c r="Z181" s="41" t="n"/>
      <c r="AB181" s="41" t="n"/>
      <c r="AC181" s="41" t="n"/>
      <c r="AD181" s="41" t="n"/>
      <c r="AE181" s="41" t="n"/>
      <c r="AF181" s="41" t="n"/>
      <c r="AG181" s="41" t="n"/>
    </row>
    <row r="182" ht="14.25" customHeight="1" s="60">
      <c r="E182" s="33">
        <f>IF(COUNT(K182:AG182)=0,"",ROUND((F182+G182+H182+I182+J182)/10,2))</f>
        <v/>
      </c>
      <c r="F182" s="34">
        <f>IF(COUNT(K182:AG182)=0,"",(K182*10+L182*8+M182*7+N182*5)/3)</f>
        <v/>
      </c>
      <c r="G182" s="34">
        <f>IF(COUNT(K182:AG182)=0,"",(P182*8+Q182*7+R182*5+S182*5)/3)</f>
        <v/>
      </c>
      <c r="H182" s="34">
        <f>IF(COUNT(K182:AG182)=0,"",(U182*6+V182*6+W182*4+X182*3+Y182*3+Z182*3)/3)</f>
        <v/>
      </c>
      <c r="I182" s="34">
        <f>IF(COUNT(K182:AG182)=0,"",AB182*3+AC182*2+AD182*2+AE182*1)</f>
        <v/>
      </c>
      <c r="J182" s="34">
        <f>IF(COUNT(K182:AG182)=0,"",(AF182*5+AG182*5)/3)</f>
        <v/>
      </c>
      <c r="K182" s="41" t="n"/>
      <c r="L182" s="41" t="n"/>
      <c r="M182" s="41" t="n"/>
      <c r="N182" s="41" t="n"/>
      <c r="P182" s="41" t="n"/>
      <c r="Q182" s="41" t="n"/>
      <c r="R182" s="41" t="n"/>
      <c r="S182" s="41" t="n"/>
      <c r="U182" s="41" t="n"/>
      <c r="V182" s="41" t="n"/>
      <c r="W182" s="41" t="n"/>
      <c r="X182" s="41" t="n"/>
      <c r="Y182" s="41" t="n"/>
      <c r="Z182" s="41" t="n"/>
      <c r="AB182" s="41" t="n"/>
      <c r="AC182" s="41" t="n"/>
      <c r="AD182" s="41" t="n"/>
      <c r="AE182" s="41" t="n"/>
      <c r="AF182" s="41" t="n"/>
      <c r="AG182" s="41" t="n"/>
    </row>
    <row r="183" ht="14.25" customHeight="1" s="60">
      <c r="E183" s="33">
        <f>IF(COUNT(K183:AG183)=0,"",ROUND((F183+G183+H183+I183+J183)/10,2))</f>
        <v/>
      </c>
      <c r="F183" s="34">
        <f>IF(COUNT(K183:AG183)=0,"",(K183*10+L183*8+M183*7+N183*5)/3)</f>
        <v/>
      </c>
      <c r="G183" s="34">
        <f>IF(COUNT(K183:AG183)=0,"",(P183*8+Q183*7+R183*5+S183*5)/3)</f>
        <v/>
      </c>
      <c r="H183" s="34">
        <f>IF(COUNT(K183:AG183)=0,"",(U183*6+V183*6+W183*4+X183*3+Y183*3+Z183*3)/3)</f>
        <v/>
      </c>
      <c r="I183" s="34">
        <f>IF(COUNT(K183:AG183)=0,"",AB183*3+AC183*2+AD183*2+AE183*1)</f>
        <v/>
      </c>
      <c r="J183" s="34">
        <f>IF(COUNT(K183:AG183)=0,"",(AF183*5+AG183*5)/3)</f>
        <v/>
      </c>
      <c r="K183" s="41" t="n"/>
      <c r="L183" s="41" t="n"/>
      <c r="M183" s="41" t="n"/>
      <c r="N183" s="41" t="n"/>
      <c r="P183" s="41" t="n"/>
      <c r="Q183" s="41" t="n"/>
      <c r="R183" s="41" t="n"/>
      <c r="S183" s="41" t="n"/>
      <c r="U183" s="41" t="n"/>
      <c r="V183" s="41" t="n"/>
      <c r="W183" s="41" t="n"/>
      <c r="X183" s="41" t="n"/>
      <c r="Y183" s="41" t="n"/>
      <c r="Z183" s="41" t="n"/>
      <c r="AB183" s="41" t="n"/>
      <c r="AC183" s="41" t="n"/>
      <c r="AD183" s="41" t="n"/>
      <c r="AE183" s="41" t="n"/>
      <c r="AF183" s="41" t="n"/>
      <c r="AG183" s="41" t="n"/>
    </row>
    <row r="184" ht="14.25" customHeight="1" s="60">
      <c r="E184" s="33">
        <f>IF(COUNT(K184:AG184)=0,"",ROUND((F184+G184+H184+I184+J184)/10,2))</f>
        <v/>
      </c>
      <c r="F184" s="34">
        <f>IF(COUNT(K184:AG184)=0,"",(K184*10+L184*8+M184*7+N184*5)/3)</f>
        <v/>
      </c>
      <c r="G184" s="34">
        <f>IF(COUNT(K184:AG184)=0,"",(P184*8+Q184*7+R184*5+S184*5)/3)</f>
        <v/>
      </c>
      <c r="H184" s="34">
        <f>IF(COUNT(K184:AG184)=0,"",(U184*6+V184*6+W184*4+X184*3+Y184*3+Z184*3)/3)</f>
        <v/>
      </c>
      <c r="I184" s="34">
        <f>IF(COUNT(K184:AG184)=0,"",AB184*3+AC184*2+AD184*2+AE184*1)</f>
        <v/>
      </c>
      <c r="J184" s="34">
        <f>IF(COUNT(K184:AG184)=0,"",(AF184*5+AG184*5)/3)</f>
        <v/>
      </c>
      <c r="K184" s="41" t="n"/>
      <c r="L184" s="41" t="n"/>
      <c r="M184" s="41" t="n"/>
      <c r="N184" s="41" t="n"/>
      <c r="P184" s="41" t="n"/>
      <c r="Q184" s="41" t="n"/>
      <c r="R184" s="41" t="n"/>
      <c r="S184" s="41" t="n"/>
      <c r="U184" s="41" t="n"/>
      <c r="V184" s="41" t="n"/>
      <c r="W184" s="41" t="n"/>
      <c r="X184" s="41" t="n"/>
      <c r="Y184" s="41" t="n"/>
      <c r="Z184" s="41" t="n"/>
      <c r="AB184" s="41" t="n"/>
      <c r="AC184" s="41" t="n"/>
      <c r="AD184" s="41" t="n"/>
      <c r="AE184" s="41" t="n"/>
      <c r="AF184" s="41" t="n"/>
      <c r="AG184" s="41" t="n"/>
    </row>
    <row r="185" ht="14.25" customHeight="1" s="60">
      <c r="E185" s="33">
        <f>IF(COUNT(K185:AG185)=0,"",ROUND((F185+G185+H185+I185+J185)/10,2))</f>
        <v/>
      </c>
      <c r="F185" s="34">
        <f>IF(COUNT(K185:AG185)=0,"",(K185*10+L185*8+M185*7+N185*5)/3)</f>
        <v/>
      </c>
      <c r="G185" s="34">
        <f>IF(COUNT(K185:AG185)=0,"",(P185*8+Q185*7+R185*5+S185*5)/3)</f>
        <v/>
      </c>
      <c r="H185" s="34">
        <f>IF(COUNT(K185:AG185)=0,"",(U185*6+V185*6+W185*4+X185*3+Y185*3+Z185*3)/3)</f>
        <v/>
      </c>
      <c r="I185" s="34">
        <f>IF(COUNT(K185:AG185)=0,"",AB185*3+AC185*2+AD185*2+AE185*1)</f>
        <v/>
      </c>
      <c r="J185" s="34">
        <f>IF(COUNT(K185:AG185)=0,"",(AF185*5+AG185*5)/3)</f>
        <v/>
      </c>
      <c r="K185" s="41" t="n"/>
      <c r="L185" s="41" t="n"/>
      <c r="M185" s="41" t="n"/>
      <c r="N185" s="41" t="n"/>
      <c r="P185" s="41" t="n"/>
      <c r="Q185" s="41" t="n"/>
      <c r="R185" s="41" t="n"/>
      <c r="S185" s="41" t="n"/>
      <c r="U185" s="41" t="n"/>
      <c r="V185" s="41" t="n"/>
      <c r="W185" s="41" t="n"/>
      <c r="X185" s="41" t="n"/>
      <c r="Y185" s="41" t="n"/>
      <c r="Z185" s="41" t="n"/>
      <c r="AB185" s="41" t="n"/>
      <c r="AC185" s="41" t="n"/>
      <c r="AD185" s="41" t="n"/>
      <c r="AE185" s="41" t="n"/>
      <c r="AF185" s="41" t="n"/>
      <c r="AG185" s="41" t="n"/>
    </row>
    <row r="186" ht="14.25" customHeight="1" s="60">
      <c r="E186" s="33">
        <f>IF(COUNT(K186:AG186)=0,"",ROUND((F186+G186+H186+I186+J186)/10,2))</f>
        <v/>
      </c>
      <c r="F186" s="34">
        <f>IF(COUNT(K186:AG186)=0,"",(K186*10+L186*8+M186*7+N186*5)/3)</f>
        <v/>
      </c>
      <c r="G186" s="34">
        <f>IF(COUNT(K186:AG186)=0,"",(P186*8+Q186*7+R186*5+S186*5)/3)</f>
        <v/>
      </c>
      <c r="H186" s="34">
        <f>IF(COUNT(K186:AG186)=0,"",(U186*6+V186*6+W186*4+X186*3+Y186*3+Z186*3)/3)</f>
        <v/>
      </c>
      <c r="I186" s="34">
        <f>IF(COUNT(K186:AG186)=0,"",AB186*3+AC186*2+AD186*2+AE186*1)</f>
        <v/>
      </c>
      <c r="J186" s="34">
        <f>IF(COUNT(K186:AG186)=0,"",(AF186*5+AG186*5)/3)</f>
        <v/>
      </c>
      <c r="K186" s="41" t="n"/>
      <c r="L186" s="41" t="n"/>
      <c r="M186" s="41" t="n"/>
      <c r="N186" s="41" t="n"/>
      <c r="P186" s="41" t="n"/>
      <c r="Q186" s="41" t="n"/>
      <c r="R186" s="41" t="n"/>
      <c r="S186" s="41" t="n"/>
      <c r="U186" s="41" t="n"/>
      <c r="V186" s="41" t="n"/>
      <c r="W186" s="41" t="n"/>
      <c r="X186" s="41" t="n"/>
      <c r="Y186" s="41" t="n"/>
      <c r="Z186" s="41" t="n"/>
      <c r="AB186" s="41" t="n"/>
      <c r="AC186" s="41" t="n"/>
      <c r="AD186" s="41" t="n"/>
      <c r="AE186" s="41" t="n"/>
      <c r="AF186" s="41" t="n"/>
      <c r="AG186" s="41" t="n"/>
    </row>
    <row r="187" ht="14.25" customHeight="1" s="60">
      <c r="E187" s="33">
        <f>IF(COUNT(K187:AG187)=0,"",ROUND((F187+G187+H187+I187+J187)/10,2))</f>
        <v/>
      </c>
      <c r="F187" s="34">
        <f>IF(COUNT(K187:AG187)=0,"",(K187*10+L187*8+M187*7+N187*5)/3)</f>
        <v/>
      </c>
      <c r="G187" s="34">
        <f>IF(COUNT(K187:AG187)=0,"",(P187*8+Q187*7+R187*5+S187*5)/3)</f>
        <v/>
      </c>
      <c r="H187" s="34">
        <f>IF(COUNT(K187:AG187)=0,"",(U187*6+V187*6+W187*4+X187*3+Y187*3+Z187*3)/3)</f>
        <v/>
      </c>
      <c r="I187" s="34">
        <f>IF(COUNT(K187:AG187)=0,"",AB187*3+AC187*2+AD187*2+AE187*1)</f>
        <v/>
      </c>
      <c r="J187" s="34">
        <f>IF(COUNT(K187:AG187)=0,"",(AF187*5+AG187*5)/3)</f>
        <v/>
      </c>
      <c r="K187" s="41" t="n"/>
      <c r="L187" s="41" t="n"/>
      <c r="M187" s="41" t="n"/>
      <c r="N187" s="41" t="n"/>
      <c r="P187" s="41" t="n"/>
      <c r="Q187" s="41" t="n"/>
      <c r="R187" s="41" t="n"/>
      <c r="S187" s="41" t="n"/>
      <c r="U187" s="41" t="n"/>
      <c r="V187" s="41" t="n"/>
      <c r="W187" s="41" t="n"/>
      <c r="X187" s="41" t="n"/>
      <c r="Y187" s="41" t="n"/>
      <c r="Z187" s="41" t="n"/>
      <c r="AB187" s="41" t="n"/>
      <c r="AC187" s="41" t="n"/>
      <c r="AD187" s="41" t="n"/>
      <c r="AE187" s="41" t="n"/>
      <c r="AF187" s="41" t="n"/>
      <c r="AG187" s="41" t="n"/>
    </row>
    <row r="188" ht="14.25" customHeight="1" s="60">
      <c r="E188" s="33">
        <f>IF(COUNT(K188:AG188)=0,"",ROUND((F188+G188+H188+I188+J188)/10,2))</f>
        <v/>
      </c>
      <c r="F188" s="34">
        <f>IF(COUNT(K188:AG188)=0,"",(K188*10+L188*8+M188*7+N188*5)/3)</f>
        <v/>
      </c>
      <c r="G188" s="34">
        <f>IF(COUNT(K188:AG188)=0,"",(P188*8+Q188*7+R188*5+S188*5)/3)</f>
        <v/>
      </c>
      <c r="H188" s="34">
        <f>IF(COUNT(K188:AG188)=0,"",(U188*6+V188*6+W188*4+X188*3+Y188*3+Z188*3)/3)</f>
        <v/>
      </c>
      <c r="I188" s="34">
        <f>IF(COUNT(K188:AG188)=0,"",AB188*3+AC188*2+AD188*2+AE188*1)</f>
        <v/>
      </c>
      <c r="J188" s="34">
        <f>IF(COUNT(K188:AG188)=0,"",(AF188*5+AG188*5)/3)</f>
        <v/>
      </c>
      <c r="K188" s="41" t="n"/>
      <c r="L188" s="41" t="n"/>
      <c r="M188" s="41" t="n"/>
      <c r="N188" s="41" t="n"/>
      <c r="P188" s="41" t="n"/>
      <c r="Q188" s="41" t="n"/>
      <c r="R188" s="41" t="n"/>
      <c r="S188" s="41" t="n"/>
      <c r="U188" s="41" t="n"/>
      <c r="V188" s="41" t="n"/>
      <c r="W188" s="41" t="n"/>
      <c r="X188" s="41" t="n"/>
      <c r="Y188" s="41" t="n"/>
      <c r="Z188" s="41" t="n"/>
      <c r="AB188" s="41" t="n"/>
      <c r="AC188" s="41" t="n"/>
      <c r="AD188" s="41" t="n"/>
      <c r="AE188" s="41" t="n"/>
      <c r="AF188" s="41" t="n"/>
      <c r="AG188" s="41" t="n"/>
    </row>
    <row r="189" ht="14.25" customHeight="1" s="60">
      <c r="E189" s="33">
        <f>IF(COUNT(K189:AG189)=0,"",ROUND((F189+G189+H189+I189+J189)/10,2))</f>
        <v/>
      </c>
      <c r="F189" s="34">
        <f>IF(COUNT(K189:AG189)=0,"",(K189*10+L189*8+M189*7+N189*5)/3)</f>
        <v/>
      </c>
      <c r="G189" s="34">
        <f>IF(COUNT(K189:AG189)=0,"",(P189*8+Q189*7+R189*5+S189*5)/3)</f>
        <v/>
      </c>
      <c r="H189" s="34">
        <f>IF(COUNT(K189:AG189)=0,"",(U189*6+V189*6+W189*4+X189*3+Y189*3+Z189*3)/3)</f>
        <v/>
      </c>
      <c r="I189" s="34">
        <f>IF(COUNT(K189:AG189)=0,"",AB189*3+AC189*2+AD189*2+AE189*1)</f>
        <v/>
      </c>
      <c r="J189" s="34">
        <f>IF(COUNT(K189:AG189)=0,"",(AF189*5+AG189*5)/3)</f>
        <v/>
      </c>
      <c r="K189" s="41" t="n"/>
      <c r="L189" s="41" t="n"/>
      <c r="M189" s="41" t="n"/>
      <c r="N189" s="41" t="n"/>
      <c r="P189" s="41" t="n"/>
      <c r="Q189" s="41" t="n"/>
      <c r="R189" s="41" t="n"/>
      <c r="S189" s="41" t="n"/>
      <c r="U189" s="41" t="n"/>
      <c r="V189" s="41" t="n"/>
      <c r="W189" s="41" t="n"/>
      <c r="X189" s="41" t="n"/>
      <c r="Y189" s="41" t="n"/>
      <c r="Z189" s="41" t="n"/>
      <c r="AB189" s="41" t="n"/>
      <c r="AC189" s="41" t="n"/>
      <c r="AD189" s="41" t="n"/>
      <c r="AE189" s="41" t="n"/>
      <c r="AF189" s="41" t="n"/>
      <c r="AG189" s="41" t="n"/>
    </row>
    <row r="190" ht="14.25" customHeight="1" s="60">
      <c r="E190" s="33">
        <f>IF(COUNT(K190:AG190)=0,"",ROUND((F190+G190+H190+I190+J190)/10,2))</f>
        <v/>
      </c>
      <c r="F190" s="34">
        <f>IF(COUNT(K190:AG190)=0,"",(K190*10+L190*8+M190*7+N190*5)/3)</f>
        <v/>
      </c>
      <c r="G190" s="34">
        <f>IF(COUNT(K190:AG190)=0,"",(P190*8+Q190*7+R190*5+S190*5)/3)</f>
        <v/>
      </c>
      <c r="H190" s="34">
        <f>IF(COUNT(K190:AG190)=0,"",(U190*6+V190*6+W190*4+X190*3+Y190*3+Z190*3)/3)</f>
        <v/>
      </c>
      <c r="I190" s="34">
        <f>IF(COUNT(K190:AG190)=0,"",AB190*3+AC190*2+AD190*2+AE190*1)</f>
        <v/>
      </c>
      <c r="J190" s="34">
        <f>IF(COUNT(K190:AG190)=0,"",(AF190*5+AG190*5)/3)</f>
        <v/>
      </c>
      <c r="K190" s="41" t="n"/>
      <c r="L190" s="41" t="n"/>
      <c r="M190" s="41" t="n"/>
      <c r="N190" s="41" t="n"/>
      <c r="P190" s="41" t="n"/>
      <c r="Q190" s="41" t="n"/>
      <c r="R190" s="41" t="n"/>
      <c r="S190" s="41" t="n"/>
      <c r="U190" s="41" t="n"/>
      <c r="V190" s="41" t="n"/>
      <c r="W190" s="41" t="n"/>
      <c r="X190" s="41" t="n"/>
      <c r="Y190" s="41" t="n"/>
      <c r="Z190" s="41" t="n"/>
      <c r="AB190" s="41" t="n"/>
      <c r="AC190" s="41" t="n"/>
      <c r="AD190" s="41" t="n"/>
      <c r="AE190" s="41" t="n"/>
      <c r="AF190" s="41" t="n"/>
      <c r="AG190" s="41" t="n"/>
    </row>
    <row r="191" ht="14.25" customHeight="1" s="60">
      <c r="E191" s="33">
        <f>IF(COUNT(K191:AG191)=0,"",ROUND((F191+G191+H191+I191+J191)/10,2))</f>
        <v/>
      </c>
      <c r="F191" s="34">
        <f>IF(COUNT(K191:AG191)=0,"",(K191*10+L191*8+M191*7+N191*5)/3)</f>
        <v/>
      </c>
      <c r="G191" s="34">
        <f>IF(COUNT(K191:AG191)=0,"",(P191*8+Q191*7+R191*5+S191*5)/3)</f>
        <v/>
      </c>
      <c r="H191" s="34">
        <f>IF(COUNT(K191:AG191)=0,"",(U191*6+V191*6+W191*4+X191*3+Y191*3+Z191*3)/3)</f>
        <v/>
      </c>
      <c r="I191" s="34">
        <f>IF(COUNT(K191:AG191)=0,"",AB191*3+AC191*2+AD191*2+AE191*1)</f>
        <v/>
      </c>
      <c r="J191" s="34">
        <f>IF(COUNT(K191:AG191)=0,"",(AF191*5+AG191*5)/3)</f>
        <v/>
      </c>
      <c r="K191" s="41" t="n"/>
      <c r="L191" s="41" t="n"/>
      <c r="M191" s="41" t="n"/>
      <c r="N191" s="41" t="n"/>
      <c r="P191" s="41" t="n"/>
      <c r="Q191" s="41" t="n"/>
      <c r="R191" s="41" t="n"/>
      <c r="S191" s="41" t="n"/>
      <c r="U191" s="41" t="n"/>
      <c r="V191" s="41" t="n"/>
      <c r="W191" s="41" t="n"/>
      <c r="X191" s="41" t="n"/>
      <c r="Y191" s="41" t="n"/>
      <c r="Z191" s="41" t="n"/>
      <c r="AB191" s="41" t="n"/>
      <c r="AC191" s="41" t="n"/>
      <c r="AD191" s="41" t="n"/>
      <c r="AE191" s="41" t="n"/>
      <c r="AF191" s="41" t="n"/>
      <c r="AG191" s="41" t="n"/>
    </row>
    <row r="192" ht="14.25" customHeight="1" s="60">
      <c r="E192" s="33">
        <f>IF(COUNT(K192:AG192)=0,"",ROUND((F192+G192+H192+I192+J192)/10,2))</f>
        <v/>
      </c>
      <c r="F192" s="34">
        <f>IF(COUNT(K192:AG192)=0,"",(K192*10+L192*8+M192*7+N192*5)/3)</f>
        <v/>
      </c>
      <c r="G192" s="34">
        <f>IF(COUNT(K192:AG192)=0,"",(P192*8+Q192*7+R192*5+S192*5)/3)</f>
        <v/>
      </c>
      <c r="H192" s="34">
        <f>IF(COUNT(K192:AG192)=0,"",(U192*6+V192*6+W192*4+X192*3+Y192*3+Z192*3)/3)</f>
        <v/>
      </c>
      <c r="I192" s="34">
        <f>IF(COUNT(K192:AG192)=0,"",AB192*3+AC192*2+AD192*2+AE192*1)</f>
        <v/>
      </c>
      <c r="J192" s="34">
        <f>IF(COUNT(K192:AG192)=0,"",(AF192*5+AG192*5)/3)</f>
        <v/>
      </c>
      <c r="K192" s="41" t="n"/>
      <c r="L192" s="41" t="n"/>
      <c r="M192" s="41" t="n"/>
      <c r="N192" s="41" t="n"/>
      <c r="P192" s="41" t="n"/>
      <c r="Q192" s="41" t="n"/>
      <c r="R192" s="41" t="n"/>
      <c r="S192" s="41" t="n"/>
      <c r="U192" s="41" t="n"/>
      <c r="V192" s="41" t="n"/>
      <c r="W192" s="41" t="n"/>
      <c r="X192" s="41" t="n"/>
      <c r="Y192" s="41" t="n"/>
      <c r="Z192" s="41" t="n"/>
      <c r="AB192" s="41" t="n"/>
      <c r="AC192" s="41" t="n"/>
      <c r="AD192" s="41" t="n"/>
      <c r="AE192" s="41" t="n"/>
      <c r="AF192" s="41" t="n"/>
      <c r="AG192" s="41" t="n"/>
    </row>
    <row r="193" ht="14.25" customHeight="1" s="60">
      <c r="E193" s="33">
        <f>IF(COUNT(K193:AG193)=0,"",ROUND((F193+G193+H193+I193+J193)/10,2))</f>
        <v/>
      </c>
      <c r="F193" s="34">
        <f>IF(COUNT(K193:AG193)=0,"",(K193*10+L193*8+M193*7+N193*5)/3)</f>
        <v/>
      </c>
      <c r="G193" s="34">
        <f>IF(COUNT(K193:AG193)=0,"",(P193*8+Q193*7+R193*5+S193*5)/3)</f>
        <v/>
      </c>
      <c r="H193" s="34">
        <f>IF(COUNT(K193:AG193)=0,"",(U193*6+V193*6+W193*4+X193*3+Y193*3+Z193*3)/3)</f>
        <v/>
      </c>
      <c r="I193" s="34">
        <f>IF(COUNT(K193:AG193)=0,"",AB193*3+AC193*2+AD193*2+AE193*1)</f>
        <v/>
      </c>
      <c r="J193" s="34">
        <f>IF(COUNT(K193:AG193)=0,"",(AF193*5+AG193*5)/3)</f>
        <v/>
      </c>
      <c r="K193" s="41" t="n"/>
      <c r="L193" s="41" t="n"/>
      <c r="M193" s="41" t="n"/>
      <c r="N193" s="41" t="n"/>
      <c r="P193" s="41" t="n"/>
      <c r="Q193" s="41" t="n"/>
      <c r="R193" s="41" t="n"/>
      <c r="S193" s="41" t="n"/>
      <c r="U193" s="41" t="n"/>
      <c r="V193" s="41" t="n"/>
      <c r="W193" s="41" t="n"/>
      <c r="X193" s="41" t="n"/>
      <c r="Y193" s="41" t="n"/>
      <c r="Z193" s="41" t="n"/>
      <c r="AB193" s="41" t="n"/>
      <c r="AC193" s="41" t="n"/>
      <c r="AD193" s="41" t="n"/>
      <c r="AE193" s="41" t="n"/>
      <c r="AF193" s="41" t="n"/>
      <c r="AG193" s="41" t="n"/>
    </row>
    <row r="194" ht="14.25" customHeight="1" s="60">
      <c r="E194" s="33">
        <f>IF(COUNT(K194:AG194)=0,"",ROUND((F194+G194+H194+I194+J194)/10,2))</f>
        <v/>
      </c>
      <c r="F194" s="34">
        <f>IF(COUNT(K194:AG194)=0,"",(K194*10+L194*8+M194*7+N194*5)/3)</f>
        <v/>
      </c>
      <c r="G194" s="34">
        <f>IF(COUNT(K194:AG194)=0,"",(P194*8+Q194*7+R194*5+S194*5)/3)</f>
        <v/>
      </c>
      <c r="H194" s="34">
        <f>IF(COUNT(K194:AG194)=0,"",(U194*6+V194*6+W194*4+X194*3+Y194*3+Z194*3)/3)</f>
        <v/>
      </c>
      <c r="I194" s="34">
        <f>IF(COUNT(K194:AG194)=0,"",AB194*3+AC194*2+AD194*2+AE194*1)</f>
        <v/>
      </c>
      <c r="J194" s="34">
        <f>IF(COUNT(K194:AG194)=0,"",(AF194*5+AG194*5)/3)</f>
        <v/>
      </c>
      <c r="K194" s="41" t="n"/>
      <c r="L194" s="41" t="n"/>
      <c r="M194" s="41" t="n"/>
      <c r="N194" s="41" t="n"/>
      <c r="P194" s="41" t="n"/>
      <c r="Q194" s="41" t="n"/>
      <c r="R194" s="41" t="n"/>
      <c r="S194" s="41" t="n"/>
      <c r="U194" s="41" t="n"/>
      <c r="V194" s="41" t="n"/>
      <c r="W194" s="41" t="n"/>
      <c r="X194" s="41" t="n"/>
      <c r="Y194" s="41" t="n"/>
      <c r="Z194" s="41" t="n"/>
      <c r="AB194" s="41" t="n"/>
      <c r="AC194" s="41" t="n"/>
      <c r="AD194" s="41" t="n"/>
      <c r="AE194" s="41" t="n"/>
      <c r="AF194" s="41" t="n"/>
      <c r="AG194" s="41" t="n"/>
    </row>
    <row r="195" ht="14.25" customHeight="1" s="60">
      <c r="E195" s="33">
        <f>IF(COUNT(K195:AG195)=0,"",ROUND((F195+G195+H195+I195+J195)/10,2))</f>
        <v/>
      </c>
      <c r="F195" s="34">
        <f>IF(COUNT(K195:AG195)=0,"",(K195*10+L195*8+M195*7+N195*5)/3)</f>
        <v/>
      </c>
      <c r="G195" s="34">
        <f>IF(COUNT(K195:AG195)=0,"",(P195*8+Q195*7+R195*5+S195*5)/3)</f>
        <v/>
      </c>
      <c r="H195" s="34">
        <f>IF(COUNT(K195:AG195)=0,"",(U195*6+V195*6+W195*4+X195*3+Y195*3+Z195*3)/3)</f>
        <v/>
      </c>
      <c r="I195" s="34">
        <f>IF(COUNT(K195:AG195)=0,"",AB195*3+AC195*2+AD195*2+AE195*1)</f>
        <v/>
      </c>
      <c r="J195" s="34">
        <f>IF(COUNT(K195:AG195)=0,"",(AF195*5+AG195*5)/3)</f>
        <v/>
      </c>
      <c r="K195" s="41" t="n"/>
      <c r="L195" s="41" t="n"/>
      <c r="M195" s="41" t="n"/>
      <c r="N195" s="41" t="n"/>
      <c r="P195" s="41" t="n"/>
      <c r="Q195" s="41" t="n"/>
      <c r="R195" s="41" t="n"/>
      <c r="S195" s="41" t="n"/>
      <c r="U195" s="41" t="n"/>
      <c r="V195" s="41" t="n"/>
      <c r="W195" s="41" t="n"/>
      <c r="X195" s="41" t="n"/>
      <c r="Y195" s="41" t="n"/>
      <c r="Z195" s="41" t="n"/>
      <c r="AB195" s="41" t="n"/>
      <c r="AC195" s="41" t="n"/>
      <c r="AD195" s="41" t="n"/>
      <c r="AE195" s="41" t="n"/>
      <c r="AF195" s="41" t="n"/>
      <c r="AG195" s="41" t="n"/>
    </row>
    <row r="196" ht="14.25" customHeight="1" s="60">
      <c r="E196" s="33">
        <f>IF(COUNT(K196:AG196)=0,"",ROUND((F196+G196+H196+I196+J196)/10,2))</f>
        <v/>
      </c>
      <c r="F196" s="34">
        <f>IF(COUNT(K196:AG196)=0,"",(K196*10+L196*8+M196*7+N196*5)/3)</f>
        <v/>
      </c>
      <c r="G196" s="34">
        <f>IF(COUNT(K196:AG196)=0,"",(P196*8+Q196*7+R196*5+S196*5)/3)</f>
        <v/>
      </c>
      <c r="H196" s="34">
        <f>IF(COUNT(K196:AG196)=0,"",(U196*6+V196*6+W196*4+X196*3+Y196*3+Z196*3)/3)</f>
        <v/>
      </c>
      <c r="I196" s="34">
        <f>IF(COUNT(K196:AG196)=0,"",AB196*3+AC196*2+AD196*2+AE196*1)</f>
        <v/>
      </c>
      <c r="J196" s="34">
        <f>IF(COUNT(K196:AG196)=0,"",(AF196*5+AG196*5)/3)</f>
        <v/>
      </c>
      <c r="K196" s="41" t="n"/>
      <c r="L196" s="41" t="n"/>
      <c r="M196" s="41" t="n"/>
      <c r="N196" s="41" t="n"/>
      <c r="P196" s="41" t="n"/>
      <c r="Q196" s="41" t="n"/>
      <c r="R196" s="41" t="n"/>
      <c r="S196" s="41" t="n"/>
      <c r="U196" s="41" t="n"/>
      <c r="V196" s="41" t="n"/>
      <c r="W196" s="41" t="n"/>
      <c r="X196" s="41" t="n"/>
      <c r="Y196" s="41" t="n"/>
      <c r="Z196" s="41" t="n"/>
      <c r="AB196" s="41" t="n"/>
      <c r="AC196" s="41" t="n"/>
      <c r="AD196" s="41" t="n"/>
      <c r="AE196" s="41" t="n"/>
      <c r="AF196" s="41" t="n"/>
      <c r="AG196" s="41" t="n"/>
    </row>
    <row r="197" ht="14.25" customHeight="1" s="60">
      <c r="E197" s="33">
        <f>IF(COUNT(K197:AG197)=0,"",ROUND((F197+G197+H197+I197+J197)/10,2))</f>
        <v/>
      </c>
      <c r="F197" s="34">
        <f>IF(COUNT(K197:AG197)=0,"",(K197*10+L197*8+M197*7+N197*5)/3)</f>
        <v/>
      </c>
      <c r="G197" s="34">
        <f>IF(COUNT(K197:AG197)=0,"",(P197*8+Q197*7+R197*5+S197*5)/3)</f>
        <v/>
      </c>
      <c r="H197" s="34">
        <f>IF(COUNT(K197:AG197)=0,"",(U197*6+V197*6+W197*4+X197*3+Y197*3+Z197*3)/3)</f>
        <v/>
      </c>
      <c r="I197" s="34">
        <f>IF(COUNT(K197:AG197)=0,"",AB197*3+AC197*2+AD197*2+AE197*1)</f>
        <v/>
      </c>
      <c r="J197" s="34">
        <f>IF(COUNT(K197:AG197)=0,"",(AF197*5+AG197*5)/3)</f>
        <v/>
      </c>
      <c r="K197" s="41" t="n"/>
      <c r="L197" s="41" t="n"/>
      <c r="M197" s="41" t="n"/>
      <c r="N197" s="41" t="n"/>
      <c r="P197" s="41" t="n"/>
      <c r="Q197" s="41" t="n"/>
      <c r="R197" s="41" t="n"/>
      <c r="S197" s="41" t="n"/>
      <c r="U197" s="41" t="n"/>
      <c r="V197" s="41" t="n"/>
      <c r="W197" s="41" t="n"/>
      <c r="X197" s="41" t="n"/>
      <c r="Y197" s="41" t="n"/>
      <c r="Z197" s="41" t="n"/>
      <c r="AB197" s="41" t="n"/>
      <c r="AC197" s="41" t="n"/>
      <c r="AD197" s="41" t="n"/>
      <c r="AE197" s="41" t="n"/>
      <c r="AF197" s="41" t="n"/>
      <c r="AG197" s="41" t="n"/>
    </row>
    <row r="198" ht="14.25" customHeight="1" s="60">
      <c r="E198" s="33">
        <f>IF(COUNT(K198:AG198)=0,"",ROUND((F198+G198+H198+I198+J198)/10,2))</f>
        <v/>
      </c>
      <c r="F198" s="34">
        <f>IF(COUNT(K198:AG198)=0,"",(K198*10+L198*8+M198*7+N198*5)/3)</f>
        <v/>
      </c>
      <c r="G198" s="34">
        <f>IF(COUNT(K198:AG198)=0,"",(P198*8+Q198*7+R198*5+S198*5)/3)</f>
        <v/>
      </c>
      <c r="H198" s="34">
        <f>IF(COUNT(K198:AG198)=0,"",(U198*6+V198*6+W198*4+X198*3+Y198*3+Z198*3)/3)</f>
        <v/>
      </c>
      <c r="I198" s="34">
        <f>IF(COUNT(K198:AG198)=0,"",AB198*3+AC198*2+AD198*2+AE198*1)</f>
        <v/>
      </c>
      <c r="J198" s="34">
        <f>IF(COUNT(K198:AG198)=0,"",(AF198*5+AG198*5)/3)</f>
        <v/>
      </c>
      <c r="K198" s="41" t="n"/>
      <c r="L198" s="41" t="n"/>
      <c r="M198" s="41" t="n"/>
      <c r="N198" s="41" t="n"/>
      <c r="P198" s="41" t="n"/>
      <c r="Q198" s="41" t="n"/>
      <c r="R198" s="41" t="n"/>
      <c r="S198" s="41" t="n"/>
      <c r="U198" s="41" t="n"/>
      <c r="V198" s="41" t="n"/>
      <c r="W198" s="41" t="n"/>
      <c r="X198" s="41" t="n"/>
      <c r="Y198" s="41" t="n"/>
      <c r="Z198" s="41" t="n"/>
      <c r="AB198" s="41" t="n"/>
      <c r="AC198" s="41" t="n"/>
      <c r="AD198" s="41" t="n"/>
      <c r="AE198" s="41" t="n"/>
      <c r="AF198" s="41" t="n"/>
      <c r="AG198" s="41" t="n"/>
    </row>
    <row r="199" ht="14.25" customHeight="1" s="60">
      <c r="E199" s="33">
        <f>IF(COUNT(K199:AG199)=0,"",ROUND((F199+G199+H199+I199+J199)/10,2))</f>
        <v/>
      </c>
      <c r="F199" s="34">
        <f>IF(COUNT(K199:AG199)=0,"",(K199*10+L199*8+M199*7+N199*5)/3)</f>
        <v/>
      </c>
      <c r="G199" s="34">
        <f>IF(COUNT(K199:AG199)=0,"",(P199*8+Q199*7+R199*5+S199*5)/3)</f>
        <v/>
      </c>
      <c r="H199" s="34">
        <f>IF(COUNT(K199:AG199)=0,"",(U199*6+V199*6+W199*4+X199*3+Y199*3+Z199*3)/3)</f>
        <v/>
      </c>
      <c r="I199" s="34">
        <f>IF(COUNT(K199:AG199)=0,"",AB199*3+AC199*2+AD199*2+AE199*1)</f>
        <v/>
      </c>
      <c r="J199" s="34">
        <f>IF(COUNT(K199:AG199)=0,"",(AF199*5+AG199*5)/3)</f>
        <v/>
      </c>
      <c r="K199" s="41" t="n"/>
      <c r="L199" s="41" t="n"/>
      <c r="M199" s="41" t="n"/>
      <c r="N199" s="41" t="n"/>
      <c r="P199" s="41" t="n"/>
      <c r="Q199" s="41" t="n"/>
      <c r="R199" s="41" t="n"/>
      <c r="S199" s="41" t="n"/>
      <c r="U199" s="41" t="n"/>
      <c r="V199" s="41" t="n"/>
      <c r="W199" s="41" t="n"/>
      <c r="X199" s="41" t="n"/>
      <c r="Y199" s="41" t="n"/>
      <c r="Z199" s="41" t="n"/>
      <c r="AB199" s="41" t="n"/>
      <c r="AC199" s="41" t="n"/>
      <c r="AD199" s="41" t="n"/>
      <c r="AE199" s="41" t="n"/>
      <c r="AF199" s="41" t="n"/>
      <c r="AG199" s="41" t="n"/>
    </row>
    <row r="200" ht="14.25" customHeight="1" s="60">
      <c r="E200" s="33">
        <f>IF(COUNT(K200:AG200)=0,"",ROUND((F200+G200+H200+I200+J200)/10,2))</f>
        <v/>
      </c>
      <c r="F200" s="34">
        <f>IF(COUNT(K200:AG200)=0,"",(K200*10+L200*8+M200*7+N200*5)/3)</f>
        <v/>
      </c>
      <c r="G200" s="34">
        <f>IF(COUNT(K200:AG200)=0,"",(P200*8+Q200*7+R200*5+S200*5)/3)</f>
        <v/>
      </c>
      <c r="H200" s="34">
        <f>IF(COUNT(K200:AG200)=0,"",(U200*6+V200*6+W200*4+X200*3+Y200*3+Z200*3)/3)</f>
        <v/>
      </c>
      <c r="I200" s="34">
        <f>IF(COUNT(K200:AG200)=0,"",AB200*3+AC200*2+AD200*2+AE200*1)</f>
        <v/>
      </c>
      <c r="J200" s="34">
        <f>IF(COUNT(K200:AG200)=0,"",(AF200*5+AG200*5)/3)</f>
        <v/>
      </c>
      <c r="K200" s="41" t="n"/>
      <c r="L200" s="41" t="n"/>
      <c r="M200" s="41" t="n"/>
      <c r="N200" s="41" t="n"/>
      <c r="P200" s="41" t="n"/>
      <c r="Q200" s="41" t="n"/>
      <c r="R200" s="41" t="n"/>
      <c r="S200" s="41" t="n"/>
      <c r="U200" s="41" t="n"/>
      <c r="V200" s="41" t="n"/>
      <c r="W200" s="41" t="n"/>
      <c r="X200" s="41" t="n"/>
      <c r="Y200" s="41" t="n"/>
      <c r="Z200" s="41" t="n"/>
      <c r="AB200" s="41" t="n"/>
      <c r="AC200" s="41" t="n"/>
      <c r="AD200" s="41" t="n"/>
      <c r="AE200" s="41" t="n"/>
      <c r="AF200" s="41" t="n"/>
      <c r="AG200" s="41" t="n"/>
    </row>
    <row r="201" ht="14.25" customHeight="1" s="60">
      <c r="E201" s="33">
        <f>IF(COUNT(K201:AG201)=0,"",ROUND((F201+G201+H201+I201+J201)/10,2))</f>
        <v/>
      </c>
      <c r="F201" s="34">
        <f>IF(COUNT(K201:AG201)=0,"",(K201*10+L201*8+M201*7+N201*5)/3)</f>
        <v/>
      </c>
      <c r="G201" s="34">
        <f>IF(COUNT(K201:AG201)=0,"",(P201*8+Q201*7+R201*5+S201*5)/3)</f>
        <v/>
      </c>
      <c r="H201" s="34">
        <f>IF(COUNT(K201:AG201)=0,"",(U201*6+V201*6+W201*4+X201*3+Y201*3+Z201*3)/3)</f>
        <v/>
      </c>
      <c r="I201" s="34">
        <f>IF(COUNT(K201:AG201)=0,"",AB201*3+AC201*2+AD201*2+AE201*1)</f>
        <v/>
      </c>
      <c r="J201" s="34">
        <f>IF(COUNT(K201:AG201)=0,"",(AF201*5+AG201*5)/3)</f>
        <v/>
      </c>
      <c r="K201" s="41" t="n"/>
      <c r="L201" s="41" t="n"/>
      <c r="M201" s="41" t="n"/>
      <c r="N201" s="41" t="n"/>
      <c r="P201" s="41" t="n"/>
      <c r="Q201" s="41" t="n"/>
      <c r="R201" s="41" t="n"/>
      <c r="S201" s="41" t="n"/>
      <c r="U201" s="41" t="n"/>
      <c r="V201" s="41" t="n"/>
      <c r="W201" s="41" t="n"/>
      <c r="X201" s="41" t="n"/>
      <c r="Y201" s="41" t="n"/>
      <c r="Z201" s="41" t="n"/>
      <c r="AB201" s="41" t="n"/>
      <c r="AC201" s="41" t="n"/>
      <c r="AD201" s="41" t="n"/>
      <c r="AE201" s="41" t="n"/>
      <c r="AF201" s="41" t="n"/>
      <c r="AG201" s="41" t="n"/>
    </row>
    <row r="202" ht="14.25" customHeight="1" s="60">
      <c r="E202" s="33">
        <f>IF(COUNT(K202:AG202)=0,"",ROUND((F202+G202+H202+I202+J202)/10,2))</f>
        <v/>
      </c>
      <c r="F202" s="34">
        <f>IF(COUNT(K202:AG202)=0,"",(K202*10+L202*8+M202*7+N202*5)/3)</f>
        <v/>
      </c>
      <c r="G202" s="34">
        <f>IF(COUNT(K202:AG202)=0,"",(P202*8+Q202*7+R202*5+S202*5)/3)</f>
        <v/>
      </c>
      <c r="H202" s="34">
        <f>IF(COUNT(K202:AG202)=0,"",(U202*6+V202*6+W202*4+X202*3+Y202*3+Z202*3)/3)</f>
        <v/>
      </c>
      <c r="I202" s="34">
        <f>IF(COUNT(K202:AG202)=0,"",AB202*3+AC202*2+AD202*2+AE202*1)</f>
        <v/>
      </c>
      <c r="J202" s="34">
        <f>IF(COUNT(K202:AG202)=0,"",(AF202*5+AG202*5)/3)</f>
        <v/>
      </c>
      <c r="K202" s="41" t="n"/>
      <c r="L202" s="41" t="n"/>
      <c r="M202" s="41" t="n"/>
      <c r="N202" s="41" t="n"/>
      <c r="P202" s="41" t="n"/>
      <c r="Q202" s="41" t="n"/>
      <c r="R202" s="41" t="n"/>
      <c r="S202" s="41" t="n"/>
      <c r="U202" s="41" t="n"/>
      <c r="V202" s="41" t="n"/>
      <c r="W202" s="41" t="n"/>
      <c r="X202" s="41" t="n"/>
      <c r="Y202" s="41" t="n"/>
      <c r="Z202" s="41" t="n"/>
      <c r="AB202" s="41" t="n"/>
      <c r="AC202" s="41" t="n"/>
      <c r="AD202" s="41" t="n"/>
      <c r="AE202" s="41" t="n"/>
      <c r="AF202" s="41" t="n"/>
      <c r="AG202" s="41" t="n"/>
    </row>
    <row r="203" ht="14.25" customHeight="1" s="60">
      <c r="E203" s="33">
        <f>IF(COUNT(K203:AG203)=0,"",ROUND((F203+G203+H203+I203+J203)/10,2))</f>
        <v/>
      </c>
      <c r="F203" s="34">
        <f>IF(COUNT(K203:AG203)=0,"",(K203*10+L203*8+M203*7+N203*5)/3)</f>
        <v/>
      </c>
      <c r="G203" s="34">
        <f>IF(COUNT(K203:AG203)=0,"",(P203*8+Q203*7+R203*5+S203*5)/3)</f>
        <v/>
      </c>
      <c r="H203" s="34">
        <f>IF(COUNT(K203:AG203)=0,"",(U203*6+V203*6+W203*4+X203*3+Y203*3+Z203*3)/3)</f>
        <v/>
      </c>
      <c r="I203" s="34">
        <f>IF(COUNT(K203:AG203)=0,"",AB203*3+AC203*2+AD203*2+AE203*1)</f>
        <v/>
      </c>
      <c r="J203" s="34">
        <f>IF(COUNT(K203:AG203)=0,"",(AF203*5+AG203*5)/3)</f>
        <v/>
      </c>
      <c r="K203" s="41" t="n"/>
      <c r="L203" s="41" t="n"/>
      <c r="M203" s="41" t="n"/>
      <c r="N203" s="41" t="n"/>
      <c r="P203" s="41" t="n"/>
      <c r="Q203" s="41" t="n"/>
      <c r="R203" s="41" t="n"/>
      <c r="S203" s="41" t="n"/>
      <c r="U203" s="41" t="n"/>
      <c r="V203" s="41" t="n"/>
      <c r="W203" s="41" t="n"/>
      <c r="X203" s="41" t="n"/>
      <c r="Y203" s="41" t="n"/>
      <c r="Z203" s="41" t="n"/>
      <c r="AB203" s="41" t="n"/>
      <c r="AC203" s="41" t="n"/>
      <c r="AD203" s="41" t="n"/>
      <c r="AE203" s="41" t="n"/>
      <c r="AF203" s="41" t="n"/>
      <c r="AG203" s="41" t="n"/>
    </row>
    <row r="204" ht="14.25" customHeight="1" s="60">
      <c r="E204" s="33">
        <f>IF(COUNT(K204:AG204)=0,"",ROUND((F204+G204+H204+I204+J204)/10,2))</f>
        <v/>
      </c>
      <c r="F204" s="34">
        <f>IF(COUNT(K204:AG204)=0,"",(K204*10+L204*8+M204*7+N204*5)/3)</f>
        <v/>
      </c>
      <c r="G204" s="34">
        <f>IF(COUNT(K204:AG204)=0,"",(P204*8+Q204*7+R204*5+S204*5)/3)</f>
        <v/>
      </c>
      <c r="H204" s="34">
        <f>IF(COUNT(K204:AG204)=0,"",(U204*6+V204*6+W204*4+X204*3+Y204*3+Z204*3)/3)</f>
        <v/>
      </c>
      <c r="I204" s="34">
        <f>IF(COUNT(K204:AG204)=0,"",AB204*3+AC204*2+AD204*2+AE204*1)</f>
        <v/>
      </c>
      <c r="J204" s="34">
        <f>IF(COUNT(K204:AG204)=0,"",(AF204*5+AG204*5)/3)</f>
        <v/>
      </c>
      <c r="K204" s="41" t="n"/>
      <c r="L204" s="41" t="n"/>
      <c r="M204" s="41" t="n"/>
      <c r="N204" s="41" t="n"/>
      <c r="P204" s="41" t="n"/>
      <c r="Q204" s="41" t="n"/>
      <c r="R204" s="41" t="n"/>
      <c r="S204" s="41" t="n"/>
      <c r="U204" s="41" t="n"/>
      <c r="V204" s="41" t="n"/>
      <c r="W204" s="41" t="n"/>
      <c r="X204" s="41" t="n"/>
      <c r="Y204" s="41" t="n"/>
      <c r="Z204" s="41" t="n"/>
      <c r="AB204" s="41" t="n"/>
      <c r="AC204" s="41" t="n"/>
      <c r="AD204" s="41" t="n"/>
      <c r="AE204" s="41" t="n"/>
      <c r="AF204" s="41" t="n"/>
      <c r="AG204" s="41" t="n"/>
    </row>
    <row r="205" ht="14.25" customHeight="1" s="60">
      <c r="E205" s="33">
        <f>IF(COUNT(K205:AG205)=0,"",ROUND((F205+G205+H205+I205+J205)/10,2))</f>
        <v/>
      </c>
      <c r="F205" s="34">
        <f>IF(COUNT(K205:AG205)=0,"",(K205*10+L205*8+M205*7+N205*5)/3)</f>
        <v/>
      </c>
      <c r="G205" s="34">
        <f>IF(COUNT(K205:AG205)=0,"",(P205*8+Q205*7+R205*5+S205*5)/3)</f>
        <v/>
      </c>
      <c r="H205" s="34">
        <f>IF(COUNT(K205:AG205)=0,"",(U205*6+V205*6+W205*4+X205*3+Y205*3+Z205*3)/3)</f>
        <v/>
      </c>
      <c r="I205" s="34">
        <f>IF(COUNT(K205:AG205)=0,"",AB205*3+AC205*2+AD205*2+AE205*1)</f>
        <v/>
      </c>
      <c r="J205" s="34">
        <f>IF(COUNT(K205:AG205)=0,"",(AF205*5+AG205*5)/3)</f>
        <v/>
      </c>
      <c r="K205" s="41" t="n"/>
      <c r="L205" s="41" t="n"/>
      <c r="M205" s="41" t="n"/>
      <c r="N205" s="41" t="n"/>
      <c r="P205" s="41" t="n"/>
      <c r="Q205" s="41" t="n"/>
      <c r="R205" s="41" t="n"/>
      <c r="S205" s="41" t="n"/>
      <c r="U205" s="41" t="n"/>
      <c r="V205" s="41" t="n"/>
      <c r="W205" s="41" t="n"/>
      <c r="X205" s="41" t="n"/>
      <c r="Y205" s="41" t="n"/>
      <c r="Z205" s="41" t="n"/>
      <c r="AB205" s="41" t="n"/>
      <c r="AC205" s="41" t="n"/>
      <c r="AD205" s="41" t="n"/>
      <c r="AE205" s="41" t="n"/>
      <c r="AF205" s="41" t="n"/>
      <c r="AG205" s="41" t="n"/>
    </row>
    <row r="206" ht="14.25" customHeight="1" s="60">
      <c r="E206" s="33">
        <f>IF(COUNT(K206:AG206)=0,"",ROUND((F206+G206+H206+I206+J206)/10,2))</f>
        <v/>
      </c>
      <c r="F206" s="34">
        <f>IF(COUNT(K206:AG206)=0,"",(K206*10+L206*8+M206*7+N206*5)/3)</f>
        <v/>
      </c>
      <c r="G206" s="34">
        <f>IF(COUNT(K206:AG206)=0,"",(P206*8+Q206*7+R206*5+S206*5)/3)</f>
        <v/>
      </c>
      <c r="H206" s="34">
        <f>IF(COUNT(K206:AG206)=0,"",(U206*6+V206*6+W206*4+X206*3+Y206*3+Z206*3)/3)</f>
        <v/>
      </c>
      <c r="I206" s="34">
        <f>IF(COUNT(K206:AG206)=0,"",AB206*3+AC206*2+AD206*2+AE206*1)</f>
        <v/>
      </c>
      <c r="J206" s="34">
        <f>IF(COUNT(K206:AG206)=0,"",(AF206*5+AG206*5)/3)</f>
        <v/>
      </c>
      <c r="K206" s="41" t="n"/>
      <c r="L206" s="41" t="n"/>
      <c r="M206" s="41" t="n"/>
      <c r="N206" s="41" t="n"/>
      <c r="P206" s="41" t="n"/>
      <c r="Q206" s="41" t="n"/>
      <c r="R206" s="41" t="n"/>
      <c r="S206" s="41" t="n"/>
      <c r="U206" s="41" t="n"/>
      <c r="V206" s="41" t="n"/>
      <c r="W206" s="41" t="n"/>
      <c r="X206" s="41" t="n"/>
      <c r="Y206" s="41" t="n"/>
      <c r="Z206" s="41" t="n"/>
      <c r="AB206" s="41" t="n"/>
      <c r="AC206" s="41" t="n"/>
      <c r="AD206" s="41" t="n"/>
      <c r="AE206" s="41" t="n"/>
      <c r="AF206" s="41" t="n"/>
      <c r="AG206" s="41" t="n"/>
    </row>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autoFilter ref="$A$5:$AI$206">
    <sortState ref="A5:AI206">
      <sortCondition ref="B5:B206"/>
    </sortState>
  </autoFilter>
  <mergeCells count="6">
    <mergeCell ref="P4:T4"/>
    <mergeCell ref="AB4:AE4"/>
    <mergeCell ref="U4:AA4"/>
    <mergeCell ref="AF4:AH4"/>
    <mergeCell ref="K4:O4"/>
    <mergeCell ref="B2:J2"/>
  </mergeCells>
  <conditionalFormatting sqref="E7:E206">
    <cfRule type="cellIs" priority="1" operator="greaterThanOrEqual" dxfId="0">
      <formula>7</formula>
    </cfRule>
    <cfRule type="cellIs" priority="2" operator="lessThan" dxfId="1">
      <formula>5</formula>
    </cfRule>
  </conditionalFormatting>
  <dataValidations count="2">
    <dataValidation sqref="AB7:AD206" showDropDown="0" showInputMessage="1" showErrorMessage="1" allowBlank="1" prompt="Só 0 ou 1 - Item binário: enviou = 1, não enviou = 0." type="list">
      <formula1>"0,1"</formula1>
    </dataValidation>
    <dataValidation sqref="K7:N206 P7:S206 U7:Z206 AE7:AG206" showDropDown="0" showInputMessage="1" showErrorMessage="1" allowBlank="1" prompt="Só 0, 1, 2 ou 3 - Esta escala não aceita decimais. Consulte a aba 'Base avaliação' e escolha o nível que a entrega atende." type="list">
      <formula1>"0,1,2,3"</formula1>
    </dataValidation>
  </dataValidations>
  <pageMargins left="0.75" right="0.75" top="1" bottom="1" header="0" footer="0"/>
  <pageSetup orientation="landscape"/>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O7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0" min="1" max="1"/>
    <col width="34" customWidth="1" style="60" min="2" max="2"/>
    <col width="9" customWidth="1" style="60" min="3" max="4"/>
    <col width="11" customWidth="1" style="60" min="5" max="5"/>
    <col width="12" customWidth="1" style="60" min="6" max="7"/>
    <col width="9" customWidth="1" style="60" min="8" max="8"/>
    <col width="30" customWidth="1" style="60" min="9" max="9"/>
    <col width="12" customWidth="1" style="60" min="10" max="10"/>
    <col width="10" customWidth="1" style="60" min="11" max="11"/>
    <col width="44" customWidth="1" style="60" min="12" max="12"/>
    <col width="9" customWidth="1" style="60" min="13" max="13"/>
    <col width="22" customWidth="1" style="60" min="14" max="14"/>
    <col width="15" customWidth="1" style="60" min="15" max="15"/>
    <col width="8.710000000000001" customWidth="1" style="60" min="16" max="27"/>
  </cols>
  <sheetData>
    <row r="1" ht="14.25" customHeight="1" s="60"/>
    <row r="2" ht="25.5" customHeight="1" s="60">
      <c r="B2" s="66" t="inlineStr">
        <is>
          <t>CONSOLIDADO — cole os nomes na coluna B; o resto se calcula sozinho.</t>
        </is>
      </c>
    </row>
    <row r="3" ht="21.75" customHeight="1" s="60">
      <c r="B3" s="67">
        <f>IF(COUNTA($B$5:$B$64)=0,"Cole os nomes dos candidatos na coluna B para começar.","Avaliações completas: "&amp;COUNTIF($D$5:$D$64,"&gt;=2")&amp;" de "&amp;COUNTA($B$5:$B$64)&amp;" candidatos  ("&amp;TEXT(COUNTIF($D$5:$D$64,"&gt;=2")/COUNTA($B$5:$B$64),"0%")&amp;")     •     Ainda com 1 avaliador só: "&amp;COUNTIF($D$5:$D$64,1)&amp;"     •     Sem nenhuma nota: "&amp;COUNTIF($D$5:$D$64,0))</f>
        <v/>
      </c>
    </row>
    <row r="4" ht="30" customHeight="1" s="60">
      <c r="A4" s="24" t="inlineStr">
        <is>
          <t>#</t>
        </is>
      </c>
      <c r="B4" s="24" t="inlineStr">
        <is>
          <t>Candidato(a)</t>
        </is>
      </c>
      <c r="C4" s="24" t="inlineStr">
        <is>
          <t>Nome</t>
        </is>
      </c>
      <c r="D4" s="24" t="inlineStr">
        <is>
          <t>Nº aval.</t>
        </is>
      </c>
      <c r="E4" s="24" t="inlineStr">
        <is>
          <t>NOTA FINAL</t>
        </is>
      </c>
      <c r="F4" s="24" t="inlineStr">
        <is>
          <t>Nota aval. 1</t>
        </is>
      </c>
      <c r="G4" s="24" t="inlineStr">
        <is>
          <t>Nota aval. 2</t>
        </is>
      </c>
      <c r="H4" s="24" t="inlineStr">
        <is>
          <t>Diverg.</t>
        </is>
      </c>
      <c r="I4" s="24" t="inlineStr">
        <is>
          <t>Alerta</t>
        </is>
      </c>
      <c r="J4" s="24" t="inlineStr">
        <is>
          <t>Flag</t>
        </is>
      </c>
      <c r="K4" s="24" t="inlineStr">
        <is>
          <t>Horas/sem</t>
        </is>
      </c>
      <c r="L4" s="24" t="inlineStr">
        <is>
          <t>Motivo da flag / o que perguntar na entrevista</t>
        </is>
      </c>
      <c r="M4" s="24" t="inlineStr">
        <is>
          <t>Ranking</t>
        </is>
      </c>
      <c r="N4" s="24" t="inlineStr">
        <is>
          <t>Entrevista: refez a conta?</t>
        </is>
      </c>
      <c r="O4" s="24" t="inlineStr">
        <is>
          <t>Decisão final</t>
        </is>
      </c>
    </row>
    <row r="5" ht="14.25" customHeight="1" s="60">
      <c r="A5" s="30">
        <f>IF($B5="","",ROW()-4)</f>
        <v/>
      </c>
      <c r="B5" s="30" t="inlineStr">
        <is>
          <t>g278083@dac.unicamp.br</t>
        </is>
      </c>
      <c r="C5" s="30" t="inlineStr">
        <is>
          <t>Gabrielle Cristofani do Rosario</t>
        </is>
      </c>
      <c r="D5" s="41">
        <f>IF($B5="","",COUNTIFS('Avaliação'!$C$7:$C$206,$B5,'Avaliação'!$E$7:$E$206,"&gt;=0"))</f>
        <v/>
      </c>
      <c r="E5" s="33">
        <f>IF($B5="","",IFERROR(ROUND(AVERAGEIF('Avaliação'!$C$7:$C$206,$B5,'Avaliação'!$E$7:$E$206),2),""))</f>
        <v/>
      </c>
      <c r="F5" s="41">
        <f t="array" ref="F5">IF($B5="","",IFERROR(INDEX('Avaliação'!$E$7:$E$206,MATCH($B5,'Avaliação'!$C$7:$C$206,0)),""))</f>
        <v/>
      </c>
      <c r="G5" s="41">
        <f>IF($B5="","",IF($D5&lt;&gt;2,"",IF($F5="","",ROUND(SUMIF('Avaliação'!$C$7:$C$206,$B5,'Avaliação'!$E$7:$E$206)-$F5,2))))</f>
        <v/>
      </c>
      <c r="H5" s="41">
        <f>IF($B5="","",IF(OR($F5="",$G5=""),"",ROUND(ABS($F5-$G5),2)))</f>
        <v/>
      </c>
      <c r="I5" s="30">
        <f>IF($B5="","",IF($D5&lt;2,"⚠ falta 2º avaliador",IF($D5&gt;2,"⚠ mais de 2 avaliações — conferir",IF(AND(ISNUMBER($H5),$H5&gt;1),"⚠ divergência &gt; 1,0 — média suspensa, calibrar","OK"))))</f>
        <v/>
      </c>
      <c r="J5" s="30" t="n"/>
      <c r="K5" s="41" t="n"/>
      <c r="L5" s="35" t="n"/>
      <c r="M5" s="41">
        <f>IF($E5="","",COUNTIF($E$5:$E$64,"&gt;"&amp;$E5)+1)</f>
        <v/>
      </c>
      <c r="N5" s="41">
        <f>IF($B5="","",IF(Entrevista!$H5="","",Entrevista!$H5))</f>
        <v/>
      </c>
      <c r="O5" s="30">
        <f>IF($B5="","",IF(Entrevista!$L5="","",Entrevista!$L5))</f>
        <v/>
      </c>
    </row>
    <row r="6" ht="14.25" customHeight="1" s="60">
      <c r="A6" s="30">
        <f>IF($B6="","",ROW()-4)</f>
        <v/>
      </c>
      <c r="B6" s="30" t="inlineStr">
        <is>
          <t>b309603@dac.unicamp.br</t>
        </is>
      </c>
      <c r="C6" s="30" t="inlineStr">
        <is>
          <t>Bruno Heberth Oliveira Bastos</t>
        </is>
      </c>
      <c r="D6" s="41">
        <f>IF($B6="","",COUNTIFS('Avaliação'!$C$7:$C$206,$B6,'Avaliação'!$E$7:$E$206,"&gt;=0"))</f>
        <v/>
      </c>
      <c r="E6" s="33">
        <f>IF($B6="","",IFERROR(ROUND(AVERAGEIF('Avaliação'!$C$7:$C$206,$B6,'Avaliação'!$E$7:$E$206),2),""))</f>
        <v/>
      </c>
      <c r="F6" s="41">
        <f t="array" ref="F6">IF($B6="","",IFERROR(INDEX('Avaliação'!$E$7:$E$206,MATCH($B6,'Avaliação'!$C$7:$C$206,0)),""))</f>
        <v/>
      </c>
      <c r="G6" s="41">
        <f>IF($B6="","",IF($D6&lt;&gt;2,"",IF($F6="","",ROUND(SUMIF('Avaliação'!$C$7:$C$206,$B6,'Avaliação'!$E$7:$E$206)-$F6,2))))</f>
        <v/>
      </c>
      <c r="H6" s="41">
        <f>IF($B6="","",IF(OR($F6="",$G6=""),"",ROUND(ABS($F6-$G6),2)))</f>
        <v/>
      </c>
      <c r="I6" s="30">
        <f>IF($B6="","",IF($D6&lt;2,"⚠ falta 2º avaliador",IF($D6&gt;2,"⚠ mais de 2 avaliações — conferir",IF(AND(ISNUMBER($H6),$H6&gt;1),"⚠ divergência &gt; 1,0 — média suspensa, calibrar","OK"))))</f>
        <v/>
      </c>
      <c r="J6" s="30" t="n"/>
      <c r="K6" s="41" t="n"/>
      <c r="L6" s="35" t="n"/>
      <c r="M6" s="41">
        <f>IF($E6="","",COUNTIF($E$5:$E$64,"&gt;"&amp;$E6)+1)</f>
        <v/>
      </c>
      <c r="N6" s="41">
        <f>IF($B6="","",IF(Entrevista!$H6="","",Entrevista!$H6))</f>
        <v/>
      </c>
      <c r="O6" s="30">
        <f>IF($B6="","",IF(Entrevista!$L6="","",Entrevista!$L6))</f>
        <v/>
      </c>
    </row>
    <row r="7" ht="14.25" customHeight="1" s="60">
      <c r="A7" s="30">
        <f>IF($B7="","",ROW()-4)</f>
        <v/>
      </c>
      <c r="B7" s="30" t="inlineStr">
        <is>
          <t>j309764@dac.unicamp.br</t>
        </is>
      </c>
      <c r="C7" s="30" t="inlineStr">
        <is>
          <t>João Pedro Mendes Stama</t>
        </is>
      </c>
      <c r="D7" s="41">
        <f>IF($B7="","",COUNTIFS('Avaliação'!$C$7:$C$206,$B7,'Avaliação'!$E$7:$E$206,"&gt;=0"))</f>
        <v/>
      </c>
      <c r="E7" s="33">
        <f>IF($B7="","",IFERROR(ROUND(AVERAGEIF('Avaliação'!$C$7:$C$206,$B7,'Avaliação'!$E$7:$E$206),2),""))</f>
        <v/>
      </c>
      <c r="F7" s="41">
        <f t="array" ref="F7">IF($B7="","",IFERROR(INDEX('Avaliação'!$E$7:$E$206,MATCH($B7,'Avaliação'!$C$7:$C$206,0)),""))</f>
        <v/>
      </c>
      <c r="G7" s="41">
        <f>IF($B7="","",IF($D7&lt;&gt;2,"",IF($F7="","",ROUND(SUMIF('Avaliação'!$C$7:$C$206,$B7,'Avaliação'!$E$7:$E$206)-$F7,2))))</f>
        <v/>
      </c>
      <c r="H7" s="41">
        <f>IF($B7="","",IF(OR($F7="",$G7=""),"",ROUND(ABS($F7-$G7),2)))</f>
        <v/>
      </c>
      <c r="I7" s="30">
        <f>IF($B7="","",IF($D7&lt;2,"⚠ falta 2º avaliador",IF($D7&gt;2,"⚠ mais de 2 avaliações — conferir",IF(AND(ISNUMBER($H7),$H7&gt;1),"⚠ divergência &gt; 1,0 — média suspensa, calibrar","OK"))))</f>
        <v/>
      </c>
      <c r="J7" s="30" t="n"/>
      <c r="K7" s="41" t="n"/>
      <c r="L7" s="35" t="n"/>
      <c r="M7" s="41">
        <f>IF($E7="","",COUNTIF($E$5:$E$64,"&gt;"&amp;$E7)+1)</f>
        <v/>
      </c>
      <c r="N7" s="41">
        <f>IF($B7="","",IF(Entrevista!$H7="","",Entrevista!$H7))</f>
        <v/>
      </c>
      <c r="O7" s="30">
        <f>IF($B7="","",IF(Entrevista!$L7="","",Entrevista!$L7))</f>
        <v/>
      </c>
    </row>
    <row r="8" ht="14.25" customHeight="1" s="60">
      <c r="A8" s="30">
        <f>IF($B8="","",ROW()-4)</f>
        <v/>
      </c>
      <c r="B8" s="30" t="inlineStr">
        <is>
          <t>r238449@dac.unicamp.br</t>
        </is>
      </c>
      <c r="C8" s="30" t="inlineStr">
        <is>
          <t>Rafael Ponciano Rodrigues dos Santos</t>
        </is>
      </c>
      <c r="D8" s="41">
        <f>IF($B8="","",COUNTIFS('Avaliação'!$C$7:$C$206,$B8,'Avaliação'!$E$7:$E$206,"&gt;=0"))</f>
        <v/>
      </c>
      <c r="E8" s="33">
        <f>IF($B8="","",IFERROR(ROUND(AVERAGEIF('Avaliação'!$C$7:$C$206,$B8,'Avaliação'!$E$7:$E$206),2),""))</f>
        <v/>
      </c>
      <c r="F8" s="41">
        <f t="array" ref="F8">IF($B8="","",IFERROR(INDEX('Avaliação'!$E$7:$E$206,MATCH($B8,'Avaliação'!$C$7:$C$206,0)),""))</f>
        <v/>
      </c>
      <c r="G8" s="41">
        <f>IF($B8="","",IF($D8&lt;&gt;2,"",IF($F8="","",ROUND(SUMIF('Avaliação'!$C$7:$C$206,$B8,'Avaliação'!$E$7:$E$206)-$F8,2))))</f>
        <v/>
      </c>
      <c r="H8" s="41">
        <f>IF($B8="","",IF(OR($F8="",$G8=""),"",ROUND(ABS($F8-$G8),2)))</f>
        <v/>
      </c>
      <c r="I8" s="30">
        <f>IF($B8="","",IF($D8&lt;2,"⚠ falta 2º avaliador",IF($D8&gt;2,"⚠ mais de 2 avaliações — conferir",IF(AND(ISNUMBER($H8),$H8&gt;1),"⚠ divergência &gt; 1,0 — média suspensa, calibrar","OK"))))</f>
        <v/>
      </c>
      <c r="J8" s="30" t="n"/>
      <c r="K8" s="41" t="n"/>
      <c r="L8" s="35" t="n"/>
      <c r="M8" s="41">
        <f>IF($E8="","",COUNTIF($E$5:$E$64,"&gt;"&amp;$E8)+1)</f>
        <v/>
      </c>
      <c r="N8" s="41">
        <f>IF($B8="","",IF(Entrevista!$H8="","",Entrevista!$H8))</f>
        <v/>
      </c>
      <c r="O8" s="30">
        <f>IF($B8="","",IF(Entrevista!$L8="","",Entrevista!$L8))</f>
        <v/>
      </c>
    </row>
    <row r="9" ht="14.25" customHeight="1" s="60">
      <c r="A9" s="30">
        <f>IF($B9="","",ROW()-4)</f>
        <v/>
      </c>
      <c r="B9" s="30" t="inlineStr">
        <is>
          <t>enzo.gag17@gmail.com</t>
        </is>
      </c>
      <c r="C9" s="30" t="inlineStr">
        <is>
          <t>Enzo Chofakian Gagliardi</t>
        </is>
      </c>
      <c r="D9" s="41">
        <f>IF($B9="","",COUNTIFS('Avaliação'!$C$7:$C$206,$B9,'Avaliação'!$E$7:$E$206,"&gt;=0"))</f>
        <v/>
      </c>
      <c r="E9" s="33">
        <f>IF($B9="","",IFERROR(ROUND(AVERAGEIF('Avaliação'!$C$7:$C$206,$B9,'Avaliação'!$E$7:$E$206),2),""))</f>
        <v/>
      </c>
      <c r="F9" s="41">
        <f t="array" ref="F9">IF($B9="","",IFERROR(INDEX('Avaliação'!$E$7:$E$206,MATCH($B9,'Avaliação'!$C$7:$C$206,0)),""))</f>
        <v/>
      </c>
      <c r="G9" s="41">
        <f>IF($B9="","",IF($D9&lt;&gt;2,"",IF($F9="","",ROUND(SUMIF('Avaliação'!$C$7:$C$206,$B9,'Avaliação'!$E$7:$E$206)-$F9,2))))</f>
        <v/>
      </c>
      <c r="H9" s="41">
        <f>IF($B9="","",IF(OR($F9="",$G9=""),"",ROUND(ABS($F9-$G9),2)))</f>
        <v/>
      </c>
      <c r="I9" s="30">
        <f>IF($B9="","",IF($D9&lt;2,"⚠ falta 2º avaliador",IF($D9&gt;2,"⚠ mais de 2 avaliações — conferir",IF(AND(ISNUMBER($H9),$H9&gt;1),"⚠ divergência &gt; 1,0 — média suspensa, calibrar","OK"))))</f>
        <v/>
      </c>
      <c r="J9" s="30" t="n"/>
      <c r="K9" s="41" t="n"/>
      <c r="L9" s="35" t="n"/>
      <c r="M9" s="41">
        <f>IF($E9="","",COUNTIF($E$5:$E$64,"&gt;"&amp;$E9)+1)</f>
        <v/>
      </c>
      <c r="N9" s="41">
        <f>IF($B9="","",IF(Entrevista!$H9="","",Entrevista!$H9))</f>
        <v/>
      </c>
      <c r="O9" s="30">
        <f>IF($B9="","",IF(Entrevista!$L9="","",Entrevista!$L9))</f>
        <v/>
      </c>
    </row>
    <row r="10" ht="14.25" customHeight="1" s="60">
      <c r="A10" s="30">
        <f>IF($B10="","",ROW()-4)</f>
        <v/>
      </c>
      <c r="B10" s="30" t="inlineStr">
        <is>
          <t>e278588@dac.unicamp.br</t>
        </is>
      </c>
      <c r="C10" s="30" t="inlineStr">
        <is>
          <t>Enrico Tristão e Mello de Oliveira</t>
        </is>
      </c>
      <c r="D10" s="41">
        <f>IF($B10="","",COUNTIFS('Avaliação'!$C$7:$C$206,$B10,'Avaliação'!$E$7:$E$206,"&gt;=0"))</f>
        <v/>
      </c>
      <c r="E10" s="33">
        <f>IF($B10="","",IFERROR(ROUND(AVERAGEIF('Avaliação'!$C$7:$C$206,$B10,'Avaliação'!$E$7:$E$206),2),""))</f>
        <v/>
      </c>
      <c r="F10" s="41">
        <f t="array" ref="F10">IF($B10="","",IFERROR(INDEX('Avaliação'!$E$7:$E$206,MATCH($B10,'Avaliação'!$C$7:$C$206,0)),""))</f>
        <v/>
      </c>
      <c r="G10" s="41">
        <f>IF($B10="","",IF($D10&lt;&gt;2,"",IF($F10="","",ROUND(SUMIF('Avaliação'!$C$7:$C$206,$B10,'Avaliação'!$E$7:$E$206)-$F10,2))))</f>
        <v/>
      </c>
      <c r="H10" s="41">
        <f>IF($B10="","",IF(OR($F10="",$G10=""),"",ROUND(ABS($F10-$G10),2)))</f>
        <v/>
      </c>
      <c r="I10" s="30">
        <f>IF($B10="","",IF($D10&lt;2,"⚠ falta 2º avaliador",IF($D10&gt;2,"⚠ mais de 2 avaliações — conferir",IF(AND(ISNUMBER($H10),$H10&gt;1),"⚠ divergência &gt; 1,0 — média suspensa, calibrar","OK"))))</f>
        <v/>
      </c>
      <c r="J10" s="30" t="n"/>
      <c r="K10" s="41" t="n"/>
      <c r="L10" s="35" t="n"/>
      <c r="M10" s="41">
        <f>IF($E10="","",COUNTIF($E$5:$E$64,"&gt;"&amp;$E10)+1)</f>
        <v/>
      </c>
      <c r="N10" s="41">
        <f>IF($B10="","",IF(Entrevista!$H10="","",Entrevista!$H10))</f>
        <v/>
      </c>
      <c r="O10" s="30">
        <f>IF($B10="","",IF(Entrevista!$L10="","",Entrevista!$L10))</f>
        <v/>
      </c>
    </row>
    <row r="11" ht="14.25" customHeight="1" s="60">
      <c r="A11" s="30">
        <f>IF($B11="","",ROW()-4)</f>
        <v/>
      </c>
      <c r="B11" s="30" t="inlineStr">
        <is>
          <t>e221509@dac.unicamp.br</t>
        </is>
      </c>
      <c r="C11" s="30" t="inlineStr">
        <is>
          <t>Eduardo Alves Henrique</t>
        </is>
      </c>
      <c r="D11" s="41">
        <f>IF($B11="","",COUNTIFS('Avaliação'!$C$7:$C$206,$B11,'Avaliação'!$E$7:$E$206,"&gt;=0"))</f>
        <v/>
      </c>
      <c r="E11" s="33">
        <f>IF($B11="","",IFERROR(ROUND(AVERAGEIF('Avaliação'!$C$7:$C$206,$B11,'Avaliação'!$E$7:$E$206),2),""))</f>
        <v/>
      </c>
      <c r="F11" s="41">
        <f t="array" ref="F11">IF($B11="","",IFERROR(INDEX('Avaliação'!$E$7:$E$206,MATCH($B11,'Avaliação'!$C$7:$C$206,0)),""))</f>
        <v/>
      </c>
      <c r="G11" s="41">
        <f>IF($B11="","",IF($D11&lt;&gt;2,"",IF($F11="","",ROUND(SUMIF('Avaliação'!$C$7:$C$206,$B11,'Avaliação'!$E$7:$E$206)-$F11,2))))</f>
        <v/>
      </c>
      <c r="H11" s="41">
        <f>IF($B11="","",IF(OR($F11="",$G11=""),"",ROUND(ABS($F11-$G11),2)))</f>
        <v/>
      </c>
      <c r="I11" s="30">
        <f>IF($B11="","",IF($D11&lt;2,"⚠ falta 2º avaliador",IF($D11&gt;2,"⚠ mais de 2 avaliações — conferir",IF(AND(ISNUMBER($H11),$H11&gt;1),"⚠ divergência &gt; 1,0 — média suspensa, calibrar","OK"))))</f>
        <v/>
      </c>
      <c r="J11" s="30" t="n"/>
      <c r="K11" s="41" t="n"/>
      <c r="L11" s="35" t="n"/>
      <c r="M11" s="41">
        <f>IF($E11="","",COUNTIF($E$5:$E$64,"&gt;"&amp;$E11)+1)</f>
        <v/>
      </c>
      <c r="N11" s="41">
        <f>IF($B11="","",IF(Entrevista!$H11="","",Entrevista!$H11))</f>
        <v/>
      </c>
      <c r="O11" s="30">
        <f>IF($B11="","",IF(Entrevista!$L11="","",Entrevista!$L11))</f>
        <v/>
      </c>
    </row>
    <row r="12" ht="14.25" customHeight="1" s="60">
      <c r="A12" s="30">
        <f>IF($B12="","",ROW()-4)</f>
        <v/>
      </c>
      <c r="B12" s="30" t="inlineStr">
        <is>
          <t>l304532@dac.unicamp.br</t>
        </is>
      </c>
      <c r="C12" s="30" t="inlineStr">
        <is>
          <t>Leandra Cunha de Souza</t>
        </is>
      </c>
      <c r="D12" s="41">
        <f>IF($B12="","",COUNTIFS('Avaliação'!$C$7:$C$206,$B12,'Avaliação'!$E$7:$E$206,"&gt;=0"))</f>
        <v/>
      </c>
      <c r="E12" s="33">
        <f>IF($B12="","",IFERROR(ROUND(AVERAGEIF('Avaliação'!$C$7:$C$206,$B12,'Avaliação'!$E$7:$E$206),2),""))</f>
        <v/>
      </c>
      <c r="F12" s="41">
        <f t="array" ref="F12">IF($B12="","",IFERROR(INDEX('Avaliação'!$E$7:$E$206,MATCH($B12,'Avaliação'!$C$7:$C$206,0)),""))</f>
        <v/>
      </c>
      <c r="G12" s="41">
        <f>IF($B12="","",IF($D12&lt;&gt;2,"",IF($F12="","",ROUND(SUMIF('Avaliação'!$C$7:$C$206,$B12,'Avaliação'!$E$7:$E$206)-$F12,2))))</f>
        <v/>
      </c>
      <c r="H12" s="41">
        <f>IF($B12="","",IF(OR($F12="",$G12=""),"",ROUND(ABS($F12-$G12),2)))</f>
        <v/>
      </c>
      <c r="I12" s="30">
        <f>IF($B12="","",IF($D12&lt;2,"⚠ falta 2º avaliador",IF($D12&gt;2,"⚠ mais de 2 avaliações — conferir",IF(AND(ISNUMBER($H12),$H12&gt;1),"⚠ divergência &gt; 1,0 — média suspensa, calibrar","OK"))))</f>
        <v/>
      </c>
      <c r="J12" s="30" t="n"/>
      <c r="K12" s="41" t="n"/>
      <c r="L12" s="35" t="n"/>
      <c r="M12" s="41">
        <f>IF($E12="","",COUNTIF($E$5:$E$64,"&gt;"&amp;$E12)+1)</f>
        <v/>
      </c>
      <c r="N12" s="41">
        <f>IF($B12="","",IF(Entrevista!$H12="","",Entrevista!$H12))</f>
        <v/>
      </c>
      <c r="O12" s="30">
        <f>IF($B12="","",IF(Entrevista!$L12="","",Entrevista!$L12))</f>
        <v/>
      </c>
    </row>
    <row r="13" ht="14.25" customHeight="1" s="60">
      <c r="A13" s="30">
        <f>IF($B13="","",ROW()-4)</f>
        <v/>
      </c>
      <c r="B13" s="30" t="inlineStr">
        <is>
          <t>v188630@dac.unicamp.br</t>
        </is>
      </c>
      <c r="C13" s="30" t="inlineStr">
        <is>
          <t>Vagner Ássimos Gomes Carlos Filho</t>
        </is>
      </c>
      <c r="D13" s="41">
        <f>IF($B13="","",COUNTIFS('Avaliação'!$C$7:$C$206,$B13,'Avaliação'!$E$7:$E$206,"&gt;=0"))</f>
        <v/>
      </c>
      <c r="E13" s="33">
        <f>IF($B13="","",IFERROR(ROUND(AVERAGEIF('Avaliação'!$C$7:$C$206,$B13,'Avaliação'!$E$7:$E$206),2),""))</f>
        <v/>
      </c>
      <c r="F13" s="41">
        <f t="array" ref="F13">IF($B13="","",IFERROR(INDEX('Avaliação'!$E$7:$E$206,MATCH($B13,'Avaliação'!$C$7:$C$206,0)),""))</f>
        <v/>
      </c>
      <c r="G13" s="41">
        <f>IF($B13="","",IF($D13&lt;&gt;2,"",IF($F13="","",ROUND(SUMIF('Avaliação'!$C$7:$C$206,$B13,'Avaliação'!$E$7:$E$206)-$F13,2))))</f>
        <v/>
      </c>
      <c r="H13" s="41">
        <f>IF($B13="","",IF(OR($F13="",$G13=""),"",ROUND(ABS($F13-$G13),2)))</f>
        <v/>
      </c>
      <c r="I13" s="30">
        <f>IF($B13="","",IF($D13&lt;2,"⚠ falta 2º avaliador",IF($D13&gt;2,"⚠ mais de 2 avaliações — conferir",IF(AND(ISNUMBER($H13),$H13&gt;1),"⚠ divergência &gt; 1,0 — média suspensa, calibrar","OK"))))</f>
        <v/>
      </c>
      <c r="J13" s="30" t="n"/>
      <c r="K13" s="41" t="n"/>
      <c r="L13" s="35" t="n"/>
      <c r="M13" s="41">
        <f>IF($E13="","",COUNTIF($E$5:$E$64,"&gt;"&amp;$E13)+1)</f>
        <v/>
      </c>
      <c r="N13" s="41">
        <f>IF($B13="","",IF(Entrevista!$H13="","",Entrevista!$H13))</f>
        <v/>
      </c>
      <c r="O13" s="30">
        <f>IF($B13="","",IF(Entrevista!$L13="","",Entrevista!$L13))</f>
        <v/>
      </c>
    </row>
    <row r="14" ht="14.25" customHeight="1" s="60">
      <c r="A14" s="30">
        <f>IF($B14="","",ROW()-4)</f>
        <v/>
      </c>
      <c r="B14" s="30" t="inlineStr">
        <is>
          <t>m277865@dac.unicamp.br</t>
        </is>
      </c>
      <c r="C14" s="30" t="inlineStr">
        <is>
          <t>Mariana Nunes Galvão Sant'Anna</t>
        </is>
      </c>
      <c r="D14" s="41">
        <f>IF($B14="","",COUNTIFS('Avaliação'!$C$7:$C$206,$B14,'Avaliação'!$E$7:$E$206,"&gt;=0"))</f>
        <v/>
      </c>
      <c r="E14" s="33">
        <f>IF($B14="","",IFERROR(ROUND(AVERAGEIF('Avaliação'!$C$7:$C$206,$B14,'Avaliação'!$E$7:$E$206),2),""))</f>
        <v/>
      </c>
      <c r="F14" s="41">
        <f t="array" ref="F14">IF($B14="","",IFERROR(INDEX('Avaliação'!$E$7:$E$206,MATCH($B14,'Avaliação'!$C$7:$C$206,0)),""))</f>
        <v/>
      </c>
      <c r="G14" s="41">
        <f>IF($B14="","",IF($D14&lt;&gt;2,"",IF($F14="","",ROUND(SUMIF('Avaliação'!$C$7:$C$206,$B14,'Avaliação'!$E$7:$E$206)-$F14,2))))</f>
        <v/>
      </c>
      <c r="H14" s="41">
        <f>IF($B14="","",IF(OR($F14="",$G14=""),"",ROUND(ABS($F14-$G14),2)))</f>
        <v/>
      </c>
      <c r="I14" s="30">
        <f>IF($B14="","",IF($D14&lt;2,"⚠ falta 2º avaliador",IF($D14&gt;2,"⚠ mais de 2 avaliações — conferir",IF(AND(ISNUMBER($H14),$H14&gt;1),"⚠ divergência &gt; 1,0 — média suspensa, calibrar","OK"))))</f>
        <v/>
      </c>
      <c r="J14" s="30" t="n"/>
      <c r="K14" s="41" t="n"/>
      <c r="L14" s="35" t="n"/>
      <c r="M14" s="41">
        <f>IF($E14="","",COUNTIF($E$5:$E$64,"&gt;"&amp;$E14)+1)</f>
        <v/>
      </c>
      <c r="N14" s="41">
        <f>IF($B14="","",IF(Entrevista!$H14="","",Entrevista!$H14))</f>
        <v/>
      </c>
      <c r="O14" s="30">
        <f>IF($B14="","",IF(Entrevista!$L14="","",Entrevista!$L14))</f>
        <v/>
      </c>
    </row>
    <row r="15" ht="14.25" customHeight="1" s="60">
      <c r="A15" s="30">
        <f>IF($B15="","",ROW()-4)</f>
        <v/>
      </c>
      <c r="B15" s="30" t="inlineStr">
        <is>
          <t>a266739@dac.unicamp.br</t>
        </is>
      </c>
      <c r="C15" s="30" t="inlineStr">
        <is>
          <t>Aslan Rodrigues Maia</t>
        </is>
      </c>
      <c r="D15" s="41">
        <f>IF($B15="","",COUNTIFS('Avaliação'!$C$7:$C$206,$B15,'Avaliação'!$E$7:$E$206,"&gt;=0"))</f>
        <v/>
      </c>
      <c r="E15" s="33">
        <f>IF($B15="","",IFERROR(ROUND(AVERAGEIF('Avaliação'!$C$7:$C$206,$B15,'Avaliação'!$E$7:$E$206),2),""))</f>
        <v/>
      </c>
      <c r="F15" s="41">
        <f t="array" ref="F15">IF($B15="","",IFERROR(INDEX('Avaliação'!$E$7:$E$206,MATCH($B15,'Avaliação'!$C$7:$C$206,0)),""))</f>
        <v/>
      </c>
      <c r="G15" s="41">
        <f>IF($B15="","",IF($D15&lt;&gt;2,"",IF($F15="","",ROUND(SUMIF('Avaliação'!$C$7:$C$206,$B15,'Avaliação'!$E$7:$E$206)-$F15,2))))</f>
        <v/>
      </c>
      <c r="H15" s="41">
        <f>IF($B15="","",IF(OR($F15="",$G15=""),"",ROUND(ABS($F15-$G15),2)))</f>
        <v/>
      </c>
      <c r="I15" s="30">
        <f>IF($B15="","",IF($D15&lt;2,"⚠ falta 2º avaliador",IF($D15&gt;2,"⚠ mais de 2 avaliações — conferir",IF(AND(ISNUMBER($H15),$H15&gt;1),"⚠ divergência &gt; 1,0 — média suspensa, calibrar","OK"))))</f>
        <v/>
      </c>
      <c r="J15" s="30" t="n"/>
      <c r="K15" s="41" t="n"/>
      <c r="L15" s="35" t="n"/>
      <c r="M15" s="41">
        <f>IF($E15="","",COUNTIF($E$5:$E$64,"&gt;"&amp;$E15)+1)</f>
        <v/>
      </c>
      <c r="N15" s="41">
        <f>IF($B15="","",IF(Entrevista!$H15="","",Entrevista!$H15))</f>
        <v/>
      </c>
      <c r="O15" s="30">
        <f>IF($B15="","",IF(Entrevista!$L15="","",Entrevista!$L15))</f>
        <v/>
      </c>
    </row>
    <row r="16" ht="14.25" customHeight="1" s="60">
      <c r="A16" s="30">
        <f>IF($B16="","",ROW()-4)</f>
        <v/>
      </c>
      <c r="B16" s="30" t="inlineStr">
        <is>
          <t>j278641@dac.unicamp.br</t>
        </is>
      </c>
      <c r="C16" s="30" t="inlineStr">
        <is>
          <t>João Gabriel de Oliveira Morcelli</t>
        </is>
      </c>
      <c r="D16" s="41">
        <f>IF($B16="","",COUNTIFS('Avaliação'!$C$7:$C$206,$B16,'Avaliação'!$E$7:$E$206,"&gt;=0"))</f>
        <v/>
      </c>
      <c r="E16" s="33">
        <f>IF($B16="","",IFERROR(ROUND(AVERAGEIF('Avaliação'!$C$7:$C$206,$B16,'Avaliação'!$E$7:$E$206),2),""))</f>
        <v/>
      </c>
      <c r="F16" s="41">
        <f t="array" ref="F16">IF($B16="","",IFERROR(INDEX('Avaliação'!$E$7:$E$206,MATCH($B16,'Avaliação'!$C$7:$C$206,0)),""))</f>
        <v/>
      </c>
      <c r="G16" s="41">
        <f>IF($B16="","",IF($D16&lt;&gt;2,"",IF($F16="","",ROUND(SUMIF('Avaliação'!$C$7:$C$206,$B16,'Avaliação'!$E$7:$E$206)-$F16,2))))</f>
        <v/>
      </c>
      <c r="H16" s="41">
        <f>IF($B16="","",IF(OR($F16="",$G16=""),"",ROUND(ABS($F16-$G16),2)))</f>
        <v/>
      </c>
      <c r="I16" s="30">
        <f>IF($B16="","",IF($D16&lt;2,"⚠ falta 2º avaliador",IF($D16&gt;2,"⚠ mais de 2 avaliações — conferir",IF(AND(ISNUMBER($H16),$H16&gt;1),"⚠ divergência &gt; 1,0 — média suspensa, calibrar","OK"))))</f>
        <v/>
      </c>
      <c r="J16" s="30" t="n"/>
      <c r="K16" s="41" t="n"/>
      <c r="L16" s="35" t="n"/>
      <c r="M16" s="41">
        <f>IF($E16="","",COUNTIF($E$5:$E$64,"&gt;"&amp;$E16)+1)</f>
        <v/>
      </c>
      <c r="N16" s="41">
        <f>IF($B16="","",IF(Entrevista!$H16="","",Entrevista!$H16))</f>
        <v/>
      </c>
      <c r="O16" s="30">
        <f>IF($B16="","",IF(Entrevista!$L16="","",Entrevista!$L16))</f>
        <v/>
      </c>
    </row>
    <row r="17" ht="14.25" customHeight="1" s="60">
      <c r="A17" s="30">
        <f>IF($B17="","",ROW()-4)</f>
        <v/>
      </c>
      <c r="B17" s="30" t="inlineStr">
        <is>
          <t>r278709@dac.unicamp.br</t>
        </is>
      </c>
      <c r="C17" s="30" t="inlineStr">
        <is>
          <t>Raphael Negrini Saggioro</t>
        </is>
      </c>
      <c r="D17" s="41">
        <f>IF($B17="","",COUNTIFS('Avaliação'!$C$7:$C$206,$B17,'Avaliação'!$E$7:$E$206,"&gt;=0"))</f>
        <v/>
      </c>
      <c r="E17" s="33">
        <f>IF($B17="","",IFERROR(ROUND(AVERAGEIF('Avaliação'!$C$7:$C$206,$B17,'Avaliação'!$E$7:$E$206),2),""))</f>
        <v/>
      </c>
      <c r="F17" s="41">
        <f t="array" ref="F17">IF($B17="","",IFERROR(INDEX('Avaliação'!$E$7:$E$206,MATCH($B17,'Avaliação'!$C$7:$C$206,0)),""))</f>
        <v/>
      </c>
      <c r="G17" s="41">
        <f>IF($B17="","",IF($D17&lt;&gt;2,"",IF($F17="","",ROUND(SUMIF('Avaliação'!$C$7:$C$206,$B17,'Avaliação'!$E$7:$E$206)-$F17,2))))</f>
        <v/>
      </c>
      <c r="H17" s="41">
        <f>IF($B17="","",IF(OR($F17="",$G17=""),"",ROUND(ABS($F17-$G17),2)))</f>
        <v/>
      </c>
      <c r="I17" s="30">
        <f>IF($B17="","",IF($D17&lt;2,"⚠ falta 2º avaliador",IF($D17&gt;2,"⚠ mais de 2 avaliações — conferir",IF(AND(ISNUMBER($H17),$H17&gt;1),"⚠ divergência &gt; 1,0 — média suspensa, calibrar","OK"))))</f>
        <v/>
      </c>
      <c r="J17" s="30" t="n"/>
      <c r="K17" s="41" t="n"/>
      <c r="L17" s="35" t="n"/>
      <c r="M17" s="41">
        <f>IF($E17="","",COUNTIF($E$5:$E$64,"&gt;"&amp;$E17)+1)</f>
        <v/>
      </c>
      <c r="N17" s="41">
        <f>IF($B17="","",IF(Entrevista!$H17="","",Entrevista!$H17))</f>
        <v/>
      </c>
      <c r="O17" s="30">
        <f>IF($B17="","",IF(Entrevista!$L17="","",Entrevista!$L17))</f>
        <v/>
      </c>
    </row>
    <row r="18" ht="14.25" customHeight="1" s="60">
      <c r="A18" s="30">
        <f>IF($B18="","",ROW()-4)</f>
        <v/>
      </c>
      <c r="B18" s="30" t="inlineStr">
        <is>
          <t>g278107@dac.unicamp.br</t>
        </is>
      </c>
      <c r="C18" s="30" t="inlineStr">
        <is>
          <t>Gustavo Daher Pereira</t>
        </is>
      </c>
      <c r="D18" s="41">
        <f>IF($B18="","",COUNTIFS('Avaliação'!$C$7:$C$206,$B18,'Avaliação'!$E$7:$E$206,"&gt;=0"))</f>
        <v/>
      </c>
      <c r="E18" s="33">
        <f>IF($B18="","",IFERROR(ROUND(AVERAGEIF('Avaliação'!$C$7:$C$206,$B18,'Avaliação'!$E$7:$E$206),2),""))</f>
        <v/>
      </c>
      <c r="F18" s="41">
        <f t="array" ref="F18">IF($B18="","",IFERROR(INDEX('Avaliação'!$E$7:$E$206,MATCH($B18,'Avaliação'!$C$7:$C$206,0)),""))</f>
        <v/>
      </c>
      <c r="G18" s="41">
        <f>IF($B18="","",IF($D18&lt;&gt;2,"",IF($F18="","",ROUND(SUMIF('Avaliação'!$C$7:$C$206,$B18,'Avaliação'!$E$7:$E$206)-$F18,2))))</f>
        <v/>
      </c>
      <c r="H18" s="41">
        <f>IF($B18="","",IF(OR($F18="",$G18=""),"",ROUND(ABS($F18-$G18),2)))</f>
        <v/>
      </c>
      <c r="I18" s="30">
        <f>IF($B18="","",IF($D18&lt;2,"⚠ falta 2º avaliador",IF($D18&gt;2,"⚠ mais de 2 avaliações — conferir",IF(AND(ISNUMBER($H18),$H18&gt;1),"⚠ divergência &gt; 1,0 — média suspensa, calibrar","OK"))))</f>
        <v/>
      </c>
      <c r="J18" s="30" t="n"/>
      <c r="K18" s="41" t="n"/>
      <c r="L18" s="35" t="n"/>
      <c r="M18" s="41">
        <f>IF($E18="","",COUNTIF($E$5:$E$64,"&gt;"&amp;$E18)+1)</f>
        <v/>
      </c>
      <c r="N18" s="41">
        <f>IF($B18="","",IF(Entrevista!$H18="","",Entrevista!$H18))</f>
        <v/>
      </c>
      <c r="O18" s="30">
        <f>IF($B18="","",IF(Entrevista!$L18="","",Entrevista!$L18))</f>
        <v/>
      </c>
    </row>
    <row r="19" ht="14.25" customHeight="1" s="60">
      <c r="A19" s="30">
        <f>IF($B19="","",ROW()-4)</f>
        <v/>
      </c>
      <c r="B19" s="30" t="inlineStr">
        <is>
          <t>rickfilho2007@gmail.com</t>
        </is>
      </c>
      <c r="C19" s="30" t="inlineStr">
        <is>
          <t>Ricardo Augusto Schmitt Filho</t>
        </is>
      </c>
      <c r="D19" s="41">
        <f>IF($B19="","",COUNTIFS('Avaliação'!$C$7:$C$206,$B19,'Avaliação'!$E$7:$E$206,"&gt;=0"))</f>
        <v/>
      </c>
      <c r="E19" s="33">
        <f>IF($B19="","",IFERROR(ROUND(AVERAGEIF('Avaliação'!$C$7:$C$206,$B19,'Avaliação'!$E$7:$E$206),2),""))</f>
        <v/>
      </c>
      <c r="F19" s="41">
        <f t="array" ref="F19">IF($B19="","",IFERROR(INDEX('Avaliação'!$E$7:$E$206,MATCH($B19,'Avaliação'!$C$7:$C$206,0)),""))</f>
        <v/>
      </c>
      <c r="G19" s="41">
        <f>IF($B19="","",IF($D19&lt;&gt;2,"",IF($F19="","",ROUND(SUMIF('Avaliação'!$C$7:$C$206,$B19,'Avaliação'!$E$7:$E$206)-$F19,2))))</f>
        <v/>
      </c>
      <c r="H19" s="41">
        <f>IF($B19="","",IF(OR($F19="",$G19=""),"",ROUND(ABS($F19-$G19),2)))</f>
        <v/>
      </c>
      <c r="I19" s="30">
        <f>IF($B19="","",IF($D19&lt;2,"⚠ falta 2º avaliador",IF($D19&gt;2,"⚠ mais de 2 avaliações — conferir",IF(AND(ISNUMBER($H19),$H19&gt;1),"⚠ divergência &gt; 1,0 — média suspensa, calibrar","OK"))))</f>
        <v/>
      </c>
      <c r="J19" s="30" t="n"/>
      <c r="K19" s="41" t="n"/>
      <c r="L19" s="35" t="n"/>
      <c r="M19" s="41">
        <f>IF($E19="","",COUNTIF($E$5:$E$64,"&gt;"&amp;$E19)+1)</f>
        <v/>
      </c>
      <c r="N19" s="41">
        <f>IF($B19="","",IF(Entrevista!$H19="","",Entrevista!$H19))</f>
        <v/>
      </c>
      <c r="O19" s="30">
        <f>IF($B19="","",IF(Entrevista!$L19="","",Entrevista!$L19))</f>
        <v/>
      </c>
    </row>
    <row r="20" ht="14.25" customHeight="1" s="60">
      <c r="A20" s="30">
        <f>IF($B20="","",ROW()-4)</f>
        <v/>
      </c>
      <c r="B20" s="30" t="inlineStr">
        <is>
          <t>m306365@dac.unicamp.br</t>
        </is>
      </c>
      <c r="C20" s="30" t="inlineStr">
        <is>
          <t>Matheus Dias Freitas</t>
        </is>
      </c>
      <c r="D20" s="41">
        <f>IF($B20="","",COUNTIFS('Avaliação'!$C$7:$C$206,$B20,'Avaliação'!$E$7:$E$206,"&gt;=0"))</f>
        <v/>
      </c>
      <c r="E20" s="33">
        <f>IF($B20="","",IFERROR(ROUND(AVERAGEIF('Avaliação'!$C$7:$C$206,$B20,'Avaliação'!$E$7:$E$206),2),""))</f>
        <v/>
      </c>
      <c r="F20" s="41">
        <f t="array" ref="F20">IF($B20="","",IFERROR(INDEX('Avaliação'!$E$7:$E$206,MATCH($B20,'Avaliação'!$C$7:$C$206,0)),""))</f>
        <v/>
      </c>
      <c r="G20" s="41">
        <f>IF($B20="","",IF($D20&lt;&gt;2,"",IF($F20="","",ROUND(SUMIF('Avaliação'!$C$7:$C$206,$B20,'Avaliação'!$E$7:$E$206)-$F20,2))))</f>
        <v/>
      </c>
      <c r="H20" s="41">
        <f>IF($B20="","",IF(OR($F20="",$G20=""),"",ROUND(ABS($F20-$G20),2)))</f>
        <v/>
      </c>
      <c r="I20" s="30">
        <f>IF($B20="","",IF($D20&lt;2,"⚠ falta 2º avaliador",IF($D20&gt;2,"⚠ mais de 2 avaliações — conferir",IF(AND(ISNUMBER($H20),$H20&gt;1),"⚠ divergência &gt; 1,0 — média suspensa, calibrar","OK"))))</f>
        <v/>
      </c>
      <c r="J20" s="30" t="n"/>
      <c r="K20" s="41" t="n"/>
      <c r="L20" s="35" t="n"/>
      <c r="M20" s="41">
        <f>IF($E20="","",COUNTIF($E$5:$E$64,"&gt;"&amp;$E20)+1)</f>
        <v/>
      </c>
      <c r="N20" s="41">
        <f>IF($B20="","",IF(Entrevista!$H20="","",Entrevista!$H20))</f>
        <v/>
      </c>
      <c r="O20" s="30">
        <f>IF($B20="","",IF(Entrevista!$L20="","",Entrevista!$L20))</f>
        <v/>
      </c>
    </row>
    <row r="21" ht="14.25" customHeight="1" s="60">
      <c r="A21" s="30">
        <f>IF($B21="","",ROW()-4)</f>
        <v/>
      </c>
      <c r="B21" s="30" t="inlineStr">
        <is>
          <t>k267983@dac.unicamp.br</t>
        </is>
      </c>
      <c r="C21" s="30" t="inlineStr">
        <is>
          <t>Klaus Augusto Santos da Silva</t>
        </is>
      </c>
      <c r="D21" s="41">
        <f>IF($B21="","",COUNTIFS('Avaliação'!$C$7:$C$206,$B21,'Avaliação'!$E$7:$E$206,"&gt;=0"))</f>
        <v/>
      </c>
      <c r="E21" s="33">
        <f>IF($B21="","",IFERROR(ROUND(AVERAGEIF('Avaliação'!$C$7:$C$206,$B21,'Avaliação'!$E$7:$E$206),2),""))</f>
        <v/>
      </c>
      <c r="F21" s="41">
        <f t="array" ref="F21">IF($B21="","",IFERROR(INDEX('Avaliação'!$E$7:$E$206,MATCH($B21,'Avaliação'!$C$7:$C$206,0)),""))</f>
        <v/>
      </c>
      <c r="G21" s="41">
        <f>IF($B21="","",IF($D21&lt;&gt;2,"",IF($F21="","",ROUND(SUMIF('Avaliação'!$C$7:$C$206,$B21,'Avaliação'!$E$7:$E$206)-$F21,2))))</f>
        <v/>
      </c>
      <c r="H21" s="41">
        <f>IF($B21="","",IF(OR($F21="",$G21=""),"",ROUND(ABS($F21-$G21),2)))</f>
        <v/>
      </c>
      <c r="I21" s="30">
        <f>IF($B21="","",IF($D21&lt;2,"⚠ falta 2º avaliador",IF($D21&gt;2,"⚠ mais de 2 avaliações — conferir",IF(AND(ISNUMBER($H21),$H21&gt;1),"⚠ divergência &gt; 1,0 — média suspensa, calibrar","OK"))))</f>
        <v/>
      </c>
      <c r="J21" s="30" t="n"/>
      <c r="K21" s="41" t="n"/>
      <c r="L21" s="35" t="n"/>
      <c r="M21" s="41">
        <f>IF($E21="","",COUNTIF($E$5:$E$64,"&gt;"&amp;$E21)+1)</f>
        <v/>
      </c>
      <c r="N21" s="41">
        <f>IF($B21="","",IF(Entrevista!$H21="","",Entrevista!$H21))</f>
        <v/>
      </c>
      <c r="O21" s="30">
        <f>IF($B21="","",IF(Entrevista!$L21="","",Entrevista!$L21))</f>
        <v/>
      </c>
    </row>
    <row r="22" ht="14.25" customHeight="1" s="60">
      <c r="A22" s="30">
        <f>IF($B22="","",ROW()-4)</f>
        <v/>
      </c>
      <c r="B22" s="30" t="inlineStr">
        <is>
          <t>r302729@dac.unicamp.br</t>
        </is>
      </c>
      <c r="C22" s="30" t="inlineStr">
        <is>
          <t>Rafael Rodrigues Moreira</t>
        </is>
      </c>
      <c r="D22" s="41">
        <f>IF($B22="","",COUNTIFS('Avaliação'!$C$7:$C$206,$B22,'Avaliação'!$E$7:$E$206,"&gt;=0"))</f>
        <v/>
      </c>
      <c r="E22" s="33">
        <f>IF($B22="","",IFERROR(ROUND(AVERAGEIF('Avaliação'!$C$7:$C$206,$B22,'Avaliação'!$E$7:$E$206),2),""))</f>
        <v/>
      </c>
      <c r="F22" s="41">
        <f t="array" ref="F22">IF($B22="","",IFERROR(INDEX('Avaliação'!$E$7:$E$206,MATCH($B22,'Avaliação'!$C$7:$C$206,0)),""))</f>
        <v/>
      </c>
      <c r="G22" s="41">
        <f>IF($B22="","",IF($D22&lt;&gt;2,"",IF($F22="","",ROUND(SUMIF('Avaliação'!$C$7:$C$206,$B22,'Avaliação'!$E$7:$E$206)-$F22,2))))</f>
        <v/>
      </c>
      <c r="H22" s="41">
        <f>IF($B22="","",IF(OR($F22="",$G22=""),"",ROUND(ABS($F22-$G22),2)))</f>
        <v/>
      </c>
      <c r="I22" s="30">
        <f>IF($B22="","",IF($D22&lt;2,"⚠ falta 2º avaliador",IF($D22&gt;2,"⚠ mais de 2 avaliações — conferir",IF(AND(ISNUMBER($H22),$H22&gt;1),"⚠ divergência &gt; 1,0 — média suspensa, calibrar","OK"))))</f>
        <v/>
      </c>
      <c r="J22" s="30" t="n"/>
      <c r="K22" s="41" t="n"/>
      <c r="L22" s="35" t="n"/>
      <c r="M22" s="41">
        <f>IF($E22="","",COUNTIF($E$5:$E$64,"&gt;"&amp;$E22)+1)</f>
        <v/>
      </c>
      <c r="N22" s="41">
        <f>IF($B22="","",IF(Entrevista!$H22="","",Entrevista!$H22))</f>
        <v/>
      </c>
      <c r="O22" s="30">
        <f>IF($B22="","",IF(Entrevista!$L22="","",Entrevista!$L22))</f>
        <v/>
      </c>
    </row>
    <row r="23" ht="14.25" customHeight="1" s="60">
      <c r="A23" s="30">
        <f>IF($B23="","",ROW()-4)</f>
        <v/>
      </c>
      <c r="B23" s="30" t="inlineStr">
        <is>
          <t>c258388@dac.unicamp.br</t>
        </is>
      </c>
      <c r="C23" s="30" t="inlineStr">
        <is>
          <t>Caio Augusto Saab</t>
        </is>
      </c>
      <c r="D23" s="41">
        <f>IF($B23="","",COUNTIFS('Avaliação'!$C$7:$C$206,$B23,'Avaliação'!$E$7:$E$206,"&gt;=0"))</f>
        <v/>
      </c>
      <c r="E23" s="33">
        <f>IF($B23="","",IFERROR(ROUND(AVERAGEIF('Avaliação'!$C$7:$C$206,$B23,'Avaliação'!$E$7:$E$206),2),""))</f>
        <v/>
      </c>
      <c r="F23" s="41">
        <f t="array" ref="F23">IF($B23="","",IFERROR(INDEX('Avaliação'!$E$7:$E$206,MATCH($B23,'Avaliação'!$C$7:$C$206,0)),""))</f>
        <v/>
      </c>
      <c r="G23" s="41">
        <f>IF($B23="","",IF($D23&lt;&gt;2,"",IF($F23="","",ROUND(SUMIF('Avaliação'!$C$7:$C$206,$B23,'Avaliação'!$E$7:$E$206)-$F23,2))))</f>
        <v/>
      </c>
      <c r="H23" s="41">
        <f>IF($B23="","",IF(OR($F23="",$G23=""),"",ROUND(ABS($F23-$G23),2)))</f>
        <v/>
      </c>
      <c r="I23" s="30">
        <f>IF($B23="","",IF($D23&lt;2,"⚠ falta 2º avaliador",IF($D23&gt;2,"⚠ mais de 2 avaliações — conferir",IF(AND(ISNUMBER($H23),$H23&gt;1),"⚠ divergência &gt; 1,0 — média suspensa, calibrar","OK"))))</f>
        <v/>
      </c>
      <c r="J23" s="30" t="n"/>
      <c r="K23" s="41" t="n"/>
      <c r="L23" s="35" t="n"/>
      <c r="M23" s="41">
        <f>IF($E23="","",COUNTIF($E$5:$E$64,"&gt;"&amp;$E23)+1)</f>
        <v/>
      </c>
      <c r="N23" s="41">
        <f>IF($B23="","",IF(Entrevista!$H23="","",Entrevista!$H23))</f>
        <v/>
      </c>
      <c r="O23" s="30">
        <f>IF($B23="","",IF(Entrevista!$L23="","",Entrevista!$L23))</f>
        <v/>
      </c>
    </row>
    <row r="24" ht="14.25" customHeight="1" s="60">
      <c r="A24" s="30">
        <f>IF($B24="","",ROW()-4)</f>
        <v/>
      </c>
      <c r="B24" s="30" t="inlineStr">
        <is>
          <t>j260826@dac.unicamp.br</t>
        </is>
      </c>
      <c r="C24" s="30" t="inlineStr">
        <is>
          <t>José Vitor Dias Tutu</t>
        </is>
      </c>
      <c r="D24" s="41">
        <f>IF($B24="","",COUNTIFS('Avaliação'!$C$7:$C$206,$B24,'Avaliação'!$E$7:$E$206,"&gt;=0"))</f>
        <v/>
      </c>
      <c r="E24" s="33">
        <f>IF($B24="","",IFERROR(ROUND(AVERAGEIF('Avaliação'!$C$7:$C$206,$B24,'Avaliação'!$E$7:$E$206),2),""))</f>
        <v/>
      </c>
      <c r="F24" s="41">
        <f t="array" ref="F24">IF($B24="","",IFERROR(INDEX('Avaliação'!$E$7:$E$206,MATCH($B24,'Avaliação'!$C$7:$C$206,0)),""))</f>
        <v/>
      </c>
      <c r="G24" s="41">
        <f>IF($B24="","",IF($D24&lt;&gt;2,"",IF($F24="","",ROUND(SUMIF('Avaliação'!$C$7:$C$206,$B24,'Avaliação'!$E$7:$E$206)-$F24,2))))</f>
        <v/>
      </c>
      <c r="H24" s="41">
        <f>IF($B24="","",IF(OR($F24="",$G24=""),"",ROUND(ABS($F24-$G24),2)))</f>
        <v/>
      </c>
      <c r="I24" s="30">
        <f>IF($B24="","",IF($D24&lt;2,"⚠ falta 2º avaliador",IF($D24&gt;2,"⚠ mais de 2 avaliações — conferir",IF(AND(ISNUMBER($H24),$H24&gt;1),"⚠ divergência &gt; 1,0 — média suspensa, calibrar","OK"))))</f>
        <v/>
      </c>
      <c r="J24" s="30" t="n"/>
      <c r="K24" s="41" t="n"/>
      <c r="L24" s="35" t="n"/>
      <c r="M24" s="41">
        <f>IF($E24="","",COUNTIF($E$5:$E$64,"&gt;"&amp;$E24)+1)</f>
        <v/>
      </c>
      <c r="N24" s="41">
        <f>IF($B24="","",IF(Entrevista!$H24="","",Entrevista!$H24))</f>
        <v/>
      </c>
      <c r="O24" s="30">
        <f>IF($B24="","",IF(Entrevista!$L24="","",Entrevista!$L24))</f>
        <v/>
      </c>
    </row>
    <row r="25" ht="14.25" customHeight="1" s="60">
      <c r="A25" s="30">
        <f>IF($B25="","",ROW()-4)</f>
        <v/>
      </c>
      <c r="B25" s="30" t="inlineStr">
        <is>
          <t xml:space="preserve">i253464@dac.unicamp.br
</t>
        </is>
      </c>
      <c r="C25" s="30" t="inlineStr">
        <is>
          <t>Isadora Kluge Dorigan</t>
        </is>
      </c>
      <c r="D25" s="41">
        <f>IF($B25="","",COUNTIFS('Avaliação'!$C$7:$C$206,$B25,'Avaliação'!$E$7:$E$206,"&gt;=0"))</f>
        <v/>
      </c>
      <c r="E25" s="33">
        <f>IF($B25="","",IFERROR(ROUND(AVERAGEIF('Avaliação'!$C$7:$C$206,$B25,'Avaliação'!$E$7:$E$206),2),""))</f>
        <v/>
      </c>
      <c r="F25" s="41">
        <f t="array" ref="F25">IF($B25="","",IFERROR(INDEX('Avaliação'!$E$7:$E$206,MATCH($B25,'Avaliação'!$C$7:$C$206,0)),""))</f>
        <v/>
      </c>
      <c r="G25" s="41">
        <f>IF($B25="","",IF($D25&lt;&gt;2,"",IF($F25="","",ROUND(SUMIF('Avaliação'!$C$7:$C$206,$B25,'Avaliação'!$E$7:$E$206)-$F25,2))))</f>
        <v/>
      </c>
      <c r="H25" s="41">
        <f>IF($B25="","",IF(OR($F25="",$G25=""),"",ROUND(ABS($F25-$G25),2)))</f>
        <v/>
      </c>
      <c r="I25" s="30">
        <f>IF($B25="","",IF($D25&lt;2,"⚠ falta 2º avaliador",IF($D25&gt;2,"⚠ mais de 2 avaliações — conferir",IF(AND(ISNUMBER($H25),$H25&gt;1),"⚠ divergência &gt; 1,0 — média suspensa, calibrar","OK"))))</f>
        <v/>
      </c>
      <c r="J25" s="30" t="n"/>
      <c r="K25" s="41" t="n"/>
      <c r="L25" s="35" t="n"/>
      <c r="M25" s="41">
        <f>IF($E25="","",COUNTIF($E$5:$E$64,"&gt;"&amp;$E25)+1)</f>
        <v/>
      </c>
      <c r="N25" s="41">
        <f>IF($B25="","",IF(Entrevista!$H25="","",Entrevista!$H25))</f>
        <v/>
      </c>
      <c r="O25" s="30">
        <f>IF($B25="","",IF(Entrevista!$L25="","",Entrevista!$L25))</f>
        <v/>
      </c>
    </row>
    <row r="26" ht="14.25" customHeight="1" s="60">
      <c r="A26" s="30">
        <f>IF($B26="","",ROW()-4)</f>
        <v/>
      </c>
      <c r="C26" s="41" t="n"/>
      <c r="D26" s="41">
        <f>IF($B26="","",COUNTIFS('Avaliação'!$C$7:$C$206,$B26,'Avaliação'!$E$7:$E$206,"&gt;=0"))</f>
        <v/>
      </c>
      <c r="E26" s="33">
        <f>IF($B26="","",IFERROR(ROUND(AVERAGEIF('Avaliação'!$C$7:$C$206,$B26,'Avaliação'!$E$7:$E$206),2),""))</f>
        <v/>
      </c>
      <c r="F26" s="41">
        <f t="array" ref="F26">IF($B26="","",IFERROR(INDEX('Avaliação'!$E$7:$E$206,MATCH($B26,'Avaliação'!$C$7:$C$206,0)),""))</f>
        <v/>
      </c>
      <c r="G26" s="41">
        <f>IF($B26="","",IF($D26&lt;&gt;2,"",IF($F26="","",ROUND(SUMIF('Avaliação'!$C$7:$C$206,$B26,'Avaliação'!$E$7:$E$206)-$F26,2))))</f>
        <v/>
      </c>
      <c r="H26" s="41">
        <f>IF($B26="","",IF(OR($F26="",$G26=""),"",ROUND(ABS($F26-$G26),2)))</f>
        <v/>
      </c>
      <c r="I26" s="30">
        <f>IF($B26="","",IF($D26&lt;2,"⚠ falta 2º avaliador",IF($D26&gt;2,"⚠ mais de 2 avaliações — conferir",IF(AND(ISNUMBER($H26),$H26&gt;1),"⚠ divergência &gt; 1,0 — média suspensa, calibrar","OK"))))</f>
        <v/>
      </c>
      <c r="J26" s="30" t="n"/>
      <c r="K26" s="41" t="n"/>
      <c r="L26" s="35" t="n"/>
      <c r="M26" s="41">
        <f>IF($E26="","",COUNTIF($E$5:$E$64,"&gt;"&amp;$E26)+1)</f>
        <v/>
      </c>
      <c r="N26" s="41">
        <f>IF($B26="","",IF(Entrevista!$H26="","",Entrevista!$H26))</f>
        <v/>
      </c>
      <c r="O26" s="30">
        <f>IF($B26="","",IF(Entrevista!$L26="","",Entrevista!$L26))</f>
        <v/>
      </c>
    </row>
    <row r="27" ht="14.25" customHeight="1" s="60">
      <c r="A27" s="30">
        <f>IF($B27="","",ROW()-4)</f>
        <v/>
      </c>
      <c r="C27" s="41" t="n"/>
      <c r="D27" s="41">
        <f>IF($B27="","",COUNTIFS('Avaliação'!$C$7:$C$206,$B27,'Avaliação'!$E$7:$E$206,"&gt;=0"))</f>
        <v/>
      </c>
      <c r="E27" s="33">
        <f>IF($B27="","",IFERROR(ROUND(AVERAGEIF('Avaliação'!$C$7:$C$206,$B27,'Avaliação'!$E$7:$E$206),2),""))</f>
        <v/>
      </c>
      <c r="F27" s="41">
        <f t="array" ref="F27">IF($B27="","",IFERROR(INDEX('Avaliação'!$E$7:$E$206,MATCH($B27,'Avaliação'!$C$7:$C$206,0)),""))</f>
        <v/>
      </c>
      <c r="G27" s="41">
        <f>IF($B27="","",IF($D27&lt;&gt;2,"",IF($F27="","",ROUND(SUMIF('Avaliação'!$C$7:$C$206,$B27,'Avaliação'!$E$7:$E$206)-$F27,2))))</f>
        <v/>
      </c>
      <c r="H27" s="41">
        <f>IF($B27="","",IF(OR($F27="",$G27=""),"",ROUND(ABS($F27-$G27),2)))</f>
        <v/>
      </c>
      <c r="I27" s="30">
        <f>IF($B27="","",IF($D27&lt;2,"⚠ falta 2º avaliador",IF($D27&gt;2,"⚠ mais de 2 avaliações — conferir",IF(AND(ISNUMBER($H27),$H27&gt;1),"⚠ divergência &gt; 1,0 — média suspensa, calibrar","OK"))))</f>
        <v/>
      </c>
      <c r="J27" s="30" t="n"/>
      <c r="K27" s="41" t="n"/>
      <c r="L27" s="35" t="n"/>
      <c r="M27" s="41">
        <f>IF($E27="","",COUNTIF($E$5:$E$64,"&gt;"&amp;$E27)+1)</f>
        <v/>
      </c>
      <c r="N27" s="41">
        <f>IF($B27="","",IF(Entrevista!$H27="","",Entrevista!$H27))</f>
        <v/>
      </c>
      <c r="O27" s="30">
        <f>IF($B27="","",IF(Entrevista!$L27="","",Entrevista!$L27))</f>
        <v/>
      </c>
    </row>
    <row r="28" ht="14.25" customHeight="1" s="60">
      <c r="A28" s="30">
        <f>IF($B28="","",ROW()-4)</f>
        <v/>
      </c>
      <c r="C28" s="41" t="n"/>
      <c r="D28" s="41">
        <f>IF($B28="","",COUNTIFS('Avaliação'!$C$7:$C$206,$B28,'Avaliação'!$E$7:$E$206,"&gt;=0"))</f>
        <v/>
      </c>
      <c r="E28" s="33">
        <f>IF($B28="","",IFERROR(ROUND(AVERAGEIF('Avaliação'!$C$7:$C$206,$B28,'Avaliação'!$E$7:$E$206),2),""))</f>
        <v/>
      </c>
      <c r="F28" s="41">
        <f t="array" ref="F28">IF($B28="","",IFERROR(INDEX('Avaliação'!$E$7:$E$206,MATCH($B28,'Avaliação'!$C$7:$C$206,0)),""))</f>
        <v/>
      </c>
      <c r="G28" s="41">
        <f>IF($B28="","",IF($D28&lt;&gt;2,"",IF($F28="","",ROUND(SUMIF('Avaliação'!$C$7:$C$206,$B28,'Avaliação'!$E$7:$E$206)-$F28,2))))</f>
        <v/>
      </c>
      <c r="H28" s="41">
        <f>IF($B28="","",IF(OR($F28="",$G28=""),"",ROUND(ABS($F28-$G28),2)))</f>
        <v/>
      </c>
      <c r="I28" s="30">
        <f>IF($B28="","",IF($D28&lt;2,"⚠ falta 2º avaliador",IF($D28&gt;2,"⚠ mais de 2 avaliações — conferir",IF(AND(ISNUMBER($H28),$H28&gt;1),"⚠ divergência &gt; 1,0 — média suspensa, calibrar","OK"))))</f>
        <v/>
      </c>
      <c r="J28" s="30" t="n"/>
      <c r="K28" s="41" t="n"/>
      <c r="L28" s="35" t="n"/>
      <c r="M28" s="41">
        <f>IF($E28="","",COUNTIF($E$5:$E$64,"&gt;"&amp;$E28)+1)</f>
        <v/>
      </c>
      <c r="N28" s="41">
        <f>IF($B28="","",IF(Entrevista!$H28="","",Entrevista!$H28))</f>
        <v/>
      </c>
      <c r="O28" s="30">
        <f>IF($B28="","",IF(Entrevista!$L28="","",Entrevista!$L28))</f>
        <v/>
      </c>
    </row>
    <row r="29" ht="14.25" customHeight="1" s="60">
      <c r="A29" s="30">
        <f>IF($B29="","",ROW()-4)</f>
        <v/>
      </c>
      <c r="C29" s="41" t="n"/>
      <c r="D29" s="41">
        <f>IF($B29="","",COUNTIFS('Avaliação'!$C$7:$C$206,$B29,'Avaliação'!$E$7:$E$206,"&gt;=0"))</f>
        <v/>
      </c>
      <c r="E29" s="33">
        <f>IF($B29="","",IFERROR(ROUND(AVERAGEIF('Avaliação'!$C$7:$C$206,$B29,'Avaliação'!$E$7:$E$206),2),""))</f>
        <v/>
      </c>
      <c r="F29" s="41">
        <f t="array" ref="F29">IF($B29="","",IFERROR(INDEX('Avaliação'!$E$7:$E$206,MATCH($B29,'Avaliação'!$C$7:$C$206,0)),""))</f>
        <v/>
      </c>
      <c r="G29" s="41">
        <f>IF($B29="","",IF($D29&lt;&gt;2,"",IF($F29="","",ROUND(SUMIF('Avaliação'!$C$7:$C$206,$B29,'Avaliação'!$E$7:$E$206)-$F29,2))))</f>
        <v/>
      </c>
      <c r="H29" s="41">
        <f>IF($B29="","",IF(OR($F29="",$G29=""),"",ROUND(ABS($F29-$G29),2)))</f>
        <v/>
      </c>
      <c r="I29" s="30">
        <f>IF($B29="","",IF($D29&lt;2,"⚠ falta 2º avaliador",IF($D29&gt;2,"⚠ mais de 2 avaliações — conferir",IF(AND(ISNUMBER($H29),$H29&gt;1),"⚠ divergência &gt; 1,0 — média suspensa, calibrar","OK"))))</f>
        <v/>
      </c>
      <c r="J29" s="30" t="n"/>
      <c r="K29" s="41" t="n"/>
      <c r="L29" s="35" t="n"/>
      <c r="M29" s="41">
        <f>IF($E29="","",COUNTIF($E$5:$E$64,"&gt;"&amp;$E29)+1)</f>
        <v/>
      </c>
      <c r="N29" s="41">
        <f>IF($B29="","",IF(Entrevista!$H29="","",Entrevista!$H29))</f>
        <v/>
      </c>
      <c r="O29" s="30">
        <f>IF($B29="","",IF(Entrevista!$L29="","",Entrevista!$L29))</f>
        <v/>
      </c>
    </row>
    <row r="30" ht="14.25" customHeight="1" s="60">
      <c r="A30" s="30">
        <f>IF($B30="","",ROW()-4)</f>
        <v/>
      </c>
      <c r="C30" s="41" t="n"/>
      <c r="D30" s="41">
        <f>IF($B30="","",COUNTIFS('Avaliação'!$C$7:$C$206,$B30,'Avaliação'!$E$7:$E$206,"&gt;=0"))</f>
        <v/>
      </c>
      <c r="E30" s="33">
        <f>IF($B30="","",IFERROR(ROUND(AVERAGEIF('Avaliação'!$C$7:$C$206,$B30,'Avaliação'!$E$7:$E$206),2),""))</f>
        <v/>
      </c>
      <c r="F30" s="41">
        <f t="array" ref="F30">IF($B30="","",IFERROR(INDEX('Avaliação'!$E$7:$E$206,MATCH($B30,'Avaliação'!$C$7:$C$206,0)),""))</f>
        <v/>
      </c>
      <c r="G30" s="41">
        <f>IF($B30="","",IF($D30&lt;&gt;2,"",IF($F30="","",ROUND(SUMIF('Avaliação'!$C$7:$C$206,$B30,'Avaliação'!$E$7:$E$206)-$F30,2))))</f>
        <v/>
      </c>
      <c r="H30" s="41">
        <f>IF($B30="","",IF(OR($F30="",$G30=""),"",ROUND(ABS($F30-$G30),2)))</f>
        <v/>
      </c>
      <c r="I30" s="30">
        <f>IF($B30="","",IF($D30&lt;2,"⚠ falta 2º avaliador",IF($D30&gt;2,"⚠ mais de 2 avaliações — conferir",IF(AND(ISNUMBER($H30),$H30&gt;1),"⚠ divergência &gt; 1,0 — média suspensa, calibrar","OK"))))</f>
        <v/>
      </c>
      <c r="J30" s="30" t="n"/>
      <c r="K30" s="41" t="n"/>
      <c r="L30" s="35" t="n"/>
      <c r="M30" s="41">
        <f>IF($E30="","",COUNTIF($E$5:$E$64,"&gt;"&amp;$E30)+1)</f>
        <v/>
      </c>
      <c r="N30" s="41">
        <f>IF($B30="","",IF(Entrevista!$H30="","",Entrevista!$H30))</f>
        <v/>
      </c>
      <c r="O30" s="30">
        <f>IF($B30="","",IF(Entrevista!$L30="","",Entrevista!$L30))</f>
        <v/>
      </c>
    </row>
    <row r="31" ht="14.25" customHeight="1" s="60">
      <c r="A31" s="30">
        <f>IF($B31="","",ROW()-4)</f>
        <v/>
      </c>
      <c r="C31" s="41" t="n"/>
      <c r="D31" s="41">
        <f>IF($B31="","",COUNTIFS('Avaliação'!$C$7:$C$206,$B31,'Avaliação'!$E$7:$E$206,"&gt;=0"))</f>
        <v/>
      </c>
      <c r="E31" s="33">
        <f>IF($B31="","",IFERROR(ROUND(AVERAGEIF('Avaliação'!$C$7:$C$206,$B31,'Avaliação'!$E$7:$E$206),2),""))</f>
        <v/>
      </c>
      <c r="F31" s="41">
        <f t="array" ref="F31">IF($B31="","",IFERROR(INDEX('Avaliação'!$E$7:$E$206,MATCH($B31,'Avaliação'!$C$7:$C$206,0)),""))</f>
        <v/>
      </c>
      <c r="G31" s="41">
        <f>IF($B31="","",IF($D31&lt;&gt;2,"",IF($F31="","",ROUND(SUMIF('Avaliação'!$C$7:$C$206,$B31,'Avaliação'!$E$7:$E$206)-$F31,2))))</f>
        <v/>
      </c>
      <c r="H31" s="41">
        <f>IF($B31="","",IF(OR($F31="",$G31=""),"",ROUND(ABS($F31-$G31),2)))</f>
        <v/>
      </c>
      <c r="I31" s="30">
        <f>IF($B31="","",IF($D31&lt;2,"⚠ falta 2º avaliador",IF($D31&gt;2,"⚠ mais de 2 avaliações — conferir",IF(AND(ISNUMBER($H31),$H31&gt;1),"⚠ divergência &gt; 1,0 — média suspensa, calibrar","OK"))))</f>
        <v/>
      </c>
      <c r="J31" s="30" t="n"/>
      <c r="K31" s="41" t="n"/>
      <c r="L31" s="35" t="n"/>
      <c r="M31" s="41">
        <f>IF($E31="","",COUNTIF($E$5:$E$64,"&gt;"&amp;$E31)+1)</f>
        <v/>
      </c>
      <c r="N31" s="41">
        <f>IF($B31="","",IF(Entrevista!$H31="","",Entrevista!$H31))</f>
        <v/>
      </c>
      <c r="O31" s="30">
        <f>IF($B31="","",IF(Entrevista!$L31="","",Entrevista!$L31))</f>
        <v/>
      </c>
    </row>
    <row r="32" ht="14.25" customHeight="1" s="60">
      <c r="A32" s="30">
        <f>IF($B32="","",ROW()-4)</f>
        <v/>
      </c>
      <c r="C32" s="41" t="n"/>
      <c r="D32" s="41">
        <f>IF($B32="","",COUNTIFS('Avaliação'!$C$7:$C$206,$B32,'Avaliação'!$E$7:$E$206,"&gt;=0"))</f>
        <v/>
      </c>
      <c r="E32" s="33">
        <f>IF($B32="","",IFERROR(ROUND(AVERAGEIF('Avaliação'!$C$7:$C$206,$B32,'Avaliação'!$E$7:$E$206),2),""))</f>
        <v/>
      </c>
      <c r="F32" s="41">
        <f t="array" ref="F32">IF($B32="","",IFERROR(INDEX('Avaliação'!$E$7:$E$206,MATCH($B32,'Avaliação'!$C$7:$C$206,0)),""))</f>
        <v/>
      </c>
      <c r="G32" s="41">
        <f>IF($B32="","",IF($D32&lt;&gt;2,"",IF($F32="","",ROUND(SUMIF('Avaliação'!$C$7:$C$206,$B32,'Avaliação'!$E$7:$E$206)-$F32,2))))</f>
        <v/>
      </c>
      <c r="H32" s="41">
        <f>IF($B32="","",IF(OR($F32="",$G32=""),"",ROUND(ABS($F32-$G32),2)))</f>
        <v/>
      </c>
      <c r="I32" s="30">
        <f>IF($B32="","",IF($D32&lt;2,"⚠ falta 2º avaliador",IF($D32&gt;2,"⚠ mais de 2 avaliações — conferir",IF(AND(ISNUMBER($H32),$H32&gt;1),"⚠ divergência &gt; 1,0 — média suspensa, calibrar","OK"))))</f>
        <v/>
      </c>
      <c r="J32" s="30" t="n"/>
      <c r="K32" s="41" t="n"/>
      <c r="L32" s="35" t="n"/>
      <c r="M32" s="41">
        <f>IF($E32="","",COUNTIF($E$5:$E$64,"&gt;"&amp;$E32)+1)</f>
        <v/>
      </c>
      <c r="N32" s="41">
        <f>IF($B32="","",IF(Entrevista!$H32="","",Entrevista!$H32))</f>
        <v/>
      </c>
      <c r="O32" s="30">
        <f>IF($B32="","",IF(Entrevista!$L32="","",Entrevista!$L32))</f>
        <v/>
      </c>
    </row>
    <row r="33" ht="14.25" customHeight="1" s="60">
      <c r="A33" s="30">
        <f>IF($B33="","",ROW()-4)</f>
        <v/>
      </c>
      <c r="C33" s="41" t="n"/>
      <c r="D33" s="41">
        <f>IF($B33="","",COUNTIFS('Avaliação'!$C$7:$C$206,$B33,'Avaliação'!$E$7:$E$206,"&gt;=0"))</f>
        <v/>
      </c>
      <c r="E33" s="33">
        <f>IF($B33="","",IFERROR(ROUND(AVERAGEIF('Avaliação'!$C$7:$C$206,$B33,'Avaliação'!$E$7:$E$206),2),""))</f>
        <v/>
      </c>
      <c r="F33" s="41">
        <f t="array" ref="F33">IF($B33="","",IFERROR(INDEX('Avaliação'!$E$7:$E$206,MATCH($B33,'Avaliação'!$C$7:$C$206,0)),""))</f>
        <v/>
      </c>
      <c r="G33" s="41">
        <f>IF($B33="","",IF($D33&lt;&gt;2,"",IF($F33="","",ROUND(SUMIF('Avaliação'!$C$7:$C$206,$B33,'Avaliação'!$E$7:$E$206)-$F33,2))))</f>
        <v/>
      </c>
      <c r="H33" s="41">
        <f>IF($B33="","",IF(OR($F33="",$G33=""),"",ROUND(ABS($F33-$G33),2)))</f>
        <v/>
      </c>
      <c r="I33" s="30">
        <f>IF($B33="","",IF($D33&lt;2,"⚠ falta 2º avaliador",IF($D33&gt;2,"⚠ mais de 2 avaliações — conferir",IF(AND(ISNUMBER($H33),$H33&gt;1),"⚠ divergência &gt; 1,0 — média suspensa, calibrar","OK"))))</f>
        <v/>
      </c>
      <c r="J33" s="30" t="n"/>
      <c r="K33" s="41" t="n"/>
      <c r="L33" s="35" t="n"/>
      <c r="M33" s="41">
        <f>IF($E33="","",COUNTIF($E$5:$E$64,"&gt;"&amp;$E33)+1)</f>
        <v/>
      </c>
      <c r="N33" s="41">
        <f>IF($B33="","",IF(Entrevista!$H33="","",Entrevista!$H33))</f>
        <v/>
      </c>
      <c r="O33" s="30">
        <f>IF($B33="","",IF(Entrevista!$L33="","",Entrevista!$L33))</f>
        <v/>
      </c>
    </row>
    <row r="34" ht="14.25" customHeight="1" s="60">
      <c r="A34" s="30">
        <f>IF($B34="","",ROW()-4)</f>
        <v/>
      </c>
      <c r="C34" s="41" t="n"/>
      <c r="D34" s="41">
        <f>IF($B34="","",COUNTIFS('Avaliação'!$C$7:$C$206,$B34,'Avaliação'!$E$7:$E$206,"&gt;=0"))</f>
        <v/>
      </c>
      <c r="E34" s="33">
        <f>IF($B34="","",IFERROR(ROUND(AVERAGEIF('Avaliação'!$C$7:$C$206,$B34,'Avaliação'!$E$7:$E$206),2),""))</f>
        <v/>
      </c>
      <c r="F34" s="41">
        <f t="array" ref="F34">IF($B34="","",IFERROR(INDEX('Avaliação'!$E$7:$E$206,MATCH($B34,'Avaliação'!$C$7:$C$206,0)),""))</f>
        <v/>
      </c>
      <c r="G34" s="41">
        <f>IF($B34="","",IF($D34&lt;&gt;2,"",IF($F34="","",ROUND(SUMIF('Avaliação'!$C$7:$C$206,$B34,'Avaliação'!$E$7:$E$206)-$F34,2))))</f>
        <v/>
      </c>
      <c r="H34" s="41">
        <f>IF($B34="","",IF(OR($F34="",$G34=""),"",ROUND(ABS($F34-$G34),2)))</f>
        <v/>
      </c>
      <c r="I34" s="30">
        <f>IF($B34="","",IF($D34&lt;2,"⚠ falta 2º avaliador",IF($D34&gt;2,"⚠ mais de 2 avaliações — conferir",IF(AND(ISNUMBER($H34),$H34&gt;1),"⚠ divergência &gt; 1,0 — média suspensa, calibrar","OK"))))</f>
        <v/>
      </c>
      <c r="J34" s="30" t="n"/>
      <c r="K34" s="41" t="n"/>
      <c r="L34" s="35" t="n"/>
      <c r="M34" s="41">
        <f>IF($E34="","",COUNTIF($E$5:$E$64,"&gt;"&amp;$E34)+1)</f>
        <v/>
      </c>
      <c r="N34" s="41">
        <f>IF($B34="","",IF(Entrevista!$H34="","",Entrevista!$H34))</f>
        <v/>
      </c>
      <c r="O34" s="30">
        <f>IF($B34="","",IF(Entrevista!$L34="","",Entrevista!$L34))</f>
        <v/>
      </c>
    </row>
    <row r="35" ht="14.25" customHeight="1" s="60">
      <c r="A35" s="30">
        <f>IF($B35="","",ROW()-4)</f>
        <v/>
      </c>
      <c r="C35" s="41" t="n"/>
      <c r="D35" s="41">
        <f>IF($B35="","",COUNTIFS('Avaliação'!$C$7:$C$206,$B35,'Avaliação'!$E$7:$E$206,"&gt;=0"))</f>
        <v/>
      </c>
      <c r="E35" s="33">
        <f>IF($B35="","",IFERROR(ROUND(AVERAGEIF('Avaliação'!$C$7:$C$206,$B35,'Avaliação'!$E$7:$E$206),2),""))</f>
        <v/>
      </c>
      <c r="F35" s="41">
        <f t="array" ref="F35">IF($B35="","",IFERROR(INDEX('Avaliação'!$E$7:$E$206,MATCH($B35,'Avaliação'!$C$7:$C$206,0)),""))</f>
        <v/>
      </c>
      <c r="G35" s="41">
        <f>IF($B35="","",IF($D35&lt;&gt;2,"",IF($F35="","",ROUND(SUMIF('Avaliação'!$C$7:$C$206,$B35,'Avaliação'!$E$7:$E$206)-$F35,2))))</f>
        <v/>
      </c>
      <c r="H35" s="41">
        <f>IF($B35="","",IF(OR($F35="",$G35=""),"",ROUND(ABS($F35-$G35),2)))</f>
        <v/>
      </c>
      <c r="I35" s="30">
        <f>IF($B35="","",IF($D35&lt;2,"⚠ falta 2º avaliador",IF($D35&gt;2,"⚠ mais de 2 avaliações — conferir",IF(AND(ISNUMBER($H35),$H35&gt;1),"⚠ divergência &gt; 1,0 — média suspensa, calibrar","OK"))))</f>
        <v/>
      </c>
      <c r="J35" s="30" t="n"/>
      <c r="K35" s="41" t="n"/>
      <c r="L35" s="35" t="n"/>
      <c r="M35" s="41">
        <f>IF($E35="","",COUNTIF($E$5:$E$64,"&gt;"&amp;$E35)+1)</f>
        <v/>
      </c>
      <c r="N35" s="41">
        <f>IF($B35="","",IF(Entrevista!$H35="","",Entrevista!$H35))</f>
        <v/>
      </c>
      <c r="O35" s="30">
        <f>IF($B35="","",IF(Entrevista!$L35="","",Entrevista!$L35))</f>
        <v/>
      </c>
    </row>
    <row r="36" ht="14.25" customHeight="1" s="60">
      <c r="A36" s="30">
        <f>IF($B36="","",ROW()-4)</f>
        <v/>
      </c>
      <c r="C36" s="41" t="n"/>
      <c r="D36" s="41">
        <f>IF($B36="","",COUNTIFS('Avaliação'!$C$7:$C$206,$B36,'Avaliação'!$E$7:$E$206,"&gt;=0"))</f>
        <v/>
      </c>
      <c r="E36" s="33">
        <f>IF($B36="","",IFERROR(ROUND(AVERAGEIF('Avaliação'!$C$7:$C$206,$B36,'Avaliação'!$E$7:$E$206),2),""))</f>
        <v/>
      </c>
      <c r="F36" s="41">
        <f t="array" ref="F36">IF($B36="","",IFERROR(INDEX('Avaliação'!$E$7:$E$206,MATCH($B36,'Avaliação'!$C$7:$C$206,0)),""))</f>
        <v/>
      </c>
      <c r="G36" s="41">
        <f>IF($B36="","",IF($D36&lt;&gt;2,"",IF($F36="","",ROUND(SUMIF('Avaliação'!$C$7:$C$206,$B36,'Avaliação'!$E$7:$E$206)-$F36,2))))</f>
        <v/>
      </c>
      <c r="H36" s="41">
        <f>IF($B36="","",IF(OR($F36="",$G36=""),"",ROUND(ABS($F36-$G36),2)))</f>
        <v/>
      </c>
      <c r="I36" s="30">
        <f>IF($B36="","",IF($D36&lt;2,"⚠ falta 2º avaliador",IF($D36&gt;2,"⚠ mais de 2 avaliações — conferir",IF(AND(ISNUMBER($H36),$H36&gt;1),"⚠ divergência &gt; 1,0 — média suspensa, calibrar","OK"))))</f>
        <v/>
      </c>
      <c r="J36" s="30" t="n"/>
      <c r="K36" s="41" t="n"/>
      <c r="L36" s="35" t="n"/>
      <c r="M36" s="41">
        <f>IF($E36="","",COUNTIF($E$5:$E$64,"&gt;"&amp;$E36)+1)</f>
        <v/>
      </c>
      <c r="N36" s="41">
        <f>IF($B36="","",IF(Entrevista!$H36="","",Entrevista!$H36))</f>
        <v/>
      </c>
      <c r="O36" s="30">
        <f>IF($B36="","",IF(Entrevista!$L36="","",Entrevista!$L36))</f>
        <v/>
      </c>
    </row>
    <row r="37" ht="14.25" customHeight="1" s="60">
      <c r="A37" s="30">
        <f>IF($B37="","",ROW()-4)</f>
        <v/>
      </c>
      <c r="C37" s="41" t="n"/>
      <c r="D37" s="41">
        <f>IF($B37="","",COUNTIFS('Avaliação'!$C$7:$C$206,$B37,'Avaliação'!$E$7:$E$206,"&gt;=0"))</f>
        <v/>
      </c>
      <c r="E37" s="33">
        <f>IF($B37="","",IFERROR(ROUND(AVERAGEIF('Avaliação'!$C$7:$C$206,$B37,'Avaliação'!$E$7:$E$206),2),""))</f>
        <v/>
      </c>
      <c r="F37" s="41">
        <f t="array" ref="F37">IF($B37="","",IFERROR(INDEX('Avaliação'!$E$7:$E$206,MATCH($B37,'Avaliação'!$C$7:$C$206,0)),""))</f>
        <v/>
      </c>
      <c r="G37" s="41">
        <f>IF($B37="","",IF($D37&lt;&gt;2,"",IF($F37="","",ROUND(SUMIF('Avaliação'!$C$7:$C$206,$B37,'Avaliação'!$E$7:$E$206)-$F37,2))))</f>
        <v/>
      </c>
      <c r="H37" s="41">
        <f>IF($B37="","",IF(OR($F37="",$G37=""),"",ROUND(ABS($F37-$G37),2)))</f>
        <v/>
      </c>
      <c r="I37" s="30">
        <f>IF($B37="","",IF($D37&lt;2,"⚠ falta 2º avaliador",IF($D37&gt;2,"⚠ mais de 2 avaliações — conferir",IF(AND(ISNUMBER($H37),$H37&gt;1),"⚠ divergência &gt; 1,0 — média suspensa, calibrar","OK"))))</f>
        <v/>
      </c>
      <c r="J37" s="30" t="n"/>
      <c r="K37" s="41" t="n"/>
      <c r="L37" s="35" t="n"/>
      <c r="M37" s="41">
        <f>IF($E37="","",COUNTIF($E$5:$E$64,"&gt;"&amp;$E37)+1)</f>
        <v/>
      </c>
      <c r="N37" s="41">
        <f>IF($B37="","",IF(Entrevista!$H37="","",Entrevista!$H37))</f>
        <v/>
      </c>
      <c r="O37" s="30">
        <f>IF($B37="","",IF(Entrevista!$L37="","",Entrevista!$L37))</f>
        <v/>
      </c>
    </row>
    <row r="38" ht="14.25" customHeight="1" s="60">
      <c r="A38" s="30">
        <f>IF($B38="","",ROW()-4)</f>
        <v/>
      </c>
      <c r="C38" s="41" t="n"/>
      <c r="D38" s="41">
        <f>IF($B38="","",COUNTIFS('Avaliação'!$C$7:$C$206,$B38,'Avaliação'!$E$7:$E$206,"&gt;=0"))</f>
        <v/>
      </c>
      <c r="E38" s="33">
        <f>IF($B38="","",IFERROR(ROUND(AVERAGEIF('Avaliação'!$C$7:$C$206,$B38,'Avaliação'!$E$7:$E$206),2),""))</f>
        <v/>
      </c>
      <c r="F38" s="41">
        <f t="array" ref="F38">IF($B38="","",IFERROR(INDEX('Avaliação'!$E$7:$E$206,MATCH($B38,'Avaliação'!$C$7:$C$206,0)),""))</f>
        <v/>
      </c>
      <c r="G38" s="41">
        <f>IF($B38="","",IF($D38&lt;&gt;2,"",IF($F38="","",ROUND(SUMIF('Avaliação'!$C$7:$C$206,$B38,'Avaliação'!$E$7:$E$206)-$F38,2))))</f>
        <v/>
      </c>
      <c r="H38" s="41">
        <f>IF($B38="","",IF(OR($F38="",$G38=""),"",ROUND(ABS($F38-$G38),2)))</f>
        <v/>
      </c>
      <c r="I38" s="30">
        <f>IF($B38="","",IF($D38&lt;2,"⚠ falta 2º avaliador",IF($D38&gt;2,"⚠ mais de 2 avaliações — conferir",IF(AND(ISNUMBER($H38),$H38&gt;1),"⚠ divergência &gt; 1,0 — média suspensa, calibrar","OK"))))</f>
        <v/>
      </c>
      <c r="J38" s="30" t="n"/>
      <c r="K38" s="41" t="n"/>
      <c r="L38" s="35" t="n"/>
      <c r="M38" s="41">
        <f>IF($E38="","",COUNTIF($E$5:$E$64,"&gt;"&amp;$E38)+1)</f>
        <v/>
      </c>
      <c r="N38" s="41">
        <f>IF($B38="","",IF(Entrevista!$H38="","",Entrevista!$H38))</f>
        <v/>
      </c>
      <c r="O38" s="30">
        <f>IF($B38="","",IF(Entrevista!$L38="","",Entrevista!$L38))</f>
        <v/>
      </c>
    </row>
    <row r="39" ht="14.25" customHeight="1" s="60">
      <c r="A39" s="30">
        <f>IF($B39="","",ROW()-4)</f>
        <v/>
      </c>
      <c r="C39" s="41" t="n"/>
      <c r="D39" s="41">
        <f>IF($B39="","",COUNTIFS('Avaliação'!$C$7:$C$206,$B39,'Avaliação'!$E$7:$E$206,"&gt;=0"))</f>
        <v/>
      </c>
      <c r="E39" s="33">
        <f>IF($B39="","",IFERROR(ROUND(AVERAGEIF('Avaliação'!$C$7:$C$206,$B39,'Avaliação'!$E$7:$E$206),2),""))</f>
        <v/>
      </c>
      <c r="F39" s="41">
        <f t="array" ref="F39">IF($B39="","",IFERROR(INDEX('Avaliação'!$E$7:$E$206,MATCH($B39,'Avaliação'!$C$7:$C$206,0)),""))</f>
        <v/>
      </c>
      <c r="G39" s="41">
        <f>IF($B39="","",IF($D39&lt;&gt;2,"",IF($F39="","",ROUND(SUMIF('Avaliação'!$C$7:$C$206,$B39,'Avaliação'!$E$7:$E$206)-$F39,2))))</f>
        <v/>
      </c>
      <c r="H39" s="41">
        <f>IF($B39="","",IF(OR($F39="",$G39=""),"",ROUND(ABS($F39-$G39),2)))</f>
        <v/>
      </c>
      <c r="I39" s="30">
        <f>IF($B39="","",IF($D39&lt;2,"⚠ falta 2º avaliador",IF($D39&gt;2,"⚠ mais de 2 avaliações — conferir",IF(AND(ISNUMBER($H39),$H39&gt;1),"⚠ divergência &gt; 1,0 — média suspensa, calibrar","OK"))))</f>
        <v/>
      </c>
      <c r="J39" s="30" t="n"/>
      <c r="K39" s="41" t="n"/>
      <c r="L39" s="35" t="n"/>
      <c r="M39" s="41">
        <f>IF($E39="","",COUNTIF($E$5:$E$64,"&gt;"&amp;$E39)+1)</f>
        <v/>
      </c>
      <c r="N39" s="41">
        <f>IF($B39="","",IF(Entrevista!$H39="","",Entrevista!$H39))</f>
        <v/>
      </c>
      <c r="O39" s="30">
        <f>IF($B39="","",IF(Entrevista!$L39="","",Entrevista!$L39))</f>
        <v/>
      </c>
    </row>
    <row r="40" ht="14.25" customHeight="1" s="60">
      <c r="A40" s="30">
        <f>IF($B40="","",ROW()-4)</f>
        <v/>
      </c>
      <c r="C40" s="41" t="n"/>
      <c r="D40" s="41">
        <f>IF($B40="","",COUNTIFS('Avaliação'!$C$7:$C$206,$B40,'Avaliação'!$E$7:$E$206,"&gt;=0"))</f>
        <v/>
      </c>
      <c r="E40" s="33">
        <f>IF($B40="","",IFERROR(ROUND(AVERAGEIF('Avaliação'!$C$7:$C$206,$B40,'Avaliação'!$E$7:$E$206),2),""))</f>
        <v/>
      </c>
      <c r="F40" s="41">
        <f t="array" ref="F40">IF($B40="","",IFERROR(INDEX('Avaliação'!$E$7:$E$206,MATCH($B40,'Avaliação'!$C$7:$C$206,0)),""))</f>
        <v/>
      </c>
      <c r="G40" s="41">
        <f>IF($B40="","",IF($D40&lt;&gt;2,"",IF($F40="","",ROUND(SUMIF('Avaliação'!$C$7:$C$206,$B40,'Avaliação'!$E$7:$E$206)-$F40,2))))</f>
        <v/>
      </c>
      <c r="H40" s="41">
        <f>IF($B40="","",IF(OR($F40="",$G40=""),"",ROUND(ABS($F40-$G40),2)))</f>
        <v/>
      </c>
      <c r="I40" s="30">
        <f>IF($B40="","",IF($D40&lt;2,"⚠ falta 2º avaliador",IF($D40&gt;2,"⚠ mais de 2 avaliações — conferir",IF(AND(ISNUMBER($H40),$H40&gt;1),"⚠ divergência &gt; 1,0 — média suspensa, calibrar","OK"))))</f>
        <v/>
      </c>
      <c r="J40" s="30" t="n"/>
      <c r="K40" s="41" t="n"/>
      <c r="L40" s="35" t="n"/>
      <c r="M40" s="41">
        <f>IF($E40="","",COUNTIF($E$5:$E$64,"&gt;"&amp;$E40)+1)</f>
        <v/>
      </c>
      <c r="N40" s="41">
        <f>IF($B40="","",IF(Entrevista!$H40="","",Entrevista!$H40))</f>
        <v/>
      </c>
      <c r="O40" s="30">
        <f>IF($B40="","",IF(Entrevista!$L40="","",Entrevista!$L40))</f>
        <v/>
      </c>
    </row>
    <row r="41" ht="14.25" customHeight="1" s="60">
      <c r="A41" s="30">
        <f>IF($B41="","",ROW()-4)</f>
        <v/>
      </c>
      <c r="C41" s="41" t="n"/>
      <c r="D41" s="41">
        <f>IF($B41="","",COUNTIFS('Avaliação'!$C$7:$C$206,$B41,'Avaliação'!$E$7:$E$206,"&gt;=0"))</f>
        <v/>
      </c>
      <c r="E41" s="33">
        <f>IF($B41="","",IFERROR(ROUND(AVERAGEIF('Avaliação'!$C$7:$C$206,$B41,'Avaliação'!$E$7:$E$206),2),""))</f>
        <v/>
      </c>
      <c r="F41" s="41">
        <f t="array" ref="F41">IF($B41="","",IFERROR(INDEX('Avaliação'!$E$7:$E$206,MATCH($B41,'Avaliação'!$C$7:$C$206,0)),""))</f>
        <v/>
      </c>
      <c r="G41" s="41">
        <f>IF($B41="","",IF($D41&lt;&gt;2,"",IF($F41="","",ROUND(SUMIF('Avaliação'!$C$7:$C$206,$B41,'Avaliação'!$E$7:$E$206)-$F41,2))))</f>
        <v/>
      </c>
      <c r="H41" s="41">
        <f>IF($B41="","",IF(OR($F41="",$G41=""),"",ROUND(ABS($F41-$G41),2)))</f>
        <v/>
      </c>
      <c r="I41" s="30">
        <f>IF($B41="","",IF($D41&lt;2,"⚠ falta 2º avaliador",IF($D41&gt;2,"⚠ mais de 2 avaliações — conferir",IF(AND(ISNUMBER($H41),$H41&gt;1),"⚠ divergência &gt; 1,0 — média suspensa, calibrar","OK"))))</f>
        <v/>
      </c>
      <c r="J41" s="30" t="n"/>
      <c r="K41" s="41" t="n"/>
      <c r="L41" s="35" t="n"/>
      <c r="M41" s="41">
        <f>IF($E41="","",COUNTIF($E$5:$E$64,"&gt;"&amp;$E41)+1)</f>
        <v/>
      </c>
      <c r="N41" s="41">
        <f>IF($B41="","",IF(Entrevista!$H41="","",Entrevista!$H41))</f>
        <v/>
      </c>
      <c r="O41" s="30">
        <f>IF($B41="","",IF(Entrevista!$L41="","",Entrevista!$L41))</f>
        <v/>
      </c>
    </row>
    <row r="42" ht="14.25" customHeight="1" s="60">
      <c r="A42" s="30">
        <f>IF($B42="","",ROW()-4)</f>
        <v/>
      </c>
      <c r="C42" s="41" t="n"/>
      <c r="D42" s="41">
        <f>IF($B42="","",COUNTIFS('Avaliação'!$C$7:$C$206,$B42,'Avaliação'!$E$7:$E$206,"&gt;=0"))</f>
        <v/>
      </c>
      <c r="E42" s="33">
        <f>IF($B42="","",IFERROR(ROUND(AVERAGEIF('Avaliação'!$C$7:$C$206,$B42,'Avaliação'!$E$7:$E$206),2),""))</f>
        <v/>
      </c>
      <c r="F42" s="41">
        <f t="array" ref="F42">IF($B42="","",IFERROR(INDEX('Avaliação'!$E$7:$E$206,MATCH($B42,'Avaliação'!$C$7:$C$206,0)),""))</f>
        <v/>
      </c>
      <c r="G42" s="41">
        <f>IF($B42="","",IF($D42&lt;&gt;2,"",IF($F42="","",ROUND(SUMIF('Avaliação'!$C$7:$C$206,$B42,'Avaliação'!$E$7:$E$206)-$F42,2))))</f>
        <v/>
      </c>
      <c r="H42" s="41">
        <f>IF($B42="","",IF(OR($F42="",$G42=""),"",ROUND(ABS($F42-$G42),2)))</f>
        <v/>
      </c>
      <c r="I42" s="30">
        <f>IF($B42="","",IF($D42&lt;2,"⚠ falta 2º avaliador",IF($D42&gt;2,"⚠ mais de 2 avaliações — conferir",IF(AND(ISNUMBER($H42),$H42&gt;1),"⚠ divergência &gt; 1,0 — média suspensa, calibrar","OK"))))</f>
        <v/>
      </c>
      <c r="J42" s="30" t="n"/>
      <c r="K42" s="41" t="n"/>
      <c r="L42" s="35" t="n"/>
      <c r="M42" s="41">
        <f>IF($E42="","",COUNTIF($E$5:$E$64,"&gt;"&amp;$E42)+1)</f>
        <v/>
      </c>
      <c r="N42" s="41">
        <f>IF($B42="","",IF(Entrevista!$H42="","",Entrevista!$H42))</f>
        <v/>
      </c>
      <c r="O42" s="30">
        <f>IF($B42="","",IF(Entrevista!$L42="","",Entrevista!$L42))</f>
        <v/>
      </c>
    </row>
    <row r="43" ht="14.25" customHeight="1" s="60">
      <c r="A43" s="30">
        <f>IF($B43="","",ROW()-4)</f>
        <v/>
      </c>
      <c r="C43" s="41" t="n"/>
      <c r="D43" s="41">
        <f>IF($B43="","",COUNTIFS('Avaliação'!$C$7:$C$206,$B43,'Avaliação'!$E$7:$E$206,"&gt;=0"))</f>
        <v/>
      </c>
      <c r="E43" s="33">
        <f>IF($B43="","",IFERROR(ROUND(AVERAGEIF('Avaliação'!$C$7:$C$206,$B43,'Avaliação'!$E$7:$E$206),2),""))</f>
        <v/>
      </c>
      <c r="F43" s="41">
        <f t="array" ref="F43">IF($B43="","",IFERROR(INDEX('Avaliação'!$E$7:$E$206,MATCH($B43,'Avaliação'!$C$7:$C$206,0)),""))</f>
        <v/>
      </c>
      <c r="G43" s="41">
        <f>IF($B43="","",IF($D43&lt;&gt;2,"",IF($F43="","",ROUND(SUMIF('Avaliação'!$C$7:$C$206,$B43,'Avaliação'!$E$7:$E$206)-$F43,2))))</f>
        <v/>
      </c>
      <c r="H43" s="41">
        <f>IF($B43="","",IF(OR($F43="",$G43=""),"",ROUND(ABS($F43-$G43),2)))</f>
        <v/>
      </c>
      <c r="I43" s="30">
        <f>IF($B43="","",IF($D43&lt;2,"⚠ falta 2º avaliador",IF($D43&gt;2,"⚠ mais de 2 avaliações — conferir",IF(AND(ISNUMBER($H43),$H43&gt;1),"⚠ divergência &gt; 1,0 — média suspensa, calibrar","OK"))))</f>
        <v/>
      </c>
      <c r="J43" s="30" t="n"/>
      <c r="K43" s="41" t="n"/>
      <c r="L43" s="35" t="n"/>
      <c r="M43" s="41">
        <f>IF($E43="","",COUNTIF($E$5:$E$64,"&gt;"&amp;$E43)+1)</f>
        <v/>
      </c>
      <c r="N43" s="41">
        <f>IF($B43="","",IF(Entrevista!$H43="","",Entrevista!$H43))</f>
        <v/>
      </c>
      <c r="O43" s="30">
        <f>IF($B43="","",IF(Entrevista!$L43="","",Entrevista!$L43))</f>
        <v/>
      </c>
    </row>
    <row r="44" ht="14.25" customHeight="1" s="60">
      <c r="A44" s="30">
        <f>IF($B44="","",ROW()-4)</f>
        <v/>
      </c>
      <c r="C44" s="41" t="n"/>
      <c r="D44" s="41">
        <f>IF($B44="","",COUNTIFS('Avaliação'!$C$7:$C$206,$B44,'Avaliação'!$E$7:$E$206,"&gt;=0"))</f>
        <v/>
      </c>
      <c r="E44" s="33">
        <f>IF($B44="","",IFERROR(ROUND(AVERAGEIF('Avaliação'!$C$7:$C$206,$B44,'Avaliação'!$E$7:$E$206),2),""))</f>
        <v/>
      </c>
      <c r="F44" s="41">
        <f t="array" ref="F44">IF($B44="","",IFERROR(INDEX('Avaliação'!$E$7:$E$206,MATCH($B44,'Avaliação'!$C$7:$C$206,0)),""))</f>
        <v/>
      </c>
      <c r="G44" s="41">
        <f>IF($B44="","",IF($D44&lt;&gt;2,"",IF($F44="","",ROUND(SUMIF('Avaliação'!$C$7:$C$206,$B44,'Avaliação'!$E$7:$E$206)-$F44,2))))</f>
        <v/>
      </c>
      <c r="H44" s="41">
        <f>IF($B44="","",IF(OR($F44="",$G44=""),"",ROUND(ABS($F44-$G44),2)))</f>
        <v/>
      </c>
      <c r="I44" s="30">
        <f>IF($B44="","",IF($D44&lt;2,"⚠ falta 2º avaliador",IF($D44&gt;2,"⚠ mais de 2 avaliações — conferir",IF(AND(ISNUMBER($H44),$H44&gt;1),"⚠ divergência &gt; 1,0 — média suspensa, calibrar","OK"))))</f>
        <v/>
      </c>
      <c r="J44" s="30" t="n"/>
      <c r="K44" s="41" t="n"/>
      <c r="L44" s="35" t="n"/>
      <c r="M44" s="41">
        <f>IF($E44="","",COUNTIF($E$5:$E$64,"&gt;"&amp;$E44)+1)</f>
        <v/>
      </c>
      <c r="N44" s="41">
        <f>IF($B44="","",IF(Entrevista!$H44="","",Entrevista!$H44))</f>
        <v/>
      </c>
      <c r="O44" s="30">
        <f>IF($B44="","",IF(Entrevista!$L44="","",Entrevista!$L44))</f>
        <v/>
      </c>
    </row>
    <row r="45" ht="14.25" customHeight="1" s="60">
      <c r="A45" s="30">
        <f>IF($B45="","",ROW()-4)</f>
        <v/>
      </c>
      <c r="C45" s="41" t="n"/>
      <c r="D45" s="41">
        <f>IF($B45="","",COUNTIFS('Avaliação'!$C$7:$C$206,$B45,'Avaliação'!$E$7:$E$206,"&gt;=0"))</f>
        <v/>
      </c>
      <c r="E45" s="33">
        <f>IF($B45="","",IFERROR(ROUND(AVERAGEIF('Avaliação'!$C$7:$C$206,$B45,'Avaliação'!$E$7:$E$206),2),""))</f>
        <v/>
      </c>
      <c r="F45" s="41">
        <f t="array" ref="F45">IF($B45="","",IFERROR(INDEX('Avaliação'!$E$7:$E$206,MATCH($B45,'Avaliação'!$C$7:$C$206,0)),""))</f>
        <v/>
      </c>
      <c r="G45" s="41">
        <f>IF($B45="","",IF($D45&lt;&gt;2,"",IF($F45="","",ROUND(SUMIF('Avaliação'!$C$7:$C$206,$B45,'Avaliação'!$E$7:$E$206)-$F45,2))))</f>
        <v/>
      </c>
      <c r="H45" s="41">
        <f>IF($B45="","",IF(OR($F45="",$G45=""),"",ROUND(ABS($F45-$G45),2)))</f>
        <v/>
      </c>
      <c r="I45" s="30">
        <f>IF($B45="","",IF($D45&lt;2,"⚠ falta 2º avaliador",IF($D45&gt;2,"⚠ mais de 2 avaliações — conferir",IF(AND(ISNUMBER($H45),$H45&gt;1),"⚠ divergência &gt; 1,0 — média suspensa, calibrar","OK"))))</f>
        <v/>
      </c>
      <c r="J45" s="30" t="n"/>
      <c r="K45" s="41" t="n"/>
      <c r="L45" s="35" t="n"/>
      <c r="M45" s="41">
        <f>IF($E45="","",COUNTIF($E$5:$E$64,"&gt;"&amp;$E45)+1)</f>
        <v/>
      </c>
      <c r="N45" s="41">
        <f>IF($B45="","",IF(Entrevista!$H45="","",Entrevista!$H45))</f>
        <v/>
      </c>
      <c r="O45" s="30">
        <f>IF($B45="","",IF(Entrevista!$L45="","",Entrevista!$L45))</f>
        <v/>
      </c>
    </row>
    <row r="46" ht="14.25" customHeight="1" s="60">
      <c r="A46" s="30">
        <f>IF($B46="","",ROW()-4)</f>
        <v/>
      </c>
      <c r="C46" s="41" t="n"/>
      <c r="D46" s="41">
        <f>IF($B46="","",COUNTIFS('Avaliação'!$C$7:$C$206,$B46,'Avaliação'!$E$7:$E$206,"&gt;=0"))</f>
        <v/>
      </c>
      <c r="E46" s="33">
        <f>IF($B46="","",IFERROR(ROUND(AVERAGEIF('Avaliação'!$C$7:$C$206,$B46,'Avaliação'!$E$7:$E$206),2),""))</f>
        <v/>
      </c>
      <c r="F46" s="41">
        <f t="array" ref="F46">IF($B46="","",IFERROR(INDEX('Avaliação'!$E$7:$E$206,MATCH($B46,'Avaliação'!$C$7:$C$206,0)),""))</f>
        <v/>
      </c>
      <c r="G46" s="41">
        <f>IF($B46="","",IF($D46&lt;&gt;2,"",IF($F46="","",ROUND(SUMIF('Avaliação'!$C$7:$C$206,$B46,'Avaliação'!$E$7:$E$206)-$F46,2))))</f>
        <v/>
      </c>
      <c r="H46" s="41">
        <f>IF($B46="","",IF(OR($F46="",$G46=""),"",ROUND(ABS($F46-$G46),2)))</f>
        <v/>
      </c>
      <c r="I46" s="30">
        <f>IF($B46="","",IF($D46&lt;2,"⚠ falta 2º avaliador",IF($D46&gt;2,"⚠ mais de 2 avaliações — conferir",IF(AND(ISNUMBER($H46),$H46&gt;1),"⚠ divergência &gt; 1,0 — média suspensa, calibrar","OK"))))</f>
        <v/>
      </c>
      <c r="J46" s="30" t="n"/>
      <c r="K46" s="41" t="n"/>
      <c r="L46" s="35" t="n"/>
      <c r="M46" s="41">
        <f>IF($E46="","",COUNTIF($E$5:$E$64,"&gt;"&amp;$E46)+1)</f>
        <v/>
      </c>
      <c r="N46" s="41">
        <f>IF($B46="","",IF(Entrevista!$H46="","",Entrevista!$H46))</f>
        <v/>
      </c>
      <c r="O46" s="30">
        <f>IF($B46="","",IF(Entrevista!$L46="","",Entrevista!$L46))</f>
        <v/>
      </c>
    </row>
    <row r="47" ht="14.25" customHeight="1" s="60">
      <c r="A47" s="30">
        <f>IF($B47="","",ROW()-4)</f>
        <v/>
      </c>
      <c r="C47" s="41" t="n"/>
      <c r="D47" s="41">
        <f>IF($B47="","",COUNTIFS('Avaliação'!$C$7:$C$206,$B47,'Avaliação'!$E$7:$E$206,"&gt;=0"))</f>
        <v/>
      </c>
      <c r="E47" s="33">
        <f>IF($B47="","",IFERROR(ROUND(AVERAGEIF('Avaliação'!$C$7:$C$206,$B47,'Avaliação'!$E$7:$E$206),2),""))</f>
        <v/>
      </c>
      <c r="F47" s="41">
        <f t="array" ref="F47">IF($B47="","",IFERROR(INDEX('Avaliação'!$E$7:$E$206,MATCH($B47,'Avaliação'!$C$7:$C$206,0)),""))</f>
        <v/>
      </c>
      <c r="G47" s="41">
        <f>IF($B47="","",IF($D47&lt;&gt;2,"",IF($F47="","",ROUND(SUMIF('Avaliação'!$C$7:$C$206,$B47,'Avaliação'!$E$7:$E$206)-$F47,2))))</f>
        <v/>
      </c>
      <c r="H47" s="41">
        <f>IF($B47="","",IF(OR($F47="",$G47=""),"",ROUND(ABS($F47-$G47),2)))</f>
        <v/>
      </c>
      <c r="I47" s="30">
        <f>IF($B47="","",IF($D47&lt;2,"⚠ falta 2º avaliador",IF($D47&gt;2,"⚠ mais de 2 avaliações — conferir",IF(AND(ISNUMBER($H47),$H47&gt;1),"⚠ divergência &gt; 1,0 — média suspensa, calibrar","OK"))))</f>
        <v/>
      </c>
      <c r="J47" s="30" t="n"/>
      <c r="K47" s="41" t="n"/>
      <c r="L47" s="35" t="n"/>
      <c r="M47" s="41">
        <f>IF($E47="","",COUNTIF($E$5:$E$64,"&gt;"&amp;$E47)+1)</f>
        <v/>
      </c>
      <c r="N47" s="41">
        <f>IF($B47="","",IF(Entrevista!$H47="","",Entrevista!$H47))</f>
        <v/>
      </c>
      <c r="O47" s="30">
        <f>IF($B47="","",IF(Entrevista!$L47="","",Entrevista!$L47))</f>
        <v/>
      </c>
    </row>
    <row r="48" ht="14.25" customHeight="1" s="60">
      <c r="A48" s="30">
        <f>IF($B48="","",ROW()-4)</f>
        <v/>
      </c>
      <c r="C48" s="41" t="n"/>
      <c r="D48" s="41">
        <f>IF($B48="","",COUNTIFS('Avaliação'!$C$7:$C$206,$B48,'Avaliação'!$E$7:$E$206,"&gt;=0"))</f>
        <v/>
      </c>
      <c r="E48" s="33">
        <f>IF($B48="","",IFERROR(ROUND(AVERAGEIF('Avaliação'!$C$7:$C$206,$B48,'Avaliação'!$E$7:$E$206),2),""))</f>
        <v/>
      </c>
      <c r="F48" s="41">
        <f t="array" ref="F48">IF($B48="","",IFERROR(INDEX('Avaliação'!$E$7:$E$206,MATCH($B48,'Avaliação'!$C$7:$C$206,0)),""))</f>
        <v/>
      </c>
      <c r="G48" s="41">
        <f>IF($B48="","",IF($D48&lt;&gt;2,"",IF($F48="","",ROUND(SUMIF('Avaliação'!$C$7:$C$206,$B48,'Avaliação'!$E$7:$E$206)-$F48,2))))</f>
        <v/>
      </c>
      <c r="H48" s="41">
        <f>IF($B48="","",IF(OR($F48="",$G48=""),"",ROUND(ABS($F48-$G48),2)))</f>
        <v/>
      </c>
      <c r="I48" s="30">
        <f>IF($B48="","",IF($D48&lt;2,"⚠ falta 2º avaliador",IF($D48&gt;2,"⚠ mais de 2 avaliações — conferir",IF(AND(ISNUMBER($H48),$H48&gt;1),"⚠ divergência &gt; 1,0 — média suspensa, calibrar","OK"))))</f>
        <v/>
      </c>
      <c r="J48" s="30" t="n"/>
      <c r="K48" s="41" t="n"/>
      <c r="L48" s="35" t="n"/>
      <c r="M48" s="41">
        <f>IF($E48="","",COUNTIF($E$5:$E$64,"&gt;"&amp;$E48)+1)</f>
        <v/>
      </c>
      <c r="N48" s="41">
        <f>IF($B48="","",IF(Entrevista!$H48="","",Entrevista!$H48))</f>
        <v/>
      </c>
      <c r="O48" s="30">
        <f>IF($B48="","",IF(Entrevista!$L48="","",Entrevista!$L48))</f>
        <v/>
      </c>
    </row>
    <row r="49" ht="14.25" customHeight="1" s="60">
      <c r="A49" s="30">
        <f>IF($B49="","",ROW()-4)</f>
        <v/>
      </c>
      <c r="C49" s="41" t="n"/>
      <c r="D49" s="41">
        <f>IF($B49="","",COUNTIFS('Avaliação'!$C$7:$C$206,$B49,'Avaliação'!$E$7:$E$206,"&gt;=0"))</f>
        <v/>
      </c>
      <c r="E49" s="33">
        <f>IF($B49="","",IFERROR(ROUND(AVERAGEIF('Avaliação'!$C$7:$C$206,$B49,'Avaliação'!$E$7:$E$206),2),""))</f>
        <v/>
      </c>
      <c r="F49" s="41">
        <f t="array" ref="F49">IF($B49="","",IFERROR(INDEX('Avaliação'!$E$7:$E$206,MATCH($B49,'Avaliação'!$C$7:$C$206,0)),""))</f>
        <v/>
      </c>
      <c r="G49" s="41">
        <f>IF($B49="","",IF($D49&lt;&gt;2,"",IF($F49="","",ROUND(SUMIF('Avaliação'!$C$7:$C$206,$B49,'Avaliação'!$E$7:$E$206)-$F49,2))))</f>
        <v/>
      </c>
      <c r="H49" s="41">
        <f>IF($B49="","",IF(OR($F49="",$G49=""),"",ROUND(ABS($F49-$G49),2)))</f>
        <v/>
      </c>
      <c r="I49" s="30">
        <f>IF($B49="","",IF($D49&lt;2,"⚠ falta 2º avaliador",IF($D49&gt;2,"⚠ mais de 2 avaliações — conferir",IF(AND(ISNUMBER($H49),$H49&gt;1),"⚠ divergência &gt; 1,0 — média suspensa, calibrar","OK"))))</f>
        <v/>
      </c>
      <c r="J49" s="30" t="n"/>
      <c r="K49" s="41" t="n"/>
      <c r="L49" s="35" t="n"/>
      <c r="M49" s="41">
        <f>IF($E49="","",COUNTIF($E$5:$E$64,"&gt;"&amp;$E49)+1)</f>
        <v/>
      </c>
      <c r="N49" s="41">
        <f>IF($B49="","",IF(Entrevista!$H49="","",Entrevista!$H49))</f>
        <v/>
      </c>
      <c r="O49" s="30">
        <f>IF($B49="","",IF(Entrevista!$L49="","",Entrevista!$L49))</f>
        <v/>
      </c>
    </row>
    <row r="50" ht="14.25" customHeight="1" s="60">
      <c r="A50" s="30">
        <f>IF($B50="","",ROW()-4)</f>
        <v/>
      </c>
      <c r="C50" s="41" t="n"/>
      <c r="D50" s="41">
        <f>IF($B50="","",COUNTIFS('Avaliação'!$C$7:$C$206,$B50,'Avaliação'!$E$7:$E$206,"&gt;=0"))</f>
        <v/>
      </c>
      <c r="E50" s="33">
        <f>IF($B50="","",IFERROR(ROUND(AVERAGEIF('Avaliação'!$C$7:$C$206,$B50,'Avaliação'!$E$7:$E$206),2),""))</f>
        <v/>
      </c>
      <c r="F50" s="41">
        <f t="array" ref="F50">IF($B50="","",IFERROR(INDEX('Avaliação'!$E$7:$E$206,MATCH($B50,'Avaliação'!$C$7:$C$206,0)),""))</f>
        <v/>
      </c>
      <c r="G50" s="41">
        <f>IF($B50="","",IF($D50&lt;&gt;2,"",IF($F50="","",ROUND(SUMIF('Avaliação'!$C$7:$C$206,$B50,'Avaliação'!$E$7:$E$206)-$F50,2))))</f>
        <v/>
      </c>
      <c r="H50" s="41">
        <f>IF($B50="","",IF(OR($F50="",$G50=""),"",ROUND(ABS($F50-$G50),2)))</f>
        <v/>
      </c>
      <c r="I50" s="30">
        <f>IF($B50="","",IF($D50&lt;2,"⚠ falta 2º avaliador",IF($D50&gt;2,"⚠ mais de 2 avaliações — conferir",IF(AND(ISNUMBER($H50),$H50&gt;1),"⚠ divergência &gt; 1,0 — média suspensa, calibrar","OK"))))</f>
        <v/>
      </c>
      <c r="J50" s="30" t="n"/>
      <c r="K50" s="41" t="n"/>
      <c r="L50" s="35" t="n"/>
      <c r="M50" s="41">
        <f>IF($E50="","",COUNTIF($E$5:$E$64,"&gt;"&amp;$E50)+1)</f>
        <v/>
      </c>
      <c r="N50" s="41">
        <f>IF($B50="","",IF(Entrevista!$H50="","",Entrevista!$H50))</f>
        <v/>
      </c>
      <c r="O50" s="30">
        <f>IF($B50="","",IF(Entrevista!$L50="","",Entrevista!$L50))</f>
        <v/>
      </c>
    </row>
    <row r="51" ht="14.25" customHeight="1" s="60">
      <c r="A51" s="30">
        <f>IF($B51="","",ROW()-4)</f>
        <v/>
      </c>
      <c r="C51" s="41" t="n"/>
      <c r="D51" s="41">
        <f>IF($B51="","",COUNTIFS('Avaliação'!$C$7:$C$206,$B51,'Avaliação'!$E$7:$E$206,"&gt;=0"))</f>
        <v/>
      </c>
      <c r="E51" s="33">
        <f>IF($B51="","",IFERROR(ROUND(AVERAGEIF('Avaliação'!$C$7:$C$206,$B51,'Avaliação'!$E$7:$E$206),2),""))</f>
        <v/>
      </c>
      <c r="F51" s="41">
        <f t="array" ref="F51">IF($B51="","",IFERROR(INDEX('Avaliação'!$E$7:$E$206,MATCH($B51,'Avaliação'!$C$7:$C$206,0)),""))</f>
        <v/>
      </c>
      <c r="G51" s="41">
        <f>IF($B51="","",IF($D51&lt;&gt;2,"",IF($F51="","",ROUND(SUMIF('Avaliação'!$C$7:$C$206,$B51,'Avaliação'!$E$7:$E$206)-$F51,2))))</f>
        <v/>
      </c>
      <c r="H51" s="41">
        <f>IF($B51="","",IF(OR($F51="",$G51=""),"",ROUND(ABS($F51-$G51),2)))</f>
        <v/>
      </c>
      <c r="I51" s="30">
        <f>IF($B51="","",IF($D51&lt;2,"⚠ falta 2º avaliador",IF($D51&gt;2,"⚠ mais de 2 avaliações — conferir",IF(AND(ISNUMBER($H51),$H51&gt;1),"⚠ divergência &gt; 1,0 — média suspensa, calibrar","OK"))))</f>
        <v/>
      </c>
      <c r="J51" s="30" t="n"/>
      <c r="K51" s="41" t="n"/>
      <c r="L51" s="35" t="n"/>
      <c r="M51" s="41">
        <f>IF($E51="","",COUNTIF($E$5:$E$64,"&gt;"&amp;$E51)+1)</f>
        <v/>
      </c>
      <c r="N51" s="41">
        <f>IF($B51="","",IF(Entrevista!$H51="","",Entrevista!$H51))</f>
        <v/>
      </c>
      <c r="O51" s="30">
        <f>IF($B51="","",IF(Entrevista!$L51="","",Entrevista!$L51))</f>
        <v/>
      </c>
    </row>
    <row r="52" ht="14.25" customHeight="1" s="60">
      <c r="A52" s="30">
        <f>IF($B52="","",ROW()-4)</f>
        <v/>
      </c>
      <c r="C52" s="41" t="n"/>
      <c r="D52" s="41">
        <f>IF($B52="","",COUNTIFS('Avaliação'!$C$7:$C$206,$B52,'Avaliação'!$E$7:$E$206,"&gt;=0"))</f>
        <v/>
      </c>
      <c r="E52" s="33">
        <f>IF($B52="","",IFERROR(ROUND(AVERAGEIF('Avaliação'!$C$7:$C$206,$B52,'Avaliação'!$E$7:$E$206),2),""))</f>
        <v/>
      </c>
      <c r="F52" s="41">
        <f t="array" ref="F52">IF($B52="","",IFERROR(INDEX('Avaliação'!$E$7:$E$206,MATCH($B52,'Avaliação'!$C$7:$C$206,0)),""))</f>
        <v/>
      </c>
      <c r="G52" s="41">
        <f>IF($B52="","",IF($D52&lt;&gt;2,"",IF($F52="","",ROUND(SUMIF('Avaliação'!$C$7:$C$206,$B52,'Avaliação'!$E$7:$E$206)-$F52,2))))</f>
        <v/>
      </c>
      <c r="H52" s="41">
        <f>IF($B52="","",IF(OR($F52="",$G52=""),"",ROUND(ABS($F52-$G52),2)))</f>
        <v/>
      </c>
      <c r="I52" s="30">
        <f>IF($B52="","",IF($D52&lt;2,"⚠ falta 2º avaliador",IF($D52&gt;2,"⚠ mais de 2 avaliações — conferir",IF(AND(ISNUMBER($H52),$H52&gt;1),"⚠ divergência &gt; 1,0 — média suspensa, calibrar","OK"))))</f>
        <v/>
      </c>
      <c r="J52" s="30" t="n"/>
      <c r="K52" s="41" t="n"/>
      <c r="L52" s="35" t="n"/>
      <c r="M52" s="41">
        <f>IF($E52="","",COUNTIF($E$5:$E$64,"&gt;"&amp;$E52)+1)</f>
        <v/>
      </c>
      <c r="N52" s="41">
        <f>IF($B52="","",IF(Entrevista!$H52="","",Entrevista!$H52))</f>
        <v/>
      </c>
      <c r="O52" s="30">
        <f>IF($B52="","",IF(Entrevista!$L52="","",Entrevista!$L52))</f>
        <v/>
      </c>
    </row>
    <row r="53" ht="14.25" customHeight="1" s="60">
      <c r="A53" s="30">
        <f>IF($B53="","",ROW()-4)</f>
        <v/>
      </c>
      <c r="C53" s="41" t="n"/>
      <c r="D53" s="41">
        <f>IF($B53="","",COUNTIFS('Avaliação'!$C$7:$C$206,$B53,'Avaliação'!$E$7:$E$206,"&gt;=0"))</f>
        <v/>
      </c>
      <c r="E53" s="33">
        <f>IF($B53="","",IFERROR(ROUND(AVERAGEIF('Avaliação'!$C$7:$C$206,$B53,'Avaliação'!$E$7:$E$206),2),""))</f>
        <v/>
      </c>
      <c r="F53" s="41">
        <f t="array" ref="F53">IF($B53="","",IFERROR(INDEX('Avaliação'!$E$7:$E$206,MATCH($B53,'Avaliação'!$C$7:$C$206,0)),""))</f>
        <v/>
      </c>
      <c r="G53" s="41">
        <f>IF($B53="","",IF($D53&lt;&gt;2,"",IF($F53="","",ROUND(SUMIF('Avaliação'!$C$7:$C$206,$B53,'Avaliação'!$E$7:$E$206)-$F53,2))))</f>
        <v/>
      </c>
      <c r="H53" s="41">
        <f>IF($B53="","",IF(OR($F53="",$G53=""),"",ROUND(ABS($F53-$G53),2)))</f>
        <v/>
      </c>
      <c r="I53" s="30">
        <f>IF($B53="","",IF($D53&lt;2,"⚠ falta 2º avaliador",IF($D53&gt;2,"⚠ mais de 2 avaliações — conferir",IF(AND(ISNUMBER($H53),$H53&gt;1),"⚠ divergência &gt; 1,0 — média suspensa, calibrar","OK"))))</f>
        <v/>
      </c>
      <c r="J53" s="30" t="n"/>
      <c r="K53" s="41" t="n"/>
      <c r="L53" s="35" t="n"/>
      <c r="M53" s="41">
        <f>IF($E53="","",COUNTIF($E$5:$E$64,"&gt;"&amp;$E53)+1)</f>
        <v/>
      </c>
      <c r="N53" s="41">
        <f>IF($B53="","",IF(Entrevista!$H53="","",Entrevista!$H53))</f>
        <v/>
      </c>
      <c r="O53" s="30">
        <f>IF($B53="","",IF(Entrevista!$L53="","",Entrevista!$L53))</f>
        <v/>
      </c>
    </row>
    <row r="54" ht="14.25" customHeight="1" s="60">
      <c r="A54" s="30">
        <f>IF($B54="","",ROW()-4)</f>
        <v/>
      </c>
      <c r="C54" s="41" t="n"/>
      <c r="D54" s="41">
        <f>IF($B54="","",COUNTIFS('Avaliação'!$C$7:$C$206,$B54,'Avaliação'!$E$7:$E$206,"&gt;=0"))</f>
        <v/>
      </c>
      <c r="E54" s="33">
        <f>IF($B54="","",IFERROR(ROUND(AVERAGEIF('Avaliação'!$C$7:$C$206,$B54,'Avaliação'!$E$7:$E$206),2),""))</f>
        <v/>
      </c>
      <c r="F54" s="41">
        <f t="array" ref="F54">IF($B54="","",IFERROR(INDEX('Avaliação'!$E$7:$E$206,MATCH($B54,'Avaliação'!$C$7:$C$206,0)),""))</f>
        <v/>
      </c>
      <c r="G54" s="41">
        <f>IF($B54="","",IF($D54&lt;&gt;2,"",IF($F54="","",ROUND(SUMIF('Avaliação'!$C$7:$C$206,$B54,'Avaliação'!$E$7:$E$206)-$F54,2))))</f>
        <v/>
      </c>
      <c r="H54" s="41">
        <f>IF($B54="","",IF(OR($F54="",$G54=""),"",ROUND(ABS($F54-$G54),2)))</f>
        <v/>
      </c>
      <c r="I54" s="30">
        <f>IF($B54="","",IF($D54&lt;2,"⚠ falta 2º avaliador",IF($D54&gt;2,"⚠ mais de 2 avaliações — conferir",IF(AND(ISNUMBER($H54),$H54&gt;1),"⚠ divergência &gt; 1,0 — média suspensa, calibrar","OK"))))</f>
        <v/>
      </c>
      <c r="J54" s="30" t="n"/>
      <c r="K54" s="41" t="n"/>
      <c r="L54" s="35" t="n"/>
      <c r="M54" s="41">
        <f>IF($E54="","",COUNTIF($E$5:$E$64,"&gt;"&amp;$E54)+1)</f>
        <v/>
      </c>
      <c r="N54" s="41">
        <f>IF($B54="","",IF(Entrevista!$H54="","",Entrevista!$H54))</f>
        <v/>
      </c>
      <c r="O54" s="30">
        <f>IF($B54="","",IF(Entrevista!$L54="","",Entrevista!$L54))</f>
        <v/>
      </c>
    </row>
    <row r="55" ht="14.25" customHeight="1" s="60">
      <c r="A55" s="30">
        <f>IF($B55="","",ROW()-4)</f>
        <v/>
      </c>
      <c r="C55" s="41" t="n"/>
      <c r="D55" s="41">
        <f>IF($B55="","",COUNTIFS('Avaliação'!$C$7:$C$206,$B55,'Avaliação'!$E$7:$E$206,"&gt;=0"))</f>
        <v/>
      </c>
      <c r="E55" s="33">
        <f>IF($B55="","",IFERROR(ROUND(AVERAGEIF('Avaliação'!$C$7:$C$206,$B55,'Avaliação'!$E$7:$E$206),2),""))</f>
        <v/>
      </c>
      <c r="F55" s="41">
        <f t="array" ref="F55">IF($B55="","",IFERROR(INDEX('Avaliação'!$E$7:$E$206,MATCH($B55,'Avaliação'!$C$7:$C$206,0)),""))</f>
        <v/>
      </c>
      <c r="G55" s="41">
        <f>IF($B55="","",IF($D55&lt;&gt;2,"",IF($F55="","",ROUND(SUMIF('Avaliação'!$C$7:$C$206,$B55,'Avaliação'!$E$7:$E$206)-$F55,2))))</f>
        <v/>
      </c>
      <c r="H55" s="41">
        <f>IF($B55="","",IF(OR($F55="",$G55=""),"",ROUND(ABS($F55-$G55),2)))</f>
        <v/>
      </c>
      <c r="I55" s="30">
        <f>IF($B55="","",IF($D55&lt;2,"⚠ falta 2º avaliador",IF($D55&gt;2,"⚠ mais de 2 avaliações — conferir",IF(AND(ISNUMBER($H55),$H55&gt;1),"⚠ divergência &gt; 1,0 — média suspensa, calibrar","OK"))))</f>
        <v/>
      </c>
      <c r="J55" s="30" t="n"/>
      <c r="K55" s="41" t="n"/>
      <c r="L55" s="35" t="n"/>
      <c r="M55" s="41">
        <f>IF($E55="","",COUNTIF($E$5:$E$64,"&gt;"&amp;$E55)+1)</f>
        <v/>
      </c>
      <c r="N55" s="41">
        <f>IF($B55="","",IF(Entrevista!$H55="","",Entrevista!$H55))</f>
        <v/>
      </c>
      <c r="O55" s="30">
        <f>IF($B55="","",IF(Entrevista!$L55="","",Entrevista!$L55))</f>
        <v/>
      </c>
    </row>
    <row r="56" ht="14.25" customHeight="1" s="60">
      <c r="A56" s="30">
        <f>IF($B56="","",ROW()-4)</f>
        <v/>
      </c>
      <c r="C56" s="41" t="n"/>
      <c r="D56" s="41">
        <f>IF($B56="","",COUNTIFS('Avaliação'!$C$7:$C$206,$B56,'Avaliação'!$E$7:$E$206,"&gt;=0"))</f>
        <v/>
      </c>
      <c r="E56" s="33">
        <f>IF($B56="","",IFERROR(ROUND(AVERAGEIF('Avaliação'!$C$7:$C$206,$B56,'Avaliação'!$E$7:$E$206),2),""))</f>
        <v/>
      </c>
      <c r="F56" s="41">
        <f t="array" ref="F56">IF($B56="","",IFERROR(INDEX('Avaliação'!$E$7:$E$206,MATCH($B56,'Avaliação'!$C$7:$C$206,0)),""))</f>
        <v/>
      </c>
      <c r="G56" s="41">
        <f>IF($B56="","",IF($D56&lt;&gt;2,"",IF($F56="","",ROUND(SUMIF('Avaliação'!$C$7:$C$206,$B56,'Avaliação'!$E$7:$E$206)-$F56,2))))</f>
        <v/>
      </c>
      <c r="H56" s="41">
        <f>IF($B56="","",IF(OR($F56="",$G56=""),"",ROUND(ABS($F56-$G56),2)))</f>
        <v/>
      </c>
      <c r="I56" s="30">
        <f>IF($B56="","",IF($D56&lt;2,"⚠ falta 2º avaliador",IF($D56&gt;2,"⚠ mais de 2 avaliações — conferir",IF(AND(ISNUMBER($H56),$H56&gt;1),"⚠ divergência &gt; 1,0 — média suspensa, calibrar","OK"))))</f>
        <v/>
      </c>
      <c r="J56" s="30" t="n"/>
      <c r="K56" s="41" t="n"/>
      <c r="L56" s="35" t="n"/>
      <c r="M56" s="41">
        <f>IF($E56="","",COUNTIF($E$5:$E$64,"&gt;"&amp;$E56)+1)</f>
        <v/>
      </c>
      <c r="N56" s="41">
        <f>IF($B56="","",IF(Entrevista!$H56="","",Entrevista!$H56))</f>
        <v/>
      </c>
      <c r="O56" s="30">
        <f>IF($B56="","",IF(Entrevista!$L56="","",Entrevista!$L56))</f>
        <v/>
      </c>
    </row>
    <row r="57" ht="14.25" customHeight="1" s="60">
      <c r="A57" s="30">
        <f>IF($B57="","",ROW()-4)</f>
        <v/>
      </c>
      <c r="C57" s="41" t="n"/>
      <c r="D57" s="41">
        <f>IF($B57="","",COUNTIFS('Avaliação'!$C$7:$C$206,$B57,'Avaliação'!$E$7:$E$206,"&gt;=0"))</f>
        <v/>
      </c>
      <c r="E57" s="33">
        <f>IF($B57="","",IFERROR(ROUND(AVERAGEIF('Avaliação'!$C$7:$C$206,$B57,'Avaliação'!$E$7:$E$206),2),""))</f>
        <v/>
      </c>
      <c r="F57" s="41">
        <f t="array" ref="F57">IF($B57="","",IFERROR(INDEX('Avaliação'!$E$7:$E$206,MATCH($B57,'Avaliação'!$C$7:$C$206,0)),""))</f>
        <v/>
      </c>
      <c r="G57" s="41">
        <f>IF($B57="","",IF($D57&lt;&gt;2,"",IF($F57="","",ROUND(SUMIF('Avaliação'!$C$7:$C$206,$B57,'Avaliação'!$E$7:$E$206)-$F57,2))))</f>
        <v/>
      </c>
      <c r="H57" s="41">
        <f>IF($B57="","",IF(OR($F57="",$G57=""),"",ROUND(ABS($F57-$G57),2)))</f>
        <v/>
      </c>
      <c r="I57" s="30">
        <f>IF($B57="","",IF($D57&lt;2,"⚠ falta 2º avaliador",IF($D57&gt;2,"⚠ mais de 2 avaliações — conferir",IF(AND(ISNUMBER($H57),$H57&gt;1),"⚠ divergência &gt; 1,0 — média suspensa, calibrar","OK"))))</f>
        <v/>
      </c>
      <c r="J57" s="30" t="n"/>
      <c r="K57" s="41" t="n"/>
      <c r="L57" s="35" t="n"/>
      <c r="M57" s="41">
        <f>IF($E57="","",COUNTIF($E$5:$E$64,"&gt;"&amp;$E57)+1)</f>
        <v/>
      </c>
      <c r="N57" s="41">
        <f>IF($B57="","",IF(Entrevista!$H57="","",Entrevista!$H57))</f>
        <v/>
      </c>
      <c r="O57" s="30">
        <f>IF($B57="","",IF(Entrevista!$L57="","",Entrevista!$L57))</f>
        <v/>
      </c>
    </row>
    <row r="58" ht="14.25" customHeight="1" s="60">
      <c r="A58" s="30">
        <f>IF($B58="","",ROW()-4)</f>
        <v/>
      </c>
      <c r="C58" s="41" t="n"/>
      <c r="D58" s="41">
        <f>IF($B58="","",COUNTIFS('Avaliação'!$C$7:$C$206,$B58,'Avaliação'!$E$7:$E$206,"&gt;=0"))</f>
        <v/>
      </c>
      <c r="E58" s="33">
        <f>IF($B58="","",IFERROR(ROUND(AVERAGEIF('Avaliação'!$C$7:$C$206,$B58,'Avaliação'!$E$7:$E$206),2),""))</f>
        <v/>
      </c>
      <c r="F58" s="41">
        <f t="array" ref="F58">IF($B58="","",IFERROR(INDEX('Avaliação'!$E$7:$E$206,MATCH($B58,'Avaliação'!$C$7:$C$206,0)),""))</f>
        <v/>
      </c>
      <c r="G58" s="41">
        <f>IF($B58="","",IF($D58&lt;&gt;2,"",IF($F58="","",ROUND(SUMIF('Avaliação'!$C$7:$C$206,$B58,'Avaliação'!$E$7:$E$206)-$F58,2))))</f>
        <v/>
      </c>
      <c r="H58" s="41">
        <f>IF($B58="","",IF(OR($F58="",$G58=""),"",ROUND(ABS($F58-$G58),2)))</f>
        <v/>
      </c>
      <c r="I58" s="30">
        <f>IF($B58="","",IF($D58&lt;2,"⚠ falta 2º avaliador",IF($D58&gt;2,"⚠ mais de 2 avaliações — conferir",IF(AND(ISNUMBER($H58),$H58&gt;1),"⚠ divergência &gt; 1,0 — média suspensa, calibrar","OK"))))</f>
        <v/>
      </c>
      <c r="J58" s="30" t="n"/>
      <c r="K58" s="41" t="n"/>
      <c r="L58" s="35" t="n"/>
      <c r="M58" s="41">
        <f>IF($E58="","",COUNTIF($E$5:$E$64,"&gt;"&amp;$E58)+1)</f>
        <v/>
      </c>
      <c r="N58" s="41">
        <f>IF($B58="","",IF(Entrevista!$H58="","",Entrevista!$H58))</f>
        <v/>
      </c>
      <c r="O58" s="30">
        <f>IF($B58="","",IF(Entrevista!$L58="","",Entrevista!$L58))</f>
        <v/>
      </c>
    </row>
    <row r="59" ht="14.25" customHeight="1" s="60">
      <c r="A59" s="30">
        <f>IF($B59="","",ROW()-4)</f>
        <v/>
      </c>
      <c r="C59" s="41" t="n"/>
      <c r="D59" s="41">
        <f>IF($B59="","",COUNTIFS('Avaliação'!$C$7:$C$206,$B59,'Avaliação'!$E$7:$E$206,"&gt;=0"))</f>
        <v/>
      </c>
      <c r="E59" s="33">
        <f>IF($B59="","",IFERROR(ROUND(AVERAGEIF('Avaliação'!$C$7:$C$206,$B59,'Avaliação'!$E$7:$E$206),2),""))</f>
        <v/>
      </c>
      <c r="F59" s="41">
        <f t="array" ref="F59">IF($B59="","",IFERROR(INDEX('Avaliação'!$E$7:$E$206,MATCH($B59,'Avaliação'!$C$7:$C$206,0)),""))</f>
        <v/>
      </c>
      <c r="G59" s="41">
        <f>IF($B59="","",IF($D59&lt;&gt;2,"",IF($F59="","",ROUND(SUMIF('Avaliação'!$C$7:$C$206,$B59,'Avaliação'!$E$7:$E$206)-$F59,2))))</f>
        <v/>
      </c>
      <c r="H59" s="41">
        <f>IF($B59="","",IF(OR($F59="",$G59=""),"",ROUND(ABS($F59-$G59),2)))</f>
        <v/>
      </c>
      <c r="I59" s="30">
        <f>IF($B59="","",IF($D59&lt;2,"⚠ falta 2º avaliador",IF($D59&gt;2,"⚠ mais de 2 avaliações — conferir",IF(AND(ISNUMBER($H59),$H59&gt;1),"⚠ divergência &gt; 1,0 — média suspensa, calibrar","OK"))))</f>
        <v/>
      </c>
      <c r="J59" s="30" t="n"/>
      <c r="K59" s="41" t="n"/>
      <c r="L59" s="35" t="n"/>
      <c r="M59" s="41">
        <f>IF($E59="","",COUNTIF($E$5:$E$64,"&gt;"&amp;$E59)+1)</f>
        <v/>
      </c>
      <c r="N59" s="41">
        <f>IF($B59="","",IF(Entrevista!$H59="","",Entrevista!$H59))</f>
        <v/>
      </c>
      <c r="O59" s="30">
        <f>IF($B59="","",IF(Entrevista!$L59="","",Entrevista!$L59))</f>
        <v/>
      </c>
    </row>
    <row r="60" ht="14.25" customHeight="1" s="60">
      <c r="A60" s="30">
        <f>IF($B60="","",ROW()-4)</f>
        <v/>
      </c>
      <c r="C60" s="41" t="n"/>
      <c r="D60" s="41">
        <f>IF($B60="","",COUNTIFS('Avaliação'!$C$7:$C$206,$B60,'Avaliação'!$E$7:$E$206,"&gt;=0"))</f>
        <v/>
      </c>
      <c r="E60" s="33">
        <f>IF($B60="","",IFERROR(ROUND(AVERAGEIF('Avaliação'!$C$7:$C$206,$B60,'Avaliação'!$E$7:$E$206),2),""))</f>
        <v/>
      </c>
      <c r="F60" s="41">
        <f t="array" ref="F60">IF($B60="","",IFERROR(INDEX('Avaliação'!$E$7:$E$206,MATCH($B60,'Avaliação'!$C$7:$C$206,0)),""))</f>
        <v/>
      </c>
      <c r="G60" s="41">
        <f>IF($B60="","",IF($D60&lt;&gt;2,"",IF($F60="","",ROUND(SUMIF('Avaliação'!$C$7:$C$206,$B60,'Avaliação'!$E$7:$E$206)-$F60,2))))</f>
        <v/>
      </c>
      <c r="H60" s="41">
        <f>IF($B60="","",IF(OR($F60="",$G60=""),"",ROUND(ABS($F60-$G60),2)))</f>
        <v/>
      </c>
      <c r="I60" s="30">
        <f>IF($B60="","",IF($D60&lt;2,"⚠ falta 2º avaliador",IF($D60&gt;2,"⚠ mais de 2 avaliações — conferir",IF(AND(ISNUMBER($H60),$H60&gt;1),"⚠ divergência &gt; 1,0 — média suspensa, calibrar","OK"))))</f>
        <v/>
      </c>
      <c r="J60" s="30" t="n"/>
      <c r="K60" s="41" t="n"/>
      <c r="L60" s="35" t="n"/>
      <c r="M60" s="41">
        <f>IF($E60="","",COUNTIF($E$5:$E$64,"&gt;"&amp;$E60)+1)</f>
        <v/>
      </c>
      <c r="N60" s="41">
        <f>IF($B60="","",IF(Entrevista!$H60="","",Entrevista!$H60))</f>
        <v/>
      </c>
      <c r="O60" s="30">
        <f>IF($B60="","",IF(Entrevista!$L60="","",Entrevista!$L60))</f>
        <v/>
      </c>
    </row>
    <row r="61" ht="14.25" customHeight="1" s="60">
      <c r="A61" s="30">
        <f>IF($B61="","",ROW()-4)</f>
        <v/>
      </c>
      <c r="C61" s="41" t="n"/>
      <c r="D61" s="41">
        <f>IF($B61="","",COUNTIFS('Avaliação'!$C$7:$C$206,$B61,'Avaliação'!$E$7:$E$206,"&gt;=0"))</f>
        <v/>
      </c>
      <c r="E61" s="33">
        <f>IF($B61="","",IFERROR(ROUND(AVERAGEIF('Avaliação'!$C$7:$C$206,$B61,'Avaliação'!$E$7:$E$206),2),""))</f>
        <v/>
      </c>
      <c r="F61" s="41">
        <f t="array" ref="F61">IF($B61="","",IFERROR(INDEX('Avaliação'!$E$7:$E$206,MATCH($B61,'Avaliação'!$C$7:$C$206,0)),""))</f>
        <v/>
      </c>
      <c r="G61" s="41">
        <f>IF($B61="","",IF($D61&lt;&gt;2,"",IF($F61="","",ROUND(SUMIF('Avaliação'!$C$7:$C$206,$B61,'Avaliação'!$E$7:$E$206)-$F61,2))))</f>
        <v/>
      </c>
      <c r="H61" s="41">
        <f>IF($B61="","",IF(OR($F61="",$G61=""),"",ROUND(ABS($F61-$G61),2)))</f>
        <v/>
      </c>
      <c r="I61" s="30">
        <f>IF($B61="","",IF($D61&lt;2,"⚠ falta 2º avaliador",IF($D61&gt;2,"⚠ mais de 2 avaliações — conferir",IF(AND(ISNUMBER($H61),$H61&gt;1),"⚠ divergência &gt; 1,0 — média suspensa, calibrar","OK"))))</f>
        <v/>
      </c>
      <c r="J61" s="30" t="n"/>
      <c r="K61" s="41" t="n"/>
      <c r="L61" s="35" t="n"/>
      <c r="M61" s="41">
        <f>IF($E61="","",COUNTIF($E$5:$E$64,"&gt;"&amp;$E61)+1)</f>
        <v/>
      </c>
      <c r="N61" s="41">
        <f>IF($B61="","",IF(Entrevista!$H61="","",Entrevista!$H61))</f>
        <v/>
      </c>
      <c r="O61" s="30">
        <f>IF($B61="","",IF(Entrevista!$L61="","",Entrevista!$L61))</f>
        <v/>
      </c>
    </row>
    <row r="62" ht="14.25" customHeight="1" s="60">
      <c r="A62" s="30">
        <f>IF($B62="","",ROW()-4)</f>
        <v/>
      </c>
      <c r="C62" s="41" t="n"/>
      <c r="D62" s="41">
        <f>IF($B62="","",COUNTIFS('Avaliação'!$C$7:$C$206,$B62,'Avaliação'!$E$7:$E$206,"&gt;=0"))</f>
        <v/>
      </c>
      <c r="E62" s="33">
        <f>IF($B62="","",IFERROR(ROUND(AVERAGEIF('Avaliação'!$C$7:$C$206,$B62,'Avaliação'!$E$7:$E$206),2),""))</f>
        <v/>
      </c>
      <c r="F62" s="41">
        <f t="array" ref="F62">IF($B62="","",IFERROR(INDEX('Avaliação'!$E$7:$E$206,MATCH($B62,'Avaliação'!$C$7:$C$206,0)),""))</f>
        <v/>
      </c>
      <c r="G62" s="41">
        <f>IF($B62="","",IF($D62&lt;&gt;2,"",IF($F62="","",ROUND(SUMIF('Avaliação'!$C$7:$C$206,$B62,'Avaliação'!$E$7:$E$206)-$F62,2))))</f>
        <v/>
      </c>
      <c r="H62" s="41">
        <f>IF($B62="","",IF(OR($F62="",$G62=""),"",ROUND(ABS($F62-$G62),2)))</f>
        <v/>
      </c>
      <c r="I62" s="30">
        <f>IF($B62="","",IF($D62&lt;2,"⚠ falta 2º avaliador",IF($D62&gt;2,"⚠ mais de 2 avaliações — conferir",IF(AND(ISNUMBER($H62),$H62&gt;1),"⚠ divergência &gt; 1,0 — média suspensa, calibrar","OK"))))</f>
        <v/>
      </c>
      <c r="J62" s="30" t="n"/>
      <c r="K62" s="41" t="n"/>
      <c r="L62" s="35" t="n"/>
      <c r="M62" s="41">
        <f>IF($E62="","",COUNTIF($E$5:$E$64,"&gt;"&amp;$E62)+1)</f>
        <v/>
      </c>
      <c r="N62" s="41">
        <f>IF($B62="","",IF(Entrevista!$H62="","",Entrevista!$H62))</f>
        <v/>
      </c>
      <c r="O62" s="30">
        <f>IF($B62="","",IF(Entrevista!$L62="","",Entrevista!$L62))</f>
        <v/>
      </c>
    </row>
    <row r="63" ht="14.25" customHeight="1" s="60">
      <c r="A63" s="30">
        <f>IF($B63="","",ROW()-4)</f>
        <v/>
      </c>
      <c r="C63" s="41" t="n"/>
      <c r="D63" s="41">
        <f>IF($B63="","",COUNTIFS('Avaliação'!$C$7:$C$206,$B63,'Avaliação'!$E$7:$E$206,"&gt;=0"))</f>
        <v/>
      </c>
      <c r="E63" s="33">
        <f>IF($B63="","",IFERROR(ROUND(AVERAGEIF('Avaliação'!$C$7:$C$206,$B63,'Avaliação'!$E$7:$E$206),2),""))</f>
        <v/>
      </c>
      <c r="F63" s="41">
        <f t="array" ref="F63">IF($B63="","",IFERROR(INDEX('Avaliação'!$E$7:$E$206,MATCH($B63,'Avaliação'!$C$7:$C$206,0)),""))</f>
        <v/>
      </c>
      <c r="G63" s="41">
        <f>IF($B63="","",IF($D63&lt;&gt;2,"",IF($F63="","",ROUND(SUMIF('Avaliação'!$C$7:$C$206,$B63,'Avaliação'!$E$7:$E$206)-$F63,2))))</f>
        <v/>
      </c>
      <c r="H63" s="41">
        <f>IF($B63="","",IF(OR($F63="",$G63=""),"",ROUND(ABS($F63-$G63),2)))</f>
        <v/>
      </c>
      <c r="I63" s="30">
        <f>IF($B63="","",IF($D63&lt;2,"⚠ falta 2º avaliador",IF($D63&gt;2,"⚠ mais de 2 avaliações — conferir",IF(AND(ISNUMBER($H63),$H63&gt;1),"⚠ divergência &gt; 1,0 — média suspensa, calibrar","OK"))))</f>
        <v/>
      </c>
      <c r="J63" s="30" t="n"/>
      <c r="K63" s="41" t="n"/>
      <c r="L63" s="35" t="n"/>
      <c r="M63" s="41">
        <f>IF($E63="","",COUNTIF($E$5:$E$64,"&gt;"&amp;$E63)+1)</f>
        <v/>
      </c>
      <c r="N63" s="41">
        <f>IF($B63="","",IF(Entrevista!$H63="","",Entrevista!$H63))</f>
        <v/>
      </c>
      <c r="O63" s="30">
        <f>IF($B63="","",IF(Entrevista!$L63="","",Entrevista!$L63))</f>
        <v/>
      </c>
    </row>
    <row r="64" ht="14.25" customHeight="1" s="60">
      <c r="A64" s="30">
        <f>IF($B64="","",ROW()-4)</f>
        <v/>
      </c>
      <c r="C64" s="41" t="n"/>
      <c r="D64" s="41">
        <f>IF($B64="","",COUNTIFS('Avaliação'!$C$7:$C$206,$B64,'Avaliação'!$E$7:$E$206,"&gt;=0"))</f>
        <v/>
      </c>
      <c r="E64" s="33">
        <f>IF($B64="","",IFERROR(ROUND(AVERAGEIF('Avaliação'!$C$7:$C$206,$B64,'Avaliação'!$E$7:$E$206),2),""))</f>
        <v/>
      </c>
      <c r="F64" s="41">
        <f t="array" ref="F64">IF($B64="","",IFERROR(INDEX('Avaliação'!$E$7:$E$206,MATCH($B64,'Avaliação'!$C$7:$C$206,0)),""))</f>
        <v/>
      </c>
      <c r="G64" s="41">
        <f>IF($B64="","",IF($D64&lt;&gt;2,"",IF($F64="","",ROUND(SUMIF('Avaliação'!$C$7:$C$206,$B64,'Avaliação'!$E$7:$E$206)-$F64,2))))</f>
        <v/>
      </c>
      <c r="H64" s="41">
        <f>IF($B64="","",IF(OR($F64="",$G64=""),"",ROUND(ABS($F64-$G64),2)))</f>
        <v/>
      </c>
      <c r="I64" s="30">
        <f>IF($B64="","",IF($D64&lt;2,"⚠ falta 2º avaliador",IF($D64&gt;2,"⚠ mais de 2 avaliações — conferir",IF(AND(ISNUMBER($H64),$H64&gt;1),"⚠ divergência &gt; 1,0 — média suspensa, calibrar","OK"))))</f>
        <v/>
      </c>
      <c r="J64" s="30" t="n"/>
      <c r="K64" s="41" t="n"/>
      <c r="L64" s="35" t="n"/>
      <c r="M64" s="41">
        <f>IF($E64="","",COUNTIF($E$5:$E$64,"&gt;"&amp;$E64)+1)</f>
        <v/>
      </c>
      <c r="N64" s="41">
        <f>IF($B64="","",IF(Entrevista!$H64="","",Entrevista!$H64))</f>
        <v/>
      </c>
      <c r="O64" s="30">
        <f>IF($B64="","",IF(Entrevista!$L64="","",Entrevista!$L64))</f>
        <v/>
      </c>
    </row>
    <row r="65" ht="14.25" customHeight="1" s="60"/>
    <row r="66" ht="24" customHeight="1" s="60">
      <c r="B66" s="59" t="inlineStr">
        <is>
          <t>NOTA FINAL = média das notas dos dois avaliadores (6,0 e 7,0 -&gt; 6,50). Se a diferença passar de 1,0, a média fica suspensa: conversem e refaçam o critério que divergiu.</t>
        </is>
      </c>
    </row>
    <row r="67" ht="24" customHeight="1" s="60">
      <c r="B67" s="59" t="inlineStr">
        <is>
          <t>FLAG: não soma nem subtrai ponto e nunca elimina. Ela (i) obriga uma pergunta específica na entrevista e (ii) só desempata entre candidatos a menos de 0,3 ponto um do outro.</t>
        </is>
      </c>
    </row>
    <row r="68" ht="24" customHeight="1" s="60">
      <c r="B68" s="59" t="inlineStr">
        <is>
          <t>HORAS/SEM: o que o candidato declarou no formulário. Em 2025.2 a mediana foi 8h (de 4 a 40). Abaixo de 6h acende vermelho — é conversa de entrevista, não corte.</t>
        </is>
      </c>
    </row>
    <row r="69" ht="24" customHeight="1" s="60">
      <c r="B69" s="59" t="inlineStr">
        <is>
          <t>ENTREVISTA: as duas últimas colunas vêm da aba Entrevista, não se digita aqui. 'Não OK' na checagem de propriedade é VETO — derruba independentemente da nota.</t>
        </is>
      </c>
    </row>
    <row r="70" ht="24" customHeight="1" s="60">
      <c r="B70" s="59" t="inlineStr">
        <is>
          <t>NOTA AMARELA = provisória: veio de UM avaliador só. Ela entra no ranking normalmente, mas não é comparável com as médias de dois — carrega inteira a severidade de quem corrigiu (0,89 pt de amplitude entre avaliadores no PS 2026-1S). Não feche corte com amarelo na lista.</t>
        </is>
      </c>
    </row>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7">
    <mergeCell ref="B69:O69"/>
    <mergeCell ref="B70:O70"/>
    <mergeCell ref="B68:O68"/>
    <mergeCell ref="B2:O2"/>
    <mergeCell ref="B3:O3"/>
    <mergeCell ref="B67:O67"/>
    <mergeCell ref="B66:O66"/>
  </mergeCells>
  <conditionalFormatting sqref="E5:E64">
    <cfRule type="expression" priority="1" dxfId="3" stopIfTrue="1">
      <formula>AND($B5&lt;&gt;"",$D5&lt;2)</formula>
    </cfRule>
    <cfRule type="cellIs" priority="2" operator="greaterThanOrEqual" dxfId="0">
      <formula>7</formula>
    </cfRule>
  </conditionalFormatting>
  <conditionalFormatting sqref="I5:I64">
    <cfRule type="expression" priority="3" dxfId="3">
      <formula>LEFT($I5,1)="⚠"</formula>
    </cfRule>
  </conditionalFormatting>
  <conditionalFormatting sqref="K5:K64">
    <cfRule type="cellIs" priority="4" operator="lessThan" dxfId="2">
      <formula>6</formula>
    </cfRule>
  </conditionalFormatting>
  <conditionalFormatting sqref="N5:N64">
    <cfRule type="cellIs" priority="5" operator="equal" dxfId="2">
      <formula>"Não OK"</formula>
    </cfRule>
  </conditionalFormatting>
  <dataValidations count="1">
    <dataValidation sqref="J5:J64" showDropDown="0" showInputMessage="0" showErrorMessage="0" allowBlank="1" type="list">
      <formula1>"🔴 EVASÃO,🟡 CARGA,⚪ sem sinal"</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2:M69"/>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0" min="1" max="1"/>
    <col width="34" customWidth="1" style="60" min="2" max="2"/>
    <col width="33.29" customWidth="1" style="60" min="3" max="3"/>
    <col width="12" customWidth="1" style="60" min="4" max="5"/>
    <col width="22" customWidth="1" style="60" min="6" max="6"/>
    <col width="11" customWidth="1" style="60" min="7" max="7"/>
    <col width="20" customWidth="1" style="60" min="8" max="8"/>
    <col width="30" customWidth="1" style="60" min="9" max="9"/>
    <col width="42" customWidth="1" style="60" min="10" max="10"/>
    <col width="46" customWidth="1" style="60" min="11" max="11"/>
    <col width="14" customWidth="1" style="60" min="12" max="12"/>
    <col width="40" customWidth="1" style="60" min="13" max="13"/>
    <col width="8.710000000000001" customWidth="1" style="60" min="14" max="27"/>
  </cols>
  <sheetData>
    <row r="1" ht="14.25" customHeight="1" s="60"/>
    <row r="2" ht="25.5" customHeight="1" s="60">
      <c r="B2" s="66" t="inlineStr">
        <is>
          <t>ENTREVISTA — nesta versão NÃO pontua. Ela veta, desempata e registra.</t>
        </is>
      </c>
    </row>
    <row r="3" ht="42" customHeight="1" s="60">
      <c r="B3" s="65" t="inlineStr">
        <is>
          <t>⚠  A entrevista não é formalidade. Em 2025.2 ela cortou 10 dos 23 convocados (43%): o 3º colocado (8,15) foi cortado e o 20º (5,42) foi aprovado. Em 2026.1 não sobrou registro nenhum do que ela decidiu. Preencher esta aba é o mínimo para a próxima gestão saber o que aconteceu aqui.</t>
        </is>
      </c>
    </row>
    <row r="4" ht="30" customHeight="1" s="60">
      <c r="A4" s="24" t="inlineStr">
        <is>
          <t>#</t>
        </is>
      </c>
      <c r="B4" s="24" t="inlineStr">
        <is>
          <t>Candidato(a)</t>
        </is>
      </c>
      <c r="C4" s="24" t="inlineStr">
        <is>
          <t>Nome</t>
        </is>
      </c>
      <c r="D4" s="24" t="inlineStr">
        <is>
          <t>Nota do case</t>
        </is>
      </c>
      <c r="E4" s="24" t="inlineStr">
        <is>
          <t>Flag</t>
        </is>
      </c>
      <c r="F4" s="24" t="inlineStr">
        <is>
          <t>Entrevistador(es)</t>
        </is>
      </c>
      <c r="G4" s="24" t="inlineStr">
        <is>
          <t>Data</t>
        </is>
      </c>
      <c r="H4" s="24" t="inlineStr">
        <is>
          <t>Refez a conta ao vivo?</t>
        </is>
      </c>
      <c r="I4" s="24" t="inlineStr">
        <is>
          <t>Qual conta foi pedida</t>
        </is>
      </c>
      <c r="J4" s="24" t="inlineStr">
        <is>
          <t>Pergunta da flag + resposta</t>
        </is>
      </c>
      <c r="K4" s="24" t="inlineStr">
        <is>
          <t>Observações da entrevista</t>
        </is>
      </c>
      <c r="L4" s="24" t="inlineStr">
        <is>
          <t>Decisão</t>
        </is>
      </c>
      <c r="M4" s="24" t="inlineStr">
        <is>
          <t>Motivo da decisão</t>
        </is>
      </c>
    </row>
    <row r="5" ht="14.25" customHeight="1" s="60">
      <c r="A5" s="41">
        <f>IF($B5="","",ROW()-4)</f>
        <v/>
      </c>
      <c r="D5" s="39">
        <f>IF($B5="","",Consolidado!$E5)</f>
        <v/>
      </c>
      <c r="E5" s="41">
        <f>IF($B5="","",Consolidado!$J5)</f>
        <v/>
      </c>
      <c r="G5" s="40" t="n"/>
      <c r="H5" s="41" t="n"/>
      <c r="I5" s="35" t="n"/>
      <c r="J5" s="35" t="n"/>
      <c r="K5" s="35" t="n"/>
      <c r="L5" s="30" t="n"/>
      <c r="M5" s="35" t="n"/>
    </row>
    <row r="6" ht="14.25" customHeight="1" s="60">
      <c r="A6" s="41">
        <f>IF($B6="","",ROW()-4)</f>
        <v/>
      </c>
      <c r="D6" s="39">
        <f>IF($B6="","",Consolidado!$E6)</f>
        <v/>
      </c>
      <c r="E6" s="41">
        <f>IF($B6="","",Consolidado!$J6)</f>
        <v/>
      </c>
      <c r="G6" s="40" t="n"/>
      <c r="H6" s="41" t="n"/>
      <c r="I6" s="35" t="n"/>
      <c r="J6" s="35" t="n"/>
      <c r="K6" s="35" t="n"/>
      <c r="L6" s="30" t="n"/>
      <c r="M6" s="35" t="n"/>
    </row>
    <row r="7" ht="14.25" customHeight="1" s="60">
      <c r="A7" s="41">
        <f>IF($B7="","",ROW()-4)</f>
        <v/>
      </c>
      <c r="D7" s="39">
        <f>IF($B7="","",Consolidado!$E7)</f>
        <v/>
      </c>
      <c r="E7" s="41">
        <f>IF($B7="","",Consolidado!$J7)</f>
        <v/>
      </c>
      <c r="G7" s="40" t="n"/>
      <c r="H7" s="41" t="n"/>
      <c r="I7" s="35" t="n"/>
      <c r="J7" s="35" t="n"/>
      <c r="K7" s="35" t="n"/>
      <c r="L7" s="30" t="n"/>
      <c r="M7" s="35" t="n"/>
    </row>
    <row r="8" ht="14.25" customHeight="1" s="60">
      <c r="A8" s="41">
        <f>IF($B8="","",ROW()-4)</f>
        <v/>
      </c>
      <c r="D8" s="39">
        <f>IF($B8="","",Consolidado!$E8)</f>
        <v/>
      </c>
      <c r="E8" s="41">
        <f>IF($B8="","",Consolidado!$J8)</f>
        <v/>
      </c>
      <c r="G8" s="40" t="n"/>
      <c r="H8" s="41" t="n"/>
      <c r="I8" s="35" t="n"/>
      <c r="J8" s="35" t="n"/>
      <c r="K8" s="35" t="n"/>
      <c r="L8" s="30" t="n"/>
      <c r="M8" s="35" t="n"/>
    </row>
    <row r="9" ht="14.25" customHeight="1" s="60">
      <c r="A9" s="41">
        <f>IF($B9="","",ROW()-4)</f>
        <v/>
      </c>
      <c r="D9" s="39">
        <f>IF($B9="","",Consolidado!$E9)</f>
        <v/>
      </c>
      <c r="E9" s="41">
        <f>IF($B9="","",Consolidado!$J9)</f>
        <v/>
      </c>
      <c r="G9" s="40" t="n"/>
      <c r="H9" s="41" t="n"/>
      <c r="I9" s="35" t="n"/>
      <c r="J9" s="35" t="n"/>
      <c r="K9" s="35" t="n"/>
      <c r="L9" s="30" t="n"/>
      <c r="M9" s="35" t="n"/>
    </row>
    <row r="10" ht="14.25" customHeight="1" s="60">
      <c r="A10" s="41">
        <f>IF($B10="","",ROW()-4)</f>
        <v/>
      </c>
      <c r="D10" s="39">
        <f>IF($B10="","",Consolidado!$E10)</f>
        <v/>
      </c>
      <c r="E10" s="41">
        <f>IF($B10="","",Consolidado!$J10)</f>
        <v/>
      </c>
      <c r="G10" s="40" t="n"/>
      <c r="H10" s="41" t="n"/>
      <c r="I10" s="35" t="n"/>
      <c r="J10" s="35" t="n"/>
      <c r="K10" s="35" t="n"/>
      <c r="L10" s="30" t="n"/>
      <c r="M10" s="35" t="n"/>
    </row>
    <row r="11" ht="14.25" customHeight="1" s="60">
      <c r="A11" s="41">
        <f>IF($B11="","",ROW()-4)</f>
        <v/>
      </c>
      <c r="D11" s="39">
        <f>IF($B11="","",Consolidado!$E11)</f>
        <v/>
      </c>
      <c r="E11" s="41">
        <f>IF($B11="","",Consolidado!$J11)</f>
        <v/>
      </c>
      <c r="G11" s="40" t="n"/>
      <c r="H11" s="41" t="n"/>
      <c r="I11" s="35" t="n"/>
      <c r="J11" s="35" t="n"/>
      <c r="K11" s="35" t="n"/>
      <c r="L11" s="30" t="n"/>
      <c r="M11" s="35" t="n"/>
    </row>
    <row r="12" ht="14.25" customHeight="1" s="60">
      <c r="A12" s="41">
        <f>IF($B12="","",ROW()-4)</f>
        <v/>
      </c>
      <c r="D12" s="39">
        <f>IF($B12="","",Consolidado!$E12)</f>
        <v/>
      </c>
      <c r="E12" s="41">
        <f>IF($B12="","",Consolidado!$J12)</f>
        <v/>
      </c>
      <c r="G12" s="40" t="n"/>
      <c r="H12" s="41" t="n"/>
      <c r="I12" s="35" t="n"/>
      <c r="J12" s="35" t="n"/>
      <c r="K12" s="35" t="n"/>
      <c r="L12" s="30" t="n"/>
      <c r="M12" s="35" t="n"/>
    </row>
    <row r="13" ht="14.25" customHeight="1" s="60">
      <c r="A13" s="41">
        <f>IF($B13="","",ROW()-4)</f>
        <v/>
      </c>
      <c r="D13" s="39">
        <f>IF($B13="","",Consolidado!$E13)</f>
        <v/>
      </c>
      <c r="E13" s="41">
        <f>IF($B13="","",Consolidado!$J13)</f>
        <v/>
      </c>
      <c r="G13" s="40" t="n"/>
      <c r="H13" s="41" t="n"/>
      <c r="I13" s="35" t="n"/>
      <c r="J13" s="35" t="n"/>
      <c r="K13" s="35" t="n"/>
      <c r="L13" s="30" t="n"/>
      <c r="M13" s="35" t="n"/>
    </row>
    <row r="14" ht="14.25" customHeight="1" s="60">
      <c r="A14" s="41">
        <f>IF($B14="","",ROW()-4)</f>
        <v/>
      </c>
      <c r="D14" s="39">
        <f>IF($B14="","",Consolidado!$E14)</f>
        <v/>
      </c>
      <c r="E14" s="41">
        <f>IF($B14="","",Consolidado!$J14)</f>
        <v/>
      </c>
      <c r="G14" s="40" t="n"/>
      <c r="H14" s="41" t="n"/>
      <c r="I14" s="35" t="n"/>
      <c r="J14" s="35" t="n"/>
      <c r="K14" s="35" t="n"/>
      <c r="L14" s="30" t="n"/>
      <c r="M14" s="35" t="n"/>
    </row>
    <row r="15" ht="14.25" customHeight="1" s="60">
      <c r="A15" s="41">
        <f>IF($B15="","",ROW()-4)</f>
        <v/>
      </c>
      <c r="D15" s="39">
        <f>IF($B15="","",Consolidado!$E15)</f>
        <v/>
      </c>
      <c r="E15" s="41">
        <f>IF($B15="","",Consolidado!$J15)</f>
        <v/>
      </c>
      <c r="G15" s="40" t="n"/>
      <c r="H15" s="41" t="n"/>
      <c r="I15" s="35" t="n"/>
      <c r="J15" s="35" t="n"/>
      <c r="K15" s="35" t="n"/>
      <c r="L15" s="30" t="n"/>
      <c r="M15" s="35" t="n"/>
    </row>
    <row r="16" ht="14.25" customHeight="1" s="60">
      <c r="A16" s="41">
        <f>IF($B16="","",ROW()-4)</f>
        <v/>
      </c>
      <c r="D16" s="39">
        <f>IF($B16="","",Consolidado!$E16)</f>
        <v/>
      </c>
      <c r="E16" s="41">
        <f>IF($B16="","",Consolidado!$J16)</f>
        <v/>
      </c>
      <c r="G16" s="40" t="n"/>
      <c r="H16" s="41" t="n"/>
      <c r="I16" s="35" t="n"/>
      <c r="J16" s="35" t="n"/>
      <c r="K16" s="35" t="n"/>
      <c r="L16" s="30" t="n"/>
      <c r="M16" s="35" t="n"/>
    </row>
    <row r="17" ht="14.25" customHeight="1" s="60">
      <c r="A17" s="41">
        <f>IF($B17="","",ROW()-4)</f>
        <v/>
      </c>
      <c r="D17" s="39">
        <f>IF($B17="","",Consolidado!$E17)</f>
        <v/>
      </c>
      <c r="E17" s="41">
        <f>IF($B17="","",Consolidado!$J17)</f>
        <v/>
      </c>
      <c r="G17" s="40" t="n"/>
      <c r="H17" s="41" t="n"/>
      <c r="I17" s="35" t="n"/>
      <c r="J17" s="35" t="n"/>
      <c r="K17" s="35" t="n"/>
      <c r="L17" s="30" t="n"/>
      <c r="M17" s="35" t="n"/>
    </row>
    <row r="18" ht="14.25" customHeight="1" s="60">
      <c r="A18" s="41">
        <f>IF($B18="","",ROW()-4)</f>
        <v/>
      </c>
      <c r="D18" s="39">
        <f>IF($B18="","",Consolidado!$E18)</f>
        <v/>
      </c>
      <c r="E18" s="41">
        <f>IF($B18="","",Consolidado!$J18)</f>
        <v/>
      </c>
      <c r="G18" s="40" t="n"/>
      <c r="H18" s="41" t="n"/>
      <c r="I18" s="35" t="n"/>
      <c r="J18" s="35" t="n"/>
      <c r="K18" s="35" t="n"/>
      <c r="L18" s="30" t="n"/>
      <c r="M18" s="35" t="n"/>
    </row>
    <row r="19" ht="14.25" customHeight="1" s="60">
      <c r="A19" s="41">
        <f>IF($B19="","",ROW()-4)</f>
        <v/>
      </c>
      <c r="D19" s="39">
        <f>IF($B19="","",Consolidado!$E19)</f>
        <v/>
      </c>
      <c r="E19" s="41">
        <f>IF($B19="","",Consolidado!$J19)</f>
        <v/>
      </c>
      <c r="G19" s="40" t="n"/>
      <c r="H19" s="41" t="n"/>
      <c r="I19" s="35" t="n"/>
      <c r="J19" s="35" t="n"/>
      <c r="K19" s="35" t="n"/>
      <c r="L19" s="30" t="n"/>
      <c r="M19" s="35" t="n"/>
    </row>
    <row r="20" ht="14.25" customHeight="1" s="60">
      <c r="A20" s="41">
        <f>IF($B20="","",ROW()-4)</f>
        <v/>
      </c>
      <c r="D20" s="39">
        <f>IF($B20="","",Consolidado!$E20)</f>
        <v/>
      </c>
      <c r="E20" s="41">
        <f>IF($B20="","",Consolidado!$J20)</f>
        <v/>
      </c>
      <c r="G20" s="40" t="n"/>
      <c r="H20" s="41" t="n"/>
      <c r="I20" s="35" t="n"/>
      <c r="J20" s="35" t="n"/>
      <c r="K20" s="35" t="n"/>
      <c r="L20" s="30" t="n"/>
      <c r="M20" s="35" t="n"/>
    </row>
    <row r="21" ht="14.25" customHeight="1" s="60">
      <c r="A21" s="41">
        <f>IF($B21="","",ROW()-4)</f>
        <v/>
      </c>
      <c r="D21" s="39">
        <f>IF($B21="","",Consolidado!$E21)</f>
        <v/>
      </c>
      <c r="E21" s="41">
        <f>IF($B21="","",Consolidado!$J21)</f>
        <v/>
      </c>
      <c r="G21" s="40" t="n"/>
      <c r="H21" s="41" t="n"/>
      <c r="I21" s="35" t="n"/>
      <c r="J21" s="35" t="n"/>
      <c r="K21" s="35" t="n"/>
      <c r="L21" s="30" t="n"/>
      <c r="M21" s="35" t="n"/>
    </row>
    <row r="22" ht="14.25" customHeight="1" s="60">
      <c r="A22" s="41">
        <f>IF($B22="","",ROW()-4)</f>
        <v/>
      </c>
      <c r="D22" s="39">
        <f>IF($B22="","",Consolidado!$E22)</f>
        <v/>
      </c>
      <c r="E22" s="41">
        <f>IF($B22="","",Consolidado!$J22)</f>
        <v/>
      </c>
      <c r="G22" s="40" t="n"/>
      <c r="H22" s="41" t="n"/>
      <c r="I22" s="35" t="n"/>
      <c r="J22" s="35" t="n"/>
      <c r="K22" s="35" t="n"/>
      <c r="L22" s="30" t="n"/>
      <c r="M22" s="35" t="n"/>
    </row>
    <row r="23" ht="14.25" customHeight="1" s="60">
      <c r="A23" s="41">
        <f>IF($B23="","",ROW()-4)</f>
        <v/>
      </c>
      <c r="D23" s="39">
        <f>IF($B23="","",Consolidado!$E23)</f>
        <v/>
      </c>
      <c r="E23" s="41">
        <f>IF($B23="","",Consolidado!$J23)</f>
        <v/>
      </c>
      <c r="G23" s="40" t="n"/>
      <c r="H23" s="41" t="n"/>
      <c r="I23" s="35" t="n"/>
      <c r="J23" s="35" t="n"/>
      <c r="K23" s="35" t="n"/>
      <c r="L23" s="30" t="n"/>
      <c r="M23" s="35" t="n"/>
    </row>
    <row r="24" ht="14.25" customHeight="1" s="60">
      <c r="A24" s="41">
        <f>IF($B24="","",ROW()-4)</f>
        <v/>
      </c>
      <c r="D24" s="39">
        <f>IF($B24="","",Consolidado!$E24)</f>
        <v/>
      </c>
      <c r="E24" s="41">
        <f>IF($B24="","",Consolidado!$J24)</f>
        <v/>
      </c>
      <c r="G24" s="40" t="n"/>
      <c r="H24" s="41" t="n"/>
      <c r="I24" s="35" t="n"/>
      <c r="J24" s="35" t="n"/>
      <c r="K24" s="35" t="n"/>
      <c r="L24" s="30" t="n"/>
      <c r="M24" s="35" t="n"/>
    </row>
    <row r="25" ht="14.25" customHeight="1" s="60">
      <c r="A25" s="41">
        <f>IF($B25="","",ROW()-4)</f>
        <v/>
      </c>
      <c r="D25" s="39">
        <f>IF($B25="","",Consolidado!$E25)</f>
        <v/>
      </c>
      <c r="E25" s="41">
        <f>IF($B25="","",Consolidado!$J25)</f>
        <v/>
      </c>
      <c r="G25" s="40" t="n"/>
      <c r="H25" s="41" t="n"/>
      <c r="I25" s="35" t="n"/>
      <c r="J25" s="35" t="n"/>
      <c r="K25" s="35" t="n"/>
      <c r="L25" s="30" t="n"/>
      <c r="M25" s="35" t="n"/>
    </row>
    <row r="26" ht="14.25" customHeight="1" s="60">
      <c r="A26" s="41">
        <f>IF($B26="","",ROW()-4)</f>
        <v/>
      </c>
      <c r="B26" s="30">
        <f>IF(Consolidado!$B26="","",Consolidado!$B26)</f>
        <v/>
      </c>
      <c r="C26" s="39" t="n"/>
      <c r="D26" s="39">
        <f>IF($B26="","",Consolidado!$E26)</f>
        <v/>
      </c>
      <c r="E26" s="41">
        <f>IF($B26="","",Consolidado!$J26)</f>
        <v/>
      </c>
      <c r="G26" s="40" t="n"/>
      <c r="H26" s="41" t="n"/>
      <c r="I26" s="35" t="n"/>
      <c r="J26" s="35" t="n"/>
      <c r="K26" s="35" t="n"/>
      <c r="L26" s="30" t="n"/>
      <c r="M26" s="35" t="n"/>
    </row>
    <row r="27" ht="14.25" customHeight="1" s="60">
      <c r="A27" s="41">
        <f>IF($B27="","",ROW()-4)</f>
        <v/>
      </c>
      <c r="B27" s="30">
        <f>IF(Consolidado!$B27="","",Consolidado!$B27)</f>
        <v/>
      </c>
      <c r="C27" s="39" t="n"/>
      <c r="D27" s="39">
        <f>IF($B27="","",Consolidado!$E27)</f>
        <v/>
      </c>
      <c r="E27" s="41">
        <f>IF($B27="","",Consolidado!$J27)</f>
        <v/>
      </c>
      <c r="G27" s="40" t="n"/>
      <c r="H27" s="41" t="n"/>
      <c r="I27" s="35" t="n"/>
      <c r="J27" s="35" t="n"/>
      <c r="K27" s="35" t="n"/>
      <c r="L27" s="30" t="n"/>
      <c r="M27" s="35" t="n"/>
    </row>
    <row r="28" ht="14.25" customHeight="1" s="60">
      <c r="A28" s="41">
        <f>IF($B28="","",ROW()-4)</f>
        <v/>
      </c>
      <c r="B28" s="30">
        <f>IF(Consolidado!$B28="","",Consolidado!$B28)</f>
        <v/>
      </c>
      <c r="C28" s="39" t="n"/>
      <c r="D28" s="39">
        <f>IF($B28="","",Consolidado!$E28)</f>
        <v/>
      </c>
      <c r="E28" s="41">
        <f>IF($B28="","",Consolidado!$J28)</f>
        <v/>
      </c>
      <c r="G28" s="40" t="n"/>
      <c r="H28" s="41" t="n"/>
      <c r="I28" s="35" t="n"/>
      <c r="J28" s="35" t="n"/>
      <c r="K28" s="35" t="n"/>
      <c r="L28" s="30" t="n"/>
      <c r="M28" s="35" t="n"/>
    </row>
    <row r="29" ht="14.25" customHeight="1" s="60">
      <c r="A29" s="41">
        <f>IF($B29="","",ROW()-4)</f>
        <v/>
      </c>
      <c r="B29" s="30">
        <f>IF(Consolidado!$B29="","",Consolidado!$B29)</f>
        <v/>
      </c>
      <c r="C29" s="39" t="n"/>
      <c r="D29" s="39">
        <f>IF($B29="","",Consolidado!$E29)</f>
        <v/>
      </c>
      <c r="E29" s="41">
        <f>IF($B29="","",Consolidado!$J29)</f>
        <v/>
      </c>
      <c r="G29" s="40" t="n"/>
      <c r="H29" s="41" t="n"/>
      <c r="I29" s="35" t="n"/>
      <c r="J29" s="35" t="n"/>
      <c r="K29" s="35" t="n"/>
      <c r="L29" s="30" t="n"/>
      <c r="M29" s="35" t="n"/>
    </row>
    <row r="30" ht="14.25" customHeight="1" s="60">
      <c r="A30" s="41">
        <f>IF($B30="","",ROW()-4)</f>
        <v/>
      </c>
      <c r="B30" s="30">
        <f>IF(Consolidado!$B30="","",Consolidado!$B30)</f>
        <v/>
      </c>
      <c r="C30" s="39" t="n"/>
      <c r="D30" s="39">
        <f>IF($B30="","",Consolidado!$E30)</f>
        <v/>
      </c>
      <c r="E30" s="41">
        <f>IF($B30="","",Consolidado!$J30)</f>
        <v/>
      </c>
      <c r="G30" s="40" t="n"/>
      <c r="H30" s="41" t="n"/>
      <c r="I30" s="35" t="n"/>
      <c r="J30" s="35" t="n"/>
      <c r="K30" s="35" t="n"/>
      <c r="L30" s="30" t="n"/>
      <c r="M30" s="35" t="n"/>
    </row>
    <row r="31" ht="14.25" customHeight="1" s="60">
      <c r="A31" s="41">
        <f>IF($B31="","",ROW()-4)</f>
        <v/>
      </c>
      <c r="B31" s="30">
        <f>IF(Consolidado!$B31="","",Consolidado!$B31)</f>
        <v/>
      </c>
      <c r="C31" s="39" t="n"/>
      <c r="D31" s="39">
        <f>IF($B31="","",Consolidado!$E31)</f>
        <v/>
      </c>
      <c r="E31" s="41">
        <f>IF($B31="","",Consolidado!$J31)</f>
        <v/>
      </c>
      <c r="G31" s="40" t="n"/>
      <c r="H31" s="41" t="n"/>
      <c r="I31" s="35" t="n"/>
      <c r="J31" s="35" t="n"/>
      <c r="K31" s="35" t="n"/>
      <c r="L31" s="30" t="n"/>
      <c r="M31" s="35" t="n"/>
    </row>
    <row r="32" ht="14.25" customHeight="1" s="60">
      <c r="A32" s="41">
        <f>IF($B32="","",ROW()-4)</f>
        <v/>
      </c>
      <c r="B32" s="30">
        <f>IF(Consolidado!$B32="","",Consolidado!$B32)</f>
        <v/>
      </c>
      <c r="C32" s="39" t="n"/>
      <c r="D32" s="39">
        <f>IF($B32="","",Consolidado!$E32)</f>
        <v/>
      </c>
      <c r="E32" s="41">
        <f>IF($B32="","",Consolidado!$J32)</f>
        <v/>
      </c>
      <c r="G32" s="40" t="n"/>
      <c r="H32" s="41" t="n"/>
      <c r="I32" s="35" t="n"/>
      <c r="J32" s="35" t="n"/>
      <c r="K32" s="35" t="n"/>
      <c r="L32" s="30" t="n"/>
      <c r="M32" s="35" t="n"/>
    </row>
    <row r="33" ht="14.25" customHeight="1" s="60">
      <c r="A33" s="41">
        <f>IF($B33="","",ROW()-4)</f>
        <v/>
      </c>
      <c r="B33" s="30">
        <f>IF(Consolidado!$B33="","",Consolidado!$B33)</f>
        <v/>
      </c>
      <c r="C33" s="39" t="n"/>
      <c r="D33" s="39">
        <f>IF($B33="","",Consolidado!$E33)</f>
        <v/>
      </c>
      <c r="E33" s="41">
        <f>IF($B33="","",Consolidado!$J33)</f>
        <v/>
      </c>
      <c r="G33" s="40" t="n"/>
      <c r="H33" s="41" t="n"/>
      <c r="I33" s="35" t="n"/>
      <c r="J33" s="35" t="n"/>
      <c r="K33" s="35" t="n"/>
      <c r="L33" s="30" t="n"/>
      <c r="M33" s="35" t="n"/>
    </row>
    <row r="34" ht="14.25" customHeight="1" s="60">
      <c r="A34" s="41">
        <f>IF($B34="","",ROW()-4)</f>
        <v/>
      </c>
      <c r="B34" s="30">
        <f>IF(Consolidado!$B34="","",Consolidado!$B34)</f>
        <v/>
      </c>
      <c r="C34" s="39" t="n"/>
      <c r="D34" s="39">
        <f>IF($B34="","",Consolidado!$E34)</f>
        <v/>
      </c>
      <c r="E34" s="41">
        <f>IF($B34="","",Consolidado!$J34)</f>
        <v/>
      </c>
      <c r="G34" s="40" t="n"/>
      <c r="H34" s="41" t="n"/>
      <c r="I34" s="35" t="n"/>
      <c r="J34" s="35" t="n"/>
      <c r="K34" s="35" t="n"/>
      <c r="L34" s="30" t="n"/>
      <c r="M34" s="35" t="n"/>
    </row>
    <row r="35" ht="14.25" customHeight="1" s="60">
      <c r="A35" s="41">
        <f>IF($B35="","",ROW()-4)</f>
        <v/>
      </c>
      <c r="B35" s="30">
        <f>IF(Consolidado!$B35="","",Consolidado!$B35)</f>
        <v/>
      </c>
      <c r="C35" s="39" t="n"/>
      <c r="D35" s="39">
        <f>IF($B35="","",Consolidado!$E35)</f>
        <v/>
      </c>
      <c r="E35" s="41">
        <f>IF($B35="","",Consolidado!$J35)</f>
        <v/>
      </c>
      <c r="G35" s="40" t="n"/>
      <c r="H35" s="41" t="n"/>
      <c r="I35" s="35" t="n"/>
      <c r="J35" s="35" t="n"/>
      <c r="K35" s="35" t="n"/>
      <c r="L35" s="30" t="n"/>
      <c r="M35" s="35" t="n"/>
    </row>
    <row r="36" ht="14.25" customHeight="1" s="60">
      <c r="A36" s="41">
        <f>IF($B36="","",ROW()-4)</f>
        <v/>
      </c>
      <c r="B36" s="30">
        <f>IF(Consolidado!$B36="","",Consolidado!$B36)</f>
        <v/>
      </c>
      <c r="C36" s="39" t="n"/>
      <c r="D36" s="39">
        <f>IF($B36="","",Consolidado!$E36)</f>
        <v/>
      </c>
      <c r="E36" s="41">
        <f>IF($B36="","",Consolidado!$J36)</f>
        <v/>
      </c>
      <c r="G36" s="40" t="n"/>
      <c r="H36" s="41" t="n"/>
      <c r="I36" s="35" t="n"/>
      <c r="J36" s="35" t="n"/>
      <c r="K36" s="35" t="n"/>
      <c r="L36" s="30" t="n"/>
      <c r="M36" s="35" t="n"/>
    </row>
    <row r="37" ht="14.25" customHeight="1" s="60">
      <c r="A37" s="41">
        <f>IF($B37="","",ROW()-4)</f>
        <v/>
      </c>
      <c r="B37" s="30">
        <f>IF(Consolidado!$B37="","",Consolidado!$B37)</f>
        <v/>
      </c>
      <c r="C37" s="39" t="n"/>
      <c r="D37" s="39">
        <f>IF($B37="","",Consolidado!$E37)</f>
        <v/>
      </c>
      <c r="E37" s="41">
        <f>IF($B37="","",Consolidado!$J37)</f>
        <v/>
      </c>
      <c r="G37" s="40" t="n"/>
      <c r="H37" s="41" t="n"/>
      <c r="I37" s="35" t="n"/>
      <c r="J37" s="35" t="n"/>
      <c r="K37" s="35" t="n"/>
      <c r="L37" s="30" t="n"/>
      <c r="M37" s="35" t="n"/>
    </row>
    <row r="38" ht="14.25" customHeight="1" s="60">
      <c r="A38" s="41">
        <f>IF($B38="","",ROW()-4)</f>
        <v/>
      </c>
      <c r="B38" s="30">
        <f>IF(Consolidado!$B38="","",Consolidado!$B38)</f>
        <v/>
      </c>
      <c r="C38" s="39" t="n"/>
      <c r="D38" s="39">
        <f>IF($B38="","",Consolidado!$E38)</f>
        <v/>
      </c>
      <c r="E38" s="41">
        <f>IF($B38="","",Consolidado!$J38)</f>
        <v/>
      </c>
      <c r="G38" s="40" t="n"/>
      <c r="H38" s="41" t="n"/>
      <c r="I38" s="35" t="n"/>
      <c r="J38" s="35" t="n"/>
      <c r="K38" s="35" t="n"/>
      <c r="L38" s="30" t="n"/>
      <c r="M38" s="35" t="n"/>
    </row>
    <row r="39" ht="14.25" customHeight="1" s="60">
      <c r="A39" s="41">
        <f>IF($B39="","",ROW()-4)</f>
        <v/>
      </c>
      <c r="B39" s="30">
        <f>IF(Consolidado!$B39="","",Consolidado!$B39)</f>
        <v/>
      </c>
      <c r="C39" s="39" t="n"/>
      <c r="D39" s="39">
        <f>IF($B39="","",Consolidado!$E39)</f>
        <v/>
      </c>
      <c r="E39" s="41">
        <f>IF($B39="","",Consolidado!$J39)</f>
        <v/>
      </c>
      <c r="G39" s="40" t="n"/>
      <c r="H39" s="41" t="n"/>
      <c r="I39" s="35" t="n"/>
      <c r="J39" s="35" t="n"/>
      <c r="K39" s="35" t="n"/>
      <c r="L39" s="30" t="n"/>
      <c r="M39" s="35" t="n"/>
    </row>
    <row r="40" ht="14.25" customHeight="1" s="60">
      <c r="A40" s="41">
        <f>IF($B40="","",ROW()-4)</f>
        <v/>
      </c>
      <c r="B40" s="30">
        <f>IF(Consolidado!$B40="","",Consolidado!$B40)</f>
        <v/>
      </c>
      <c r="C40" s="39" t="n"/>
      <c r="D40" s="39">
        <f>IF($B40="","",Consolidado!$E40)</f>
        <v/>
      </c>
      <c r="E40" s="41">
        <f>IF($B40="","",Consolidado!$J40)</f>
        <v/>
      </c>
      <c r="G40" s="40" t="n"/>
      <c r="H40" s="41" t="n"/>
      <c r="I40" s="35" t="n"/>
      <c r="J40" s="35" t="n"/>
      <c r="K40" s="35" t="n"/>
      <c r="L40" s="30" t="n"/>
      <c r="M40" s="35" t="n"/>
    </row>
    <row r="41" ht="14.25" customHeight="1" s="60">
      <c r="A41" s="41">
        <f>IF($B41="","",ROW()-4)</f>
        <v/>
      </c>
      <c r="B41" s="30">
        <f>IF(Consolidado!$B41="","",Consolidado!$B41)</f>
        <v/>
      </c>
      <c r="C41" s="39" t="n"/>
      <c r="D41" s="39">
        <f>IF($B41="","",Consolidado!$E41)</f>
        <v/>
      </c>
      <c r="E41" s="41">
        <f>IF($B41="","",Consolidado!$J41)</f>
        <v/>
      </c>
      <c r="G41" s="40" t="n"/>
      <c r="H41" s="41" t="n"/>
      <c r="I41" s="35" t="n"/>
      <c r="J41" s="35" t="n"/>
      <c r="K41" s="35" t="n"/>
      <c r="L41" s="30" t="n"/>
      <c r="M41" s="35" t="n"/>
    </row>
    <row r="42" ht="14.25" customHeight="1" s="60">
      <c r="A42" s="41">
        <f>IF($B42="","",ROW()-4)</f>
        <v/>
      </c>
      <c r="B42" s="30">
        <f>IF(Consolidado!$B42="","",Consolidado!$B42)</f>
        <v/>
      </c>
      <c r="C42" s="39" t="n"/>
      <c r="D42" s="39">
        <f>IF($B42="","",Consolidado!$E42)</f>
        <v/>
      </c>
      <c r="E42" s="41">
        <f>IF($B42="","",Consolidado!$J42)</f>
        <v/>
      </c>
      <c r="G42" s="40" t="n"/>
      <c r="H42" s="41" t="n"/>
      <c r="I42" s="35" t="n"/>
      <c r="J42" s="35" t="n"/>
      <c r="K42" s="35" t="n"/>
      <c r="L42" s="30" t="n"/>
      <c r="M42" s="35" t="n"/>
    </row>
    <row r="43" ht="14.25" customHeight="1" s="60">
      <c r="A43" s="41">
        <f>IF($B43="","",ROW()-4)</f>
        <v/>
      </c>
      <c r="B43" s="30">
        <f>IF(Consolidado!$B43="","",Consolidado!$B43)</f>
        <v/>
      </c>
      <c r="C43" s="39" t="n"/>
      <c r="D43" s="39">
        <f>IF($B43="","",Consolidado!$E43)</f>
        <v/>
      </c>
      <c r="E43" s="41">
        <f>IF($B43="","",Consolidado!$J43)</f>
        <v/>
      </c>
      <c r="G43" s="40" t="n"/>
      <c r="H43" s="41" t="n"/>
      <c r="I43" s="35" t="n"/>
      <c r="J43" s="35" t="n"/>
      <c r="K43" s="35" t="n"/>
      <c r="L43" s="30" t="n"/>
      <c r="M43" s="35" t="n"/>
    </row>
    <row r="44" ht="14.25" customHeight="1" s="60">
      <c r="A44" s="41">
        <f>IF($B44="","",ROW()-4)</f>
        <v/>
      </c>
      <c r="B44" s="30">
        <f>IF(Consolidado!$B44="","",Consolidado!$B44)</f>
        <v/>
      </c>
      <c r="C44" s="39" t="n"/>
      <c r="D44" s="39">
        <f>IF($B44="","",Consolidado!$E44)</f>
        <v/>
      </c>
      <c r="E44" s="41">
        <f>IF($B44="","",Consolidado!$J44)</f>
        <v/>
      </c>
      <c r="G44" s="40" t="n"/>
      <c r="H44" s="41" t="n"/>
      <c r="I44" s="35" t="n"/>
      <c r="J44" s="35" t="n"/>
      <c r="K44" s="35" t="n"/>
      <c r="L44" s="30" t="n"/>
      <c r="M44" s="35" t="n"/>
    </row>
    <row r="45" ht="14.25" customHeight="1" s="60">
      <c r="A45" s="41">
        <f>IF($B45="","",ROW()-4)</f>
        <v/>
      </c>
      <c r="B45" s="30">
        <f>IF(Consolidado!$B45="","",Consolidado!$B45)</f>
        <v/>
      </c>
      <c r="C45" s="39" t="n"/>
      <c r="D45" s="39">
        <f>IF($B45="","",Consolidado!$E45)</f>
        <v/>
      </c>
      <c r="E45" s="41">
        <f>IF($B45="","",Consolidado!$J45)</f>
        <v/>
      </c>
      <c r="G45" s="40" t="n"/>
      <c r="H45" s="41" t="n"/>
      <c r="I45" s="35" t="n"/>
      <c r="J45" s="35" t="n"/>
      <c r="K45" s="35" t="n"/>
      <c r="L45" s="30" t="n"/>
      <c r="M45" s="35" t="n"/>
    </row>
    <row r="46" ht="14.25" customHeight="1" s="60">
      <c r="A46" s="41">
        <f>IF($B46="","",ROW()-4)</f>
        <v/>
      </c>
      <c r="B46" s="30">
        <f>IF(Consolidado!$B46="","",Consolidado!$B46)</f>
        <v/>
      </c>
      <c r="C46" s="39" t="n"/>
      <c r="D46" s="39">
        <f>IF($B46="","",Consolidado!$E46)</f>
        <v/>
      </c>
      <c r="E46" s="41">
        <f>IF($B46="","",Consolidado!$J46)</f>
        <v/>
      </c>
      <c r="G46" s="40" t="n"/>
      <c r="H46" s="41" t="n"/>
      <c r="I46" s="35" t="n"/>
      <c r="J46" s="35" t="n"/>
      <c r="K46" s="35" t="n"/>
      <c r="L46" s="30" t="n"/>
      <c r="M46" s="35" t="n"/>
    </row>
    <row r="47" ht="14.25" customHeight="1" s="60">
      <c r="A47" s="41">
        <f>IF($B47="","",ROW()-4)</f>
        <v/>
      </c>
      <c r="B47" s="30">
        <f>IF(Consolidado!$B47="","",Consolidado!$B47)</f>
        <v/>
      </c>
      <c r="C47" s="39" t="n"/>
      <c r="D47" s="39">
        <f>IF($B47="","",Consolidado!$E47)</f>
        <v/>
      </c>
      <c r="E47" s="41">
        <f>IF($B47="","",Consolidado!$J47)</f>
        <v/>
      </c>
      <c r="G47" s="40" t="n"/>
      <c r="H47" s="41" t="n"/>
      <c r="I47" s="35" t="n"/>
      <c r="J47" s="35" t="n"/>
      <c r="K47" s="35" t="n"/>
      <c r="L47" s="30" t="n"/>
      <c r="M47" s="35" t="n"/>
    </row>
    <row r="48" ht="14.25" customHeight="1" s="60">
      <c r="A48" s="41">
        <f>IF($B48="","",ROW()-4)</f>
        <v/>
      </c>
      <c r="B48" s="30">
        <f>IF(Consolidado!$B48="","",Consolidado!$B48)</f>
        <v/>
      </c>
      <c r="C48" s="39" t="n"/>
      <c r="D48" s="39">
        <f>IF($B48="","",Consolidado!$E48)</f>
        <v/>
      </c>
      <c r="E48" s="41">
        <f>IF($B48="","",Consolidado!$J48)</f>
        <v/>
      </c>
      <c r="G48" s="40" t="n"/>
      <c r="H48" s="41" t="n"/>
      <c r="I48" s="35" t="n"/>
      <c r="J48" s="35" t="n"/>
      <c r="K48" s="35" t="n"/>
      <c r="L48" s="30" t="n"/>
      <c r="M48" s="35" t="n"/>
    </row>
    <row r="49" ht="14.25" customHeight="1" s="60">
      <c r="A49" s="41">
        <f>IF($B49="","",ROW()-4)</f>
        <v/>
      </c>
      <c r="B49" s="30">
        <f>IF(Consolidado!$B49="","",Consolidado!$B49)</f>
        <v/>
      </c>
      <c r="C49" s="39" t="n"/>
      <c r="D49" s="39">
        <f>IF($B49="","",Consolidado!$E49)</f>
        <v/>
      </c>
      <c r="E49" s="41">
        <f>IF($B49="","",Consolidado!$J49)</f>
        <v/>
      </c>
      <c r="G49" s="40" t="n"/>
      <c r="H49" s="41" t="n"/>
      <c r="I49" s="35" t="n"/>
      <c r="J49" s="35" t="n"/>
      <c r="K49" s="35" t="n"/>
      <c r="L49" s="30" t="n"/>
      <c r="M49" s="35" t="n"/>
    </row>
    <row r="50" ht="14.25" customHeight="1" s="60">
      <c r="A50" s="41">
        <f>IF($B50="","",ROW()-4)</f>
        <v/>
      </c>
      <c r="B50" s="30">
        <f>IF(Consolidado!$B50="","",Consolidado!$B50)</f>
        <v/>
      </c>
      <c r="C50" s="39" t="n"/>
      <c r="D50" s="39">
        <f>IF($B50="","",Consolidado!$E50)</f>
        <v/>
      </c>
      <c r="E50" s="41">
        <f>IF($B50="","",Consolidado!$J50)</f>
        <v/>
      </c>
      <c r="G50" s="40" t="n"/>
      <c r="H50" s="41" t="n"/>
      <c r="I50" s="35" t="n"/>
      <c r="J50" s="35" t="n"/>
      <c r="K50" s="35" t="n"/>
      <c r="L50" s="30" t="n"/>
      <c r="M50" s="35" t="n"/>
    </row>
    <row r="51" ht="14.25" customHeight="1" s="60">
      <c r="A51" s="41">
        <f>IF($B51="","",ROW()-4)</f>
        <v/>
      </c>
      <c r="B51" s="30">
        <f>IF(Consolidado!$B51="","",Consolidado!$B51)</f>
        <v/>
      </c>
      <c r="C51" s="39" t="n"/>
      <c r="D51" s="39">
        <f>IF($B51="","",Consolidado!$E51)</f>
        <v/>
      </c>
      <c r="E51" s="41">
        <f>IF($B51="","",Consolidado!$J51)</f>
        <v/>
      </c>
      <c r="G51" s="40" t="n"/>
      <c r="H51" s="41" t="n"/>
      <c r="I51" s="35" t="n"/>
      <c r="J51" s="35" t="n"/>
      <c r="K51" s="35" t="n"/>
      <c r="L51" s="30" t="n"/>
      <c r="M51" s="35" t="n"/>
    </row>
    <row r="52" ht="14.25" customHeight="1" s="60">
      <c r="A52" s="41">
        <f>IF($B52="","",ROW()-4)</f>
        <v/>
      </c>
      <c r="B52" s="30">
        <f>IF(Consolidado!$B52="","",Consolidado!$B52)</f>
        <v/>
      </c>
      <c r="C52" s="39" t="n"/>
      <c r="D52" s="39">
        <f>IF($B52="","",Consolidado!$E52)</f>
        <v/>
      </c>
      <c r="E52" s="41">
        <f>IF($B52="","",Consolidado!$J52)</f>
        <v/>
      </c>
      <c r="G52" s="40" t="n"/>
      <c r="H52" s="41" t="n"/>
      <c r="I52" s="35" t="n"/>
      <c r="J52" s="35" t="n"/>
      <c r="K52" s="35" t="n"/>
      <c r="L52" s="30" t="n"/>
      <c r="M52" s="35" t="n"/>
    </row>
    <row r="53" ht="14.25" customHeight="1" s="60">
      <c r="A53" s="41">
        <f>IF($B53="","",ROW()-4)</f>
        <v/>
      </c>
      <c r="B53" s="30">
        <f>IF(Consolidado!$B53="","",Consolidado!$B53)</f>
        <v/>
      </c>
      <c r="C53" s="39" t="n"/>
      <c r="D53" s="39">
        <f>IF($B53="","",Consolidado!$E53)</f>
        <v/>
      </c>
      <c r="E53" s="41">
        <f>IF($B53="","",Consolidado!$J53)</f>
        <v/>
      </c>
      <c r="G53" s="40" t="n"/>
      <c r="H53" s="41" t="n"/>
      <c r="I53" s="35" t="n"/>
      <c r="J53" s="35" t="n"/>
      <c r="K53" s="35" t="n"/>
      <c r="L53" s="30" t="n"/>
      <c r="M53" s="35" t="n"/>
    </row>
    <row r="54" ht="14.25" customHeight="1" s="60">
      <c r="A54" s="41">
        <f>IF($B54="","",ROW()-4)</f>
        <v/>
      </c>
      <c r="B54" s="30">
        <f>IF(Consolidado!$B54="","",Consolidado!$B54)</f>
        <v/>
      </c>
      <c r="C54" s="39" t="n"/>
      <c r="D54" s="39">
        <f>IF($B54="","",Consolidado!$E54)</f>
        <v/>
      </c>
      <c r="E54" s="41">
        <f>IF($B54="","",Consolidado!$J54)</f>
        <v/>
      </c>
      <c r="G54" s="40" t="n"/>
      <c r="H54" s="41" t="n"/>
      <c r="I54" s="35" t="n"/>
      <c r="J54" s="35" t="n"/>
      <c r="K54" s="35" t="n"/>
      <c r="L54" s="30" t="n"/>
      <c r="M54" s="35" t="n"/>
    </row>
    <row r="55" ht="14.25" customHeight="1" s="60">
      <c r="A55" s="41">
        <f>IF($B55="","",ROW()-4)</f>
        <v/>
      </c>
      <c r="B55" s="30">
        <f>IF(Consolidado!$B55="","",Consolidado!$B55)</f>
        <v/>
      </c>
      <c r="C55" s="39" t="n"/>
      <c r="D55" s="39">
        <f>IF($B55="","",Consolidado!$E55)</f>
        <v/>
      </c>
      <c r="E55" s="41">
        <f>IF($B55="","",Consolidado!$J55)</f>
        <v/>
      </c>
      <c r="G55" s="40" t="n"/>
      <c r="H55" s="41" t="n"/>
      <c r="I55" s="35" t="n"/>
      <c r="J55" s="35" t="n"/>
      <c r="K55" s="35" t="n"/>
      <c r="L55" s="30" t="n"/>
      <c r="M55" s="35" t="n"/>
    </row>
    <row r="56" ht="14.25" customHeight="1" s="60">
      <c r="A56" s="41">
        <f>IF($B56="","",ROW()-4)</f>
        <v/>
      </c>
      <c r="B56" s="30">
        <f>IF(Consolidado!$B56="","",Consolidado!$B56)</f>
        <v/>
      </c>
      <c r="C56" s="39" t="n"/>
      <c r="D56" s="39">
        <f>IF($B56="","",Consolidado!$E56)</f>
        <v/>
      </c>
      <c r="E56" s="41">
        <f>IF($B56="","",Consolidado!$J56)</f>
        <v/>
      </c>
      <c r="G56" s="40" t="n"/>
      <c r="H56" s="41" t="n"/>
      <c r="I56" s="35" t="n"/>
      <c r="J56" s="35" t="n"/>
      <c r="K56" s="35" t="n"/>
      <c r="L56" s="30" t="n"/>
      <c r="M56" s="35" t="n"/>
    </row>
    <row r="57" ht="14.25" customHeight="1" s="60">
      <c r="A57" s="41">
        <f>IF($B57="","",ROW()-4)</f>
        <v/>
      </c>
      <c r="B57" s="30">
        <f>IF(Consolidado!$B57="","",Consolidado!$B57)</f>
        <v/>
      </c>
      <c r="C57" s="39" t="n"/>
      <c r="D57" s="39">
        <f>IF($B57="","",Consolidado!$E57)</f>
        <v/>
      </c>
      <c r="E57" s="41">
        <f>IF($B57="","",Consolidado!$J57)</f>
        <v/>
      </c>
      <c r="G57" s="40" t="n"/>
      <c r="H57" s="41" t="n"/>
      <c r="I57" s="35" t="n"/>
      <c r="J57" s="35" t="n"/>
      <c r="K57" s="35" t="n"/>
      <c r="L57" s="30" t="n"/>
      <c r="M57" s="35" t="n"/>
    </row>
    <row r="58" ht="14.25" customHeight="1" s="60">
      <c r="A58" s="41">
        <f>IF($B58="","",ROW()-4)</f>
        <v/>
      </c>
      <c r="B58" s="30">
        <f>IF(Consolidado!$B58="","",Consolidado!$B58)</f>
        <v/>
      </c>
      <c r="C58" s="39" t="n"/>
      <c r="D58" s="39">
        <f>IF($B58="","",Consolidado!$E58)</f>
        <v/>
      </c>
      <c r="E58" s="41">
        <f>IF($B58="","",Consolidado!$J58)</f>
        <v/>
      </c>
      <c r="G58" s="40" t="n"/>
      <c r="H58" s="41" t="n"/>
      <c r="I58" s="35" t="n"/>
      <c r="J58" s="35" t="n"/>
      <c r="K58" s="35" t="n"/>
      <c r="L58" s="30" t="n"/>
      <c r="M58" s="35" t="n"/>
    </row>
    <row r="59" ht="14.25" customHeight="1" s="60">
      <c r="A59" s="41">
        <f>IF($B59="","",ROW()-4)</f>
        <v/>
      </c>
      <c r="B59" s="30">
        <f>IF(Consolidado!$B59="","",Consolidado!$B59)</f>
        <v/>
      </c>
      <c r="C59" s="39" t="n"/>
      <c r="D59" s="39">
        <f>IF($B59="","",Consolidado!$E59)</f>
        <v/>
      </c>
      <c r="E59" s="41">
        <f>IF($B59="","",Consolidado!$J59)</f>
        <v/>
      </c>
      <c r="G59" s="40" t="n"/>
      <c r="H59" s="41" t="n"/>
      <c r="I59" s="35" t="n"/>
      <c r="J59" s="35" t="n"/>
      <c r="K59" s="35" t="n"/>
      <c r="L59" s="30" t="n"/>
      <c r="M59" s="35" t="n"/>
    </row>
    <row r="60" ht="14.25" customHeight="1" s="60">
      <c r="A60" s="41">
        <f>IF($B60="","",ROW()-4)</f>
        <v/>
      </c>
      <c r="B60" s="30">
        <f>IF(Consolidado!$B60="","",Consolidado!$B60)</f>
        <v/>
      </c>
      <c r="C60" s="39" t="n"/>
      <c r="D60" s="39">
        <f>IF($B60="","",Consolidado!$E60)</f>
        <v/>
      </c>
      <c r="E60" s="41">
        <f>IF($B60="","",Consolidado!$J60)</f>
        <v/>
      </c>
      <c r="G60" s="40" t="n"/>
      <c r="H60" s="41" t="n"/>
      <c r="I60" s="35" t="n"/>
      <c r="J60" s="35" t="n"/>
      <c r="K60" s="35" t="n"/>
      <c r="L60" s="30" t="n"/>
      <c r="M60" s="35" t="n"/>
    </row>
    <row r="61" ht="14.25" customHeight="1" s="60">
      <c r="A61" s="41">
        <f>IF($B61="","",ROW()-4)</f>
        <v/>
      </c>
      <c r="B61" s="30">
        <f>IF(Consolidado!$B61="","",Consolidado!$B61)</f>
        <v/>
      </c>
      <c r="C61" s="39" t="n"/>
      <c r="D61" s="39">
        <f>IF($B61="","",Consolidado!$E61)</f>
        <v/>
      </c>
      <c r="E61" s="41">
        <f>IF($B61="","",Consolidado!$J61)</f>
        <v/>
      </c>
      <c r="G61" s="40" t="n"/>
      <c r="H61" s="41" t="n"/>
      <c r="I61" s="35" t="n"/>
      <c r="J61" s="35" t="n"/>
      <c r="K61" s="35" t="n"/>
      <c r="L61" s="30" t="n"/>
      <c r="M61" s="35" t="n"/>
    </row>
    <row r="62" ht="14.25" customHeight="1" s="60">
      <c r="A62" s="41">
        <f>IF($B62="","",ROW()-4)</f>
        <v/>
      </c>
      <c r="B62" s="30">
        <f>IF(Consolidado!$B62="","",Consolidado!$B62)</f>
        <v/>
      </c>
      <c r="C62" s="39" t="n"/>
      <c r="D62" s="39">
        <f>IF($B62="","",Consolidado!$E62)</f>
        <v/>
      </c>
      <c r="E62" s="41">
        <f>IF($B62="","",Consolidado!$J62)</f>
        <v/>
      </c>
      <c r="G62" s="40" t="n"/>
      <c r="H62" s="41" t="n"/>
      <c r="I62" s="35" t="n"/>
      <c r="J62" s="35" t="n"/>
      <c r="K62" s="35" t="n"/>
      <c r="L62" s="30" t="n"/>
      <c r="M62" s="35" t="n"/>
    </row>
    <row r="63" ht="14.25" customHeight="1" s="60">
      <c r="A63" s="41">
        <f>IF($B63="","",ROW()-4)</f>
        <v/>
      </c>
      <c r="B63" s="30">
        <f>IF(Consolidado!$B63="","",Consolidado!$B63)</f>
        <v/>
      </c>
      <c r="C63" s="39" t="n"/>
      <c r="D63" s="39">
        <f>IF($B63="","",Consolidado!$E63)</f>
        <v/>
      </c>
      <c r="E63" s="41">
        <f>IF($B63="","",Consolidado!$J63)</f>
        <v/>
      </c>
      <c r="G63" s="40" t="n"/>
      <c r="H63" s="41" t="n"/>
      <c r="I63" s="35" t="n"/>
      <c r="J63" s="35" t="n"/>
      <c r="K63" s="35" t="n"/>
      <c r="L63" s="30" t="n"/>
      <c r="M63" s="35" t="n"/>
    </row>
    <row r="64" ht="14.25" customHeight="1" s="60">
      <c r="A64" s="41">
        <f>IF($B64="","",ROW()-4)</f>
        <v/>
      </c>
      <c r="B64" s="30">
        <f>IF(Consolidado!$B64="","",Consolidado!$B64)</f>
        <v/>
      </c>
      <c r="C64" s="39" t="n"/>
      <c r="D64" s="39">
        <f>IF($B64="","",Consolidado!$E64)</f>
        <v/>
      </c>
      <c r="E64" s="41">
        <f>IF($B64="","",Consolidado!$J64)</f>
        <v/>
      </c>
      <c r="G64" s="40" t="n"/>
      <c r="H64" s="41" t="n"/>
      <c r="I64" s="35" t="n"/>
      <c r="J64" s="35" t="n"/>
      <c r="K64" s="35" t="n"/>
      <c r="L64" s="30" t="n"/>
      <c r="M64" s="35" t="n"/>
    </row>
    <row r="65" ht="14.25" customHeight="1" s="60"/>
    <row r="66" ht="14.25" customHeight="1" s="60"/>
    <row r="67" ht="24" customHeight="1" s="60">
      <c r="B67" s="59" t="inlineStr">
        <is>
          <t>COMO FAZER A CHECAGEM DE PROPRIEDADE: nos primeiros 10 minutos, peça que o candidato refaça UMA conta da própria entrega, ao vivo, com um parâmetro alterado (o combinado na aba Gabarito). Quem montou o modelo resolve em 3 minutos. Anote em H qual conta foi pedida.</t>
        </is>
      </c>
    </row>
    <row r="68" ht="24" customHeight="1" s="60">
      <c r="B68" s="59" t="inlineStr">
        <is>
          <t>Isso substitui tentar 'detectar IA' na entrega — que é injusto de errar e impossível de provar. Aqui não se acusa ninguém: ou defende o próprio trabalho, ou não defende.</t>
        </is>
      </c>
    </row>
    <row r="69" ht="24" customHeight="1" s="60">
      <c r="B69" s="59" t="inlineStr">
        <is>
          <t>A coluna Decisão volta sozinha para o Consolidado. Não digite a decisão nos dois lugares.</t>
        </is>
      </c>
    </row>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5">
    <mergeCell ref="B2:M2"/>
    <mergeCell ref="B3:M3"/>
    <mergeCell ref="B67:M67"/>
    <mergeCell ref="B68:M68"/>
    <mergeCell ref="B69:M69"/>
  </mergeCells>
  <conditionalFormatting sqref="H5:H64">
    <cfRule type="cellIs" priority="1" operator="equal" dxfId="2">
      <formula>"Não OK"</formula>
    </cfRule>
    <cfRule type="cellIs" priority="2" operator="equal" dxfId="0">
      <formula>"OK"</formula>
    </cfRule>
  </conditionalFormatting>
  <conditionalFormatting sqref="L5:L64">
    <cfRule type="cellIs" priority="3" operator="equal" dxfId="0">
      <formula>"Aprovado"</formula>
    </cfRule>
    <cfRule type="cellIs" priority="4" operator="equal" dxfId="1">
      <formula>"Reprovado"</formula>
    </cfRule>
  </conditionalFormatting>
  <dataValidations count="2">
    <dataValidation sqref="H5:H64" showDropDown="0" showInputMessage="1" showErrorMessage="1" allowBlank="1" prompt="Checagem de propriedade - OK = refez a conta ao vivo com o parâmetro alterado. Não OK = não conseguiu. Não OK é veto, independentemente da nota do case." type="list">
      <formula1>"OK,Não OK,Pendente"</formula1>
    </dataValidation>
    <dataValidation sqref="L5:L64" showDropDown="0" showInputMessage="0" showErrorMessage="0" allowBlank="1" type="list">
      <formula1>"Aprovado,Reprovado,Em análise"</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B2:F33"/>
  <sheetViews>
    <sheetView showGridLines="0" workbookViewId="0">
      <selection activeCell="A1" sqref="A1"/>
    </sheetView>
  </sheetViews>
  <sheetFormatPr baseColWidth="8" defaultColWidth="14.43" defaultRowHeight="15" customHeight="1"/>
  <cols>
    <col width="3" customWidth="1" style="60" min="1" max="1"/>
    <col width="8" customWidth="1" style="60" min="2" max="2"/>
    <col width="46" customWidth="1" style="60" min="3" max="3"/>
    <col width="18" customWidth="1" style="60" min="4" max="4"/>
    <col width="12" customWidth="1" style="60" min="5" max="5"/>
    <col width="54" customWidth="1" style="60" min="6" max="6"/>
    <col width="8.710000000000001" customWidth="1" style="60" min="7" max="26"/>
  </cols>
  <sheetData>
    <row r="1" ht="14.25" customHeight="1" s="60"/>
    <row r="2" ht="25.5" customHeight="1" s="60">
      <c r="B2" s="66" t="inlineStr">
        <is>
          <t>GABARITO E MONTAGEM DO CASE — preencher DEPOIS que o case do semestre existir.</t>
        </is>
      </c>
    </row>
    <row r="3" ht="14.25" customHeight="1" s="60"/>
    <row r="4" ht="43.5" customHeight="1" s="60">
      <c r="B4" s="65" t="inlineStr">
        <is>
          <t>Só o bloco de ACURÁCIA (A1–A6) depende do case. Comunicação, Raciocínio, Entrega e Vídeo já estão prontos e valem para qualquer case — a rubrica pode ser aprovada antes do case ficar pronto. Aqui você faz duas coisas: (1) confere se o case tem o que a rubrica precisa medir e (2) preenche os valores do gabarito.</t>
        </is>
      </c>
    </row>
    <row r="5" ht="14.25" customHeight="1" s="60"/>
    <row r="6" ht="14.25" customHeight="1" s="60">
      <c r="B6" s="62" t="inlineStr">
        <is>
          <t>PARTE 1 — O QUE O CASE PRECISA TER (conferir ao montar)</t>
        </is>
      </c>
    </row>
    <row r="7" ht="14.25" customHeight="1" s="60">
      <c r="C7" s="24" t="inlineStr">
        <is>
          <t>O que o case precisa conter</t>
        </is>
      </c>
      <c r="D7" s="24" t="inlineStr">
        <is>
          <t>Alimenta</t>
        </is>
      </c>
      <c r="E7" s="24" t="inlineStr">
        <is>
          <t>Status</t>
        </is>
      </c>
      <c r="F7" s="24" t="inlineStr">
        <is>
          <t>Por quê / como fazer</t>
        </is>
      </c>
    </row>
    <row r="8" ht="39.75" customHeight="1" s="60">
      <c r="B8" s="51" t="inlineStr">
        <is>
          <t>☐</t>
        </is>
      </c>
      <c r="C8" s="43" t="inlineStr">
        <is>
          <t>Duas contas centrais com UMA resposta certa cada</t>
        </is>
      </c>
      <c r="D8" s="52" t="inlineStr">
        <is>
          <t>A1, A2</t>
        </is>
      </c>
      <c r="E8" s="45" t="inlineStr">
        <is>
          <t>OK</t>
        </is>
      </c>
      <c r="F8" s="69" t="inlineStr">
        <is>
          <t>O case tem duas contas centrais conferíveis: receita anual e custo anual por bairro/modelo, oito cenários no total.</t>
        </is>
      </c>
    </row>
    <row r="9" ht="39.75" customHeight="1" s="60">
      <c r="B9" s="51" t="inlineStr">
        <is>
          <t>☐</t>
        </is>
      </c>
      <c r="C9" s="43" t="inlineStr">
        <is>
          <t>DIFICULDADE CALIBRADA: acerto médio perto de 50% do teto</t>
        </is>
      </c>
      <c r="D9" s="52" t="inlineStr">
        <is>
          <t>A1, A2</t>
        </is>
      </c>
      <c r="E9" s="45" t="inlineStr">
        <is>
          <t>REVER no próximo PS</t>
        </is>
      </c>
      <c r="F9" s="69" t="inlineStr">
        <is>
          <t>Acerto médio muito acima de 50%: das 8 pastas avaliadas até agora, 7 fecharam os oito cenários. O bloco praticamente não discriminou em A1/A2 — só a pasta 04 escorregou, e ainda dentro da tolerância.</t>
        </is>
      </c>
    </row>
    <row r="10" ht="39.75" customHeight="1" s="60">
      <c r="B10" s="51" t="inlineStr">
        <is>
          <t>☐</t>
        </is>
      </c>
      <c r="C10" s="43" t="inlineStr">
        <is>
          <t>Uma projeção ou plano com meta numérica declarada no enunciado</t>
        </is>
      </c>
      <c r="D10" s="52" t="inlineStr">
        <is>
          <t>A3</t>
        </is>
      </c>
      <c r="E10" s="45" t="inlineStr">
        <is>
          <t>AUSENTE</t>
        </is>
      </c>
      <c r="F10" s="69" t="inlineStr">
        <is>
          <t>O case NÃO declara meta numérica nem pede projeção plurianual. A3 fica sem referência para conferir; avaliei a coerência do plano com o modelo do próprio candidato e registrei a limitação.</t>
        </is>
      </c>
    </row>
    <row r="11" ht="39.75" customHeight="1" s="60">
      <c r="B11" s="51" t="inlineStr">
        <is>
          <t>☐</t>
        </is>
      </c>
      <c r="C11" s="43" t="inlineStr">
        <is>
          <t>Um caminho alternativo que o candidato consiga dimensionar</t>
        </is>
      </c>
      <c r="D11" s="52" t="inlineStr">
        <is>
          <t>A4</t>
        </is>
      </c>
      <c r="E11" s="45" t="inlineStr">
        <is>
          <t>OK</t>
        </is>
      </c>
      <c r="F11" s="69" t="inlineStr">
        <is>
          <t>Os dois modelos operacionais são dimensionáveis com os dados do Anexo E; a alternativa dos armários é quantificável.</t>
        </is>
      </c>
    </row>
    <row r="12" ht="39.75" customHeight="1" s="60">
      <c r="B12" s="51" t="inlineStr">
        <is>
          <t>☐</t>
        </is>
      </c>
      <c r="C12" s="43" t="inlineStr">
        <is>
          <t>Pergunta explícita de riscos e próximos passos</t>
        </is>
      </c>
      <c r="D12" s="52" t="inlineStr">
        <is>
          <t>A5</t>
        </is>
      </c>
      <c r="E12" s="45" t="inlineStr">
        <is>
          <t>OK</t>
        </is>
      </c>
      <c r="F12" s="69" t="inlineStr">
        <is>
          <t>A tarefa 04 pede riscos e próximos passos de forma qualitativa.</t>
        </is>
      </c>
    </row>
    <row r="13" ht="39.75" customHeight="1" s="60">
      <c r="B13" s="51" t="inlineStr">
        <is>
          <t>☐</t>
        </is>
      </c>
      <c r="C13" s="43" t="inlineStr">
        <is>
          <t>UMA INCONSISTÊNCIA PLANTADA de propósito</t>
        </is>
      </c>
      <c r="D13" s="52" t="inlineStr">
        <is>
          <t>A6</t>
        </is>
      </c>
      <c r="E13" s="45" t="inlineStr">
        <is>
          <t>AUSENTE</t>
        </is>
      </c>
      <c r="F13" s="69" t="inlineStr">
        <is>
          <t>NÃO existe inconsistência plantada neste case. Conferi os anexos: a utilização é internamente coerente (as durações implícitas ficam entre 3,9h e 7,1h, compatíveis com 'algumas horas'). Nenhum candidato nomeou inconsistência porque não há o que nomear. A6 vale 3 pts e está medindo ruído.</t>
        </is>
      </c>
    </row>
    <row r="14" ht="39.75" customHeight="1" s="60">
      <c r="B14" s="51" t="inlineStr">
        <is>
          <t>☐</t>
        </is>
      </c>
      <c r="C14" s="43" t="inlineStr">
        <is>
          <t>UMA PREMISSA DEIXADA EM ABERTO de propósito</t>
        </is>
      </c>
      <c r="D14" s="52" t="inlineStr">
        <is>
          <t>R1, A4</t>
        </is>
      </c>
      <c r="E14" s="45" t="inlineStr">
        <is>
          <t>AUSENTE</t>
        </is>
      </c>
      <c r="F14" s="69" t="inlineStr">
        <is>
          <t>O case fecha todas as ambiguidades em vez de deixar premissa aberta: manda não descontar pela utilização, arredondar bancos para cima, usar só os custos do Anexo E, ignorar impostos e não somar sinergias. Não há rateio em aberto.</t>
        </is>
      </c>
    </row>
    <row r="15" ht="39.75" customHeight="1" s="60">
      <c r="B15" s="51" t="inlineStr">
        <is>
          <t>☐</t>
        </is>
      </c>
      <c r="C15" s="43" t="inlineStr">
        <is>
          <t>Entregáveis obrigatórios declarados no enunciado</t>
        </is>
      </c>
      <c r="D15" s="52" t="inlineStr">
        <is>
          <t>E1, E2, E3</t>
        </is>
      </c>
      <c r="E15" s="45" t="inlineStr">
        <is>
          <t>AUSENTE</t>
        </is>
      </c>
      <c r="F15" s="69" t="inlineStr">
        <is>
          <t>O enunciado NÃO declara entregáveis obrigatórios. Nas 10 páginas não há pedido de planilha, apresentação fechada nem vídeo. E1/E2/E3 não têm base para pontuar como checklist.</t>
        </is>
      </c>
    </row>
    <row r="16" ht="39.75" customHeight="1" s="60">
      <c r="B16" s="51" t="inlineStr">
        <is>
          <t>☐</t>
        </is>
      </c>
      <c r="C16" s="43" t="inlineStr">
        <is>
          <t>Um parâmetro escolhido para a checagem ao vivo</t>
        </is>
      </c>
      <c r="D16" s="52" t="inlineStr">
        <is>
          <t>Entrevista</t>
        </is>
      </c>
      <c r="E16" s="45" t="inlineStr">
        <is>
          <t>PENDENTE</t>
        </is>
      </c>
      <c r="F16" s="69" t="inlineStr">
        <is>
          <t>Sugestão de parâmetro para a checagem ao vivo: alterar o custo anual do banco de R$ 70.000 e pedir o novo modelo vencedor. Break-even: R$ 24.000 na Estação, R$ 16.000 no Centro, R$ 23.478 na Arena, R$ 56.000 em Noite Alta.</t>
        </is>
      </c>
    </row>
    <row r="17" ht="14.25" customHeight="1" s="60"/>
    <row r="18" ht="14.25" customHeight="1" s="60">
      <c r="B18" s="62" t="inlineStr">
        <is>
          <t>PARTE 2 — GABARITO (preencher com o case pronto)</t>
        </is>
      </c>
    </row>
    <row r="19" ht="14.25" customHeight="1" s="60">
      <c r="B19" s="24" t="inlineStr">
        <is>
          <t>Item</t>
        </is>
      </c>
      <c r="C19" s="24" t="inlineStr">
        <is>
          <t>Pergunta do case / o que se espera</t>
        </is>
      </c>
      <c r="D19" s="24" t="inlineStr">
        <is>
          <t>Valor esperado</t>
        </is>
      </c>
      <c r="E19" s="24" t="inlineStr">
        <is>
          <t>Tolerância</t>
        </is>
      </c>
      <c r="F19" s="24" t="inlineStr">
        <is>
          <t>Observação</t>
        </is>
      </c>
    </row>
    <row r="20" ht="31.5" customHeight="1" s="60">
      <c r="B20" s="25" t="inlineStr">
        <is>
          <t>A1</t>
        </is>
      </c>
      <c r="C20" s="70" t="inlineStr">
        <is>
          <t>Receita anual e resultado operacional anual dos 4 bairros nos 2 modelos (8 cenários). Receita = transações/semana x 50 x R$ 30.</t>
        </is>
      </c>
      <c r="D20" s="71" t="inlineStr">
        <is>
          <t>Receita: Estação 36,00M · Centro 27,00M · Arena 18,00M · Noite Alta 30,00M. Resultado ARMÁRIOS: 25,08M / 23,15M / 13,87M / 18,57M. Resultado PARCEIROS: 27,84M / 24,50M / 14,94M / 19,20M. Melhor cenário: Estação Central + parceiros = R$ 27,84M.</t>
        </is>
      </c>
      <c r="E20" s="51" t="inlineStr">
        <is>
          <t>±2%</t>
        </is>
      </c>
      <c r="F20" s="72" t="inlineStr">
        <is>
          <t>Teto 2 se a memória de cálculo não estiver visível em nenhum artefato. Parceiros vencem nos 4 bairros.</t>
        </is>
      </c>
    </row>
    <row r="21" ht="31.5" customHeight="1" s="60">
      <c r="B21" s="25" t="inlineStr">
        <is>
          <t>A2</t>
        </is>
      </c>
      <c r="C21" s="70" t="inlineStr">
        <is>
          <t>Estrutura de custo por modelo: equipamento/seguro/manutenção por posição, operação conforme complexidade do Anexo B, e número de bancos ARREDONDADO PARA CIMA.</t>
        </is>
      </c>
      <c r="D21" s="71" t="inlineStr">
        <is>
          <t>Bancos: 60 (Estação) · 25 (Centro) · 23 (Arena, pois 900/40 = 22,5) · 45 (Noite Alta). Custo dos bancos: 4,20M / 1,75M / 1,61M / 3,15M. ESM: 3,36M / 1,40M / 1,26M / 2,52M. Operação armários: 3,36M / 0,70M / 1,26M / 5,76M. Operação parceiros: 4,80M / 1,10M / 1,80M / 8,28M.</t>
        </is>
      </c>
      <c r="E21" s="51" t="inlineStr">
        <is>
          <t>±2%</t>
        </is>
      </c>
      <c r="F21" s="72" t="inlineStr">
        <is>
          <t>A ARENA É O DISCRIMINADOR: 900/40 = 22,5 e tem de virar 23 bancos. Quem usou 22,5 erra R$ 35.000, que cai dentro de ±2% — confira o método, não só o valor.</t>
        </is>
      </c>
    </row>
    <row r="22" ht="31.5" customHeight="1" s="60">
      <c r="B22" s="25" t="inlineStr">
        <is>
          <t>A3</t>
        </is>
      </c>
      <c r="C22" s="70" t="inlineStr">
        <is>
          <t>SEM REFERÊNCIA — o case não declara meta numérica nem pede projeção.</t>
        </is>
      </c>
      <c r="D22" s="71" t="inlineStr">
        <is>
          <t>Não aplicável neste case.</t>
        </is>
      </c>
      <c r="E22" s="51" t="inlineStr">
        <is>
          <t>—</t>
        </is>
      </c>
      <c r="F22" s="72" t="inlineStr">
        <is>
          <t>Avaliei se o plano de expansão fecha com o modelo que o próprio candidato montou, e registrei a limitação em cada linha de evidência. RECOMENDAÇÃO: neutralizar A3 (4 pts) para todos, ou plantar meta numérica no próximo case.</t>
        </is>
      </c>
    </row>
    <row r="23" ht="31.5" customHeight="1" s="60">
      <c r="B23" s="25" t="inlineStr">
        <is>
          <t>A4</t>
        </is>
      </c>
      <c r="C23" s="70" t="inlineStr">
        <is>
          <t>Alternativa esperada: adotar armários inteligentes em algum bairro, ou sequenciar a expansão para os outros três.</t>
        </is>
      </c>
      <c r="D23" s="71" t="inlineStr">
        <is>
          <t>Ordem de expansão por resultado absoluto: Estação (27,84M) &gt; Centro (24,50M) &gt; Noite Alta (19,20M) &gt; Arena (14,94M). Impacto da alternativa armários: break-even do banco em R$ 24.000 (Estação), R$ 16.000 (Centro), R$ 23.478 (Arena), R$ 56.000 (Noite Alta). Noite Alta é onde os armários estão mais perto de ganhar: bastam 20% de queda no custo do banco.</t>
        </is>
      </c>
      <c r="E23" s="51" t="inlineStr">
        <is>
          <t>—</t>
        </is>
      </c>
      <c r="F23" s="72" t="inlineStr">
        <is>
          <t>Não há resposta única. Serve para calibrar o que conta como 'quantificado'.</t>
        </is>
      </c>
    </row>
    <row r="24" ht="31.5" customHeight="1" s="60">
      <c r="B24" s="25" t="inlineStr">
        <is>
          <t>A6</t>
        </is>
      </c>
      <c r="C24" s="70" t="inlineStr">
        <is>
          <t>NÃO EXISTE INCONSISTÊNCIA PLANTADA NESTE CASE.</t>
        </is>
      </c>
      <c r="D24" s="71" t="inlineStr">
        <is>
          <t>Nada a encontrar. Conferi: a utilização informada é coerente com transações e posições (durações implícitas de 3,9h a 7,1h). O único ponto de atenção real é o custo do banco de R$ 70.000, que é ANUAL e não CAPEX — a pasta 05 o tratou como investimento no breakeven e a pasta 07 antecipou o risco por escrito.</t>
        </is>
      </c>
      <c r="E24" s="51" t="inlineStr">
        <is>
          <t>—</t>
        </is>
      </c>
      <c r="F24" s="72" t="inlineStr">
        <is>
          <t>TODAS as pastas ficaram com A6=1 (passaram pelo ponto certo sem nomear inconsistência), inclusive a 01. RECOMENDAÇÃO: neutralizar A6 (3 pts) para todos neste PS e plantar o erro de verdade no próximo.</t>
        </is>
      </c>
    </row>
    <row r="25" ht="31.5" customHeight="1" s="60">
      <c r="B25" s="25" t="inlineStr">
        <is>
          <t>—</t>
        </is>
      </c>
      <c r="C25" s="70" t="inlineStr">
        <is>
          <t>PREMISSA EM ABERTO: não há.</t>
        </is>
      </c>
      <c r="D25" s="71" t="inlineStr">
        <is>
          <t>O case fecha todas as ambiguidades explicitamente.</t>
        </is>
      </c>
      <c r="E25" s="51" t="inlineStr">
        <is>
          <t>—</t>
        </is>
      </c>
      <c r="F25" s="72" t="inlineStr">
        <is>
          <t>Sem premissa em aberto, R1 e A4 perdem o discriminador que a rubrica esperava.</t>
        </is>
      </c>
    </row>
    <row r="26" ht="31.5" customHeight="1" s="60">
      <c r="B26" s="25" t="inlineStr">
        <is>
          <t>—</t>
        </is>
      </c>
      <c r="C26" s="70" t="inlineStr">
        <is>
          <t>Parâmetro sugerido para a checagem ao vivo na entrevista.</t>
        </is>
      </c>
      <c r="D26" s="71" t="inlineStr">
        <is>
          <t>Alterar o custo do banco de R$ 70.000 para R$ 50.000 e pedir o modelo vencedor por bairro. Resposta: o rateio cai para R$ 1.250/posição, abaixo do prêmio de R$ 1.400 da complexidade alta, então os ARMÁRIOS passam a ganhar em Noite Alta e os parceiros seguem ganhando nos outros três.</t>
        </is>
      </c>
      <c r="E26" s="51" t="inlineStr">
        <is>
          <t>—</t>
        </is>
      </c>
      <c r="F26" s="72" t="inlineStr">
        <is>
          <t>Quem montou o modelo responde em ~2 minutos.</t>
        </is>
      </c>
    </row>
    <row r="27" ht="14.25" customHeight="1" s="60"/>
    <row r="28" ht="14.25" customHeight="1" s="60">
      <c r="B28" s="62" t="inlineStr">
        <is>
          <t>PARTE 3 — AUTOCORREÇÃO (opcional, mas é onde mora o maior ganho)</t>
        </is>
      </c>
    </row>
    <row r="29" ht="18" customHeight="1" s="60">
      <c r="B29" s="56" t="inlineStr">
        <is>
          <t>Se vocês pedirem os números-chave em campos obrigatórios do formulário de entrega, A1 e A2 se corrigem sozinhos.</t>
        </is>
      </c>
    </row>
    <row r="30" ht="18" customHeight="1" s="60">
      <c r="B30" s="56" t="inlineStr">
        <is>
          <t>Fórmula de exemplo, com a resposta do candidato em X2 e o valor esperado de A1 em D19:</t>
        </is>
      </c>
    </row>
    <row r="31" ht="18" customHeight="1" s="60">
      <c r="B31" s="57" t="n"/>
    </row>
    <row r="32" ht="18" customHeight="1" s="60">
      <c r="B32" s="56" t="inlineStr">
        <is>
          <t>Resultado: 12 dos 25 pontos de acurácia deixam de depender de quem corrigiu, e a conferência cai para segundos.</t>
        </is>
      </c>
    </row>
    <row r="33" ht="18" customHeight="1" s="60">
      <c r="B33" s="56" t="inlineStr">
        <is>
          <t>Atenção: o nível 3 exige memória de cálculo visível. A fórmula dá o teto; quem confere rebaixa para 2 se o Excel não veio.</t>
        </is>
      </c>
    </row>
    <row r="34" ht="14.25" customHeight="1" s="60"/>
    <row r="35" ht="14.25" customHeight="1" s="60"/>
    <row r="36" ht="14.25" customHeight="1" s="60"/>
    <row r="37" ht="14.25" customHeight="1" s="60"/>
    <row r="38" ht="14.25" customHeight="1" s="60"/>
    <row r="39" ht="14.25" customHeight="1" s="60"/>
    <row r="40" ht="14.25" customHeight="1" s="60"/>
    <row r="41" ht="14.25" customHeight="1" s="60"/>
    <row r="42" ht="14.25" customHeight="1" s="60"/>
    <row r="43" ht="14.25" customHeight="1" s="60"/>
    <row r="44" ht="14.25" customHeight="1" s="60"/>
    <row r="45" ht="14.25" customHeight="1" s="60"/>
    <row r="46" ht="14.25" customHeight="1" s="60"/>
    <row r="47" ht="14.25" customHeight="1" s="60"/>
    <row r="48" ht="14.25" customHeight="1" s="60"/>
    <row r="49" ht="14.25" customHeight="1" s="60"/>
    <row r="50" ht="14.25" customHeight="1" s="60"/>
    <row r="51" ht="14.25" customHeight="1" s="60"/>
    <row r="52" ht="14.25" customHeight="1" s="60"/>
    <row r="53" ht="14.25" customHeight="1" s="60"/>
    <row r="54" ht="14.25" customHeight="1" s="60"/>
    <row r="55" ht="14.25" customHeight="1" s="60"/>
    <row r="56" ht="14.25" customHeight="1" s="60"/>
    <row r="57" ht="14.25" customHeight="1" s="60"/>
    <row r="58" ht="14.25" customHeight="1" s="60"/>
    <row r="59" ht="14.25" customHeight="1" s="60"/>
    <row r="60" ht="14.25" customHeight="1" s="60"/>
    <row r="61" ht="14.25" customHeight="1" s="60"/>
    <row r="62" ht="14.25" customHeight="1" s="60"/>
    <row r="63" ht="14.25" customHeight="1" s="60"/>
    <row r="64" ht="14.25" customHeight="1" s="60"/>
    <row r="65" ht="14.25" customHeight="1" s="60"/>
    <row r="66" ht="14.25" customHeight="1" s="60"/>
    <row r="67" ht="14.25" customHeight="1" s="60"/>
    <row r="68" ht="14.25" customHeight="1" s="60"/>
    <row r="69" ht="14.25" customHeight="1" s="60"/>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10">
    <mergeCell ref="B4:F4"/>
    <mergeCell ref="B30:F30"/>
    <mergeCell ref="B29:F29"/>
    <mergeCell ref="B6:F6"/>
    <mergeCell ref="B2:F2"/>
    <mergeCell ref="B33:F33"/>
    <mergeCell ref="B28:F28"/>
    <mergeCell ref="B31:F31"/>
    <mergeCell ref="B32:F32"/>
    <mergeCell ref="B18:F18"/>
  </mergeCells>
  <conditionalFormatting sqref="E8:E16">
    <cfRule type="cellIs" priority="1" operator="equal" dxfId="0">
      <formula>"Feito"</formula>
    </cfRule>
    <cfRule type="cellIs" priority="2" operator="equal" dxfId="1">
      <formula>"Pendente"</formula>
    </cfRule>
  </conditionalFormatting>
  <dataValidations count="1">
    <dataValidation sqref="E8:E16" showDropDown="0" showInputMessage="0" showErrorMessage="0" allowBlank="1" type="list">
      <formula1>"Feito,Pendente"</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B2:G204"/>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3" customWidth="1" style="60" min="1" max="1"/>
    <col width="5" customWidth="1" style="60" min="2" max="2"/>
    <col width="34" customWidth="1" style="60" min="3" max="3"/>
    <col width="33.29" customWidth="1" style="60" min="4" max="4"/>
    <col width="16" customWidth="1" style="60" min="5" max="5"/>
    <col width="96" customWidth="1" style="60" min="6" max="6"/>
    <col width="22" customWidth="1" style="60" min="7" max="7"/>
    <col width="8.710000000000001" customWidth="1" style="60" min="8" max="27"/>
  </cols>
  <sheetData>
    <row r="1" ht="14.25" customHeight="1" s="60"/>
    <row r="2" ht="25.5" customHeight="1" s="60">
      <c r="B2" s="66" t="inlineStr">
        <is>
          <t>COMENTÁRIOS — resuma o que achou da entrega (mesma estrutura da planilha antiga)</t>
        </is>
      </c>
    </row>
    <row r="3" ht="14.25" customHeight="1" s="60"/>
    <row r="4" ht="14.25" customHeight="1" s="60">
      <c r="B4" s="24" t="inlineStr">
        <is>
          <t>#</t>
        </is>
      </c>
      <c r="C4" s="24" t="inlineStr">
        <is>
          <t>Candidato(a)</t>
        </is>
      </c>
      <c r="D4" s="24" t="inlineStr">
        <is>
          <t>Nome</t>
        </is>
      </c>
      <c r="E4" s="24" t="inlineStr">
        <is>
          <t>Avaliador</t>
        </is>
      </c>
      <c r="F4" s="24" t="inlineStr">
        <is>
          <t>Comentários</t>
        </is>
      </c>
      <c r="G4" s="24" t="inlineStr">
        <is>
          <t>Aprovaria?</t>
        </is>
      </c>
    </row>
    <row r="5" ht="14.25" customHeight="1" s="60">
      <c r="B5" s="30">
        <f>IF($C5="","",ROW()-4)</f>
        <v/>
      </c>
      <c r="C5" s="30" t="inlineStr">
        <is>
          <t>g278083@dac.unicamp.br</t>
        </is>
      </c>
      <c r="D5" s="30" t="inlineStr">
        <is>
          <t>Gabrielle Cristofani do Rosario</t>
        </is>
      </c>
      <c r="F5" s="73" t="n"/>
      <c r="G5" s="30" t="n"/>
    </row>
    <row r="6" ht="14.25" customHeight="1" s="60">
      <c r="B6" s="30">
        <f>IF($C6="","",ROW()-4)</f>
        <v/>
      </c>
      <c r="C6" s="30" t="inlineStr">
        <is>
          <t>b309603@dac.unicamp.br</t>
        </is>
      </c>
      <c r="D6" s="30" t="inlineStr">
        <is>
          <t>Bruno Heberth Oliveira Bastos</t>
        </is>
      </c>
      <c r="F6" s="73" t="n"/>
      <c r="G6" s="30" t="n"/>
    </row>
    <row r="7" ht="14.25" customHeight="1" s="60">
      <c r="B7" s="30">
        <f>IF($C7="","",ROW()-4)</f>
        <v/>
      </c>
      <c r="C7" s="30" t="inlineStr">
        <is>
          <t>j309764@dac.unicamp.br</t>
        </is>
      </c>
      <c r="D7" s="30" t="inlineStr">
        <is>
          <t>João Pedro Mendes Stama</t>
        </is>
      </c>
      <c r="F7" s="73" t="n"/>
      <c r="G7" s="30" t="n"/>
    </row>
    <row r="8" ht="14.25" customHeight="1" s="60">
      <c r="B8" s="30">
        <f>IF($C8="","",ROW()-4)</f>
        <v/>
      </c>
      <c r="C8" s="30" t="inlineStr">
        <is>
          <t>r238449@dac.unicamp.br</t>
        </is>
      </c>
      <c r="D8" s="30" t="inlineStr">
        <is>
          <t>Rafael Ponciano Rodrigues dos Santos</t>
        </is>
      </c>
      <c r="F8" s="73" t="n"/>
      <c r="G8" s="30" t="n"/>
    </row>
    <row r="9" ht="14.25" customHeight="1" s="60">
      <c r="B9" s="30">
        <f>IF($C9="","",ROW()-4)</f>
        <v/>
      </c>
      <c r="C9" s="30" t="inlineStr">
        <is>
          <t>enzo.gag17@gmail.com</t>
        </is>
      </c>
      <c r="D9" s="30" t="inlineStr">
        <is>
          <t>Enzo Chofakian Gagliardi</t>
        </is>
      </c>
      <c r="F9" s="73" t="n"/>
      <c r="G9" s="30" t="n"/>
    </row>
    <row r="10" ht="14.25" customHeight="1" s="60">
      <c r="B10" s="30">
        <f>IF($C10="","",ROW()-4)</f>
        <v/>
      </c>
      <c r="C10" s="30" t="inlineStr">
        <is>
          <t>e278588@dac.unicamp.br</t>
        </is>
      </c>
      <c r="D10" s="30" t="inlineStr">
        <is>
          <t>Enrico Tristão e Mello de Oliveira</t>
        </is>
      </c>
      <c r="F10" s="73" t="n"/>
      <c r="G10" s="30" t="n"/>
    </row>
    <row r="11" ht="14.25" customHeight="1" s="60">
      <c r="B11" s="30">
        <f>IF($C11="","",ROW()-4)</f>
        <v/>
      </c>
      <c r="C11" s="30" t="inlineStr">
        <is>
          <t>e221509@dac.unicamp.br</t>
        </is>
      </c>
      <c r="D11" s="30" t="inlineStr">
        <is>
          <t>Eduardo Alves Henrique</t>
        </is>
      </c>
      <c r="F11" s="73" t="n"/>
      <c r="G11" s="30" t="n"/>
    </row>
    <row r="12" ht="14.25" customHeight="1" s="60">
      <c r="B12" s="30">
        <f>IF($C12="","",ROW()-4)</f>
        <v/>
      </c>
      <c r="C12" s="30" t="inlineStr">
        <is>
          <t>l304532@dac.unicamp.br</t>
        </is>
      </c>
      <c r="D12" s="30" t="inlineStr">
        <is>
          <t>Leandra Cunha de Souza</t>
        </is>
      </c>
      <c r="F12" s="73" t="n"/>
      <c r="G12" s="30" t="n"/>
    </row>
    <row r="13" ht="14.25" customHeight="1" s="60">
      <c r="B13" s="30">
        <f>IF($C13="","",ROW()-4)</f>
        <v/>
      </c>
      <c r="C13" s="30" t="inlineStr">
        <is>
          <t>v188630@dac.unicamp.br</t>
        </is>
      </c>
      <c r="D13" s="30" t="inlineStr">
        <is>
          <t>Vagner Ássimos Gomes Carlos Filho</t>
        </is>
      </c>
      <c r="F13" s="73" t="n"/>
      <c r="G13" s="30" t="n"/>
    </row>
    <row r="14" ht="14.25" customHeight="1" s="60">
      <c r="B14" s="30">
        <f>IF($C14="","",ROW()-4)</f>
        <v/>
      </c>
      <c r="C14" s="30" t="inlineStr">
        <is>
          <t>m277865@dac.unicamp.br</t>
        </is>
      </c>
      <c r="D14" s="30" t="inlineStr">
        <is>
          <t>Mariana Nunes Galvão Sant'Anna</t>
        </is>
      </c>
      <c r="F14" s="73" t="n"/>
      <c r="G14" s="30" t="n"/>
    </row>
    <row r="15" ht="14.25" customHeight="1" s="60">
      <c r="B15" s="30">
        <f>IF($C15="","",ROW()-4)</f>
        <v/>
      </c>
      <c r="C15" s="30" t="inlineStr">
        <is>
          <t>a266739@dac.unicamp.br</t>
        </is>
      </c>
      <c r="D15" s="30" t="inlineStr">
        <is>
          <t>Aslan Rodrigues Maia</t>
        </is>
      </c>
      <c r="E15" s="30" t="inlineStr">
        <is>
          <t>Ferro</t>
        </is>
      </c>
      <c r="F15" s="73" t="inlineStr">
        <is>
          <t>TIrou 2/3 do Gmat, e falou um pouco travado no vídeo, mas foi bem (não é bixo)</t>
        </is>
      </c>
      <c r="G15" s="30" t="inlineStr">
        <is>
          <t>Passaria para ver o case</t>
        </is>
      </c>
    </row>
    <row r="16" ht="14.25" customHeight="1" s="60">
      <c r="B16" s="30">
        <f>IF($C16="","",ROW()-4)</f>
        <v/>
      </c>
      <c r="C16" s="30" t="inlineStr">
        <is>
          <t>j278641@dac.unicamp.br</t>
        </is>
      </c>
      <c r="D16" s="30" t="inlineStr">
        <is>
          <t>João Gabriel de Oliveira Morcelli</t>
        </is>
      </c>
      <c r="E16" s="30" t="inlineStr">
        <is>
          <t>Ferro</t>
        </is>
      </c>
      <c r="F16" s="73" t="inlineStr">
        <is>
          <t>Tirou 2/3 do Gmat tbm, e fez no final sem energia, cara foi resiliente, falou muito bem no vídeo</t>
        </is>
      </c>
      <c r="G16" s="30" t="inlineStr">
        <is>
          <t>Sim</t>
        </is>
      </c>
    </row>
    <row r="17" ht="14.25" customHeight="1" s="60">
      <c r="B17" s="30">
        <f>IF($C17="","",ROW()-4)</f>
        <v/>
      </c>
      <c r="C17" s="30" t="inlineStr">
        <is>
          <t>r278709@dac.unicamp.br</t>
        </is>
      </c>
      <c r="D17" s="30" t="inlineStr">
        <is>
          <t>Raphael Negrini Saggioro</t>
        </is>
      </c>
      <c r="E17" s="30" t="inlineStr">
        <is>
          <t>Ferro</t>
        </is>
      </c>
      <c r="F17" s="73" t="inlineStr">
        <is>
          <t>Foi bem no Gmat tbm, falou muito bem, e falou dos projetos do CCU, fez a pesquisa básica ali, mandou bem</t>
        </is>
      </c>
      <c r="G17" s="30" t="inlineStr">
        <is>
          <t>Sim</t>
        </is>
      </c>
    </row>
    <row r="18" ht="14.25" customHeight="1" s="60">
      <c r="B18" s="30">
        <f>IF($C18="","",ROW()-4)</f>
        <v/>
      </c>
      <c r="C18" s="30" t="inlineStr">
        <is>
          <t>g278107@dac.unicamp.br</t>
        </is>
      </c>
      <c r="D18" s="30" t="inlineStr">
        <is>
          <t>Gustavo Daher Pereira</t>
        </is>
      </c>
      <c r="F18" s="73" t="n"/>
      <c r="G18" s="30" t="n"/>
    </row>
    <row r="19" ht="14.25" customHeight="1" s="60">
      <c r="B19" s="30">
        <f>IF($C19="","",ROW()-4)</f>
        <v/>
      </c>
      <c r="C19" s="30" t="inlineStr">
        <is>
          <t>rickfilho2007@gmail.com</t>
        </is>
      </c>
      <c r="D19" s="30" t="inlineStr">
        <is>
          <t>Ricardo Augusto Schmitt Filho</t>
        </is>
      </c>
      <c r="F19" s="73" t="n"/>
      <c r="G19" s="30" t="n"/>
    </row>
    <row r="20" ht="14.25" customHeight="1" s="60">
      <c r="B20" s="30">
        <f>IF($C20="","",ROW()-4)</f>
        <v/>
      </c>
      <c r="C20" s="30" t="inlineStr">
        <is>
          <t>m306365@dac.unicamp.br</t>
        </is>
      </c>
      <c r="D20" s="30" t="inlineStr">
        <is>
          <t>Matheus Dias Freitas</t>
        </is>
      </c>
      <c r="F20" s="73" t="n"/>
      <c r="G20" s="30" t="n"/>
    </row>
    <row r="21" ht="14.25" customHeight="1" s="60">
      <c r="B21" s="30">
        <f>IF($C21="","",ROW()-4)</f>
        <v/>
      </c>
      <c r="C21" s="30" t="inlineStr">
        <is>
          <t>k267983@dac.unicamp.br</t>
        </is>
      </c>
      <c r="D21" s="30" t="inlineStr">
        <is>
          <t>Klaus Augusto Santos da Silva</t>
        </is>
      </c>
      <c r="F21" s="73" t="n"/>
      <c r="G21" s="30" t="n"/>
    </row>
    <row r="22" ht="14.25" customHeight="1" s="60">
      <c r="B22" s="30">
        <f>IF($C22="","",ROW()-4)</f>
        <v/>
      </c>
      <c r="C22" s="30" t="inlineStr">
        <is>
          <t>r302729@dac.unicamp.br</t>
        </is>
      </c>
      <c r="D22" s="30" t="inlineStr">
        <is>
          <t>Rafael Rodrigues Moreira</t>
        </is>
      </c>
      <c r="F22" s="73" t="n"/>
      <c r="G22" s="30" t="n"/>
    </row>
    <row r="23" ht="14.25" customHeight="1" s="60">
      <c r="B23" s="30">
        <f>IF($C23="","",ROW()-4)</f>
        <v/>
      </c>
      <c r="C23" s="30" t="inlineStr">
        <is>
          <t>c258388@dac.unicamp.br</t>
        </is>
      </c>
      <c r="D23" s="30" t="inlineStr">
        <is>
          <t>Caio Augusto Saab</t>
        </is>
      </c>
      <c r="F23" s="73" t="n"/>
      <c r="G23" s="30" t="n"/>
    </row>
    <row r="24" ht="14.25" customHeight="1" s="60">
      <c r="B24" s="30">
        <f>IF($C24="","",ROW()-4)</f>
        <v/>
      </c>
      <c r="C24" s="30" t="inlineStr">
        <is>
          <t>j260826@dac.unicamp.br</t>
        </is>
      </c>
      <c r="D24" s="30" t="inlineStr">
        <is>
          <t>José Vitor Dias Tutu</t>
        </is>
      </c>
      <c r="F24" s="73" t="n"/>
      <c r="G24" s="30" t="n"/>
    </row>
    <row r="25" ht="14.25" customHeight="1" s="60">
      <c r="B25" s="30">
        <f>IF($C25="","",ROW()-4)</f>
        <v/>
      </c>
      <c r="C25" s="30" t="inlineStr">
        <is>
          <t xml:space="preserve">i253464@dac.unicamp.br
</t>
        </is>
      </c>
      <c r="D25" s="30" t="inlineStr">
        <is>
          <t>Isadora Kluge Dorigan</t>
        </is>
      </c>
      <c r="F25" s="73" t="n"/>
      <c r="G25" s="30" t="n"/>
    </row>
    <row r="26" ht="14.25" customHeight="1" s="60">
      <c r="B26" s="30">
        <f>IF($C26="","",ROW()-4)</f>
        <v/>
      </c>
      <c r="C26" s="30" t="inlineStr">
        <is>
          <t>01</t>
        </is>
      </c>
      <c r="D26" s="30" t="inlineStr">
        <is>
          <t>Candidato 01 — pasta entregas-candidatos/01 (BagHub 2026.2)</t>
        </is>
      </c>
      <c r="E26" s="30" t="inlineStr">
        <is>
          <t>Avaliador 1</t>
        </is>
      </c>
      <c r="F26" s="73" t="inlineStr">
        <is>
          <t>Usou IA, dá para ver pelo layout: o deck é todo imagem, sem texto selecionável, o relatório é HTML exportado em PDF e o nome do arquivo vem com "McKinsey Style". A profundidade é igual nas quatro seções e a memória de cálculo aparece só em um bairro. Mesmo assim entregou bem: os oito cenários fecham, inclusive o arredondamento dos bancos da Arena, e a recomendação vem com número no slide 2 e na primeira página. Do lado fraco, o critério do rollout muda no meio, com Noite Alta a 64% na frente da Arena a 83%, não há sensibilidade nem ponto de virada entre os modelos, e o slide 7 mostra seis dos oito cenários. Vale levar para a entrevista e pedir para refazer a conta da Estação Central mexendo no custo de operação dos parceiros. Nota 7,87 com V1 e V2 em branco, 8,74 sobre o que é avaliável.</t>
        </is>
      </c>
      <c r="G26" s="30" t="inlineStr">
        <is>
          <t>Passaria para ver a entrevista</t>
        </is>
      </c>
    </row>
    <row r="27" ht="14.25" customHeight="1" s="60">
      <c r="B27" s="30">
        <f>IF($C27="","",ROW()-4)</f>
        <v/>
      </c>
      <c r="C27" s="0" t="inlineStr">
        <is>
          <t>02</t>
        </is>
      </c>
      <c r="D27" s="0" t="inlineStr">
        <is>
          <t>Candidato 02 — pasta entregas-candidatos/02 (case BagHub 2026.2)</t>
        </is>
      </c>
      <c r="E27" s="0" t="inlineStr">
        <is>
          <t>Avaliador 1</t>
        </is>
      </c>
      <c r="F27" s="73" t="inlineStr">
        <is>
          <t>Melhor entrega do conjunto até aqui, e o que separa é a prova de dominância. Em vez de só reportar que os parceiros ganham nos quatro bairros, ele mostra por que: o banco de 40 posições rateado dá R$ 1.750 por posição por ano e o prêmio que o parceiro cobra sobre a operação vai de R$ 400 a R$ 1.400 — como o prêmio é sempre menor, a escolha do modelo se separa da escolha do bairro. Isso é um resultado que sobrevive a mudança de parâmetro, não uma leitura de tabela. Os oito cenários fecham todos, incluindo o arredondamento da Arena, e o anexo traz as premissas numeradas P0 a P11 com a fonte de cada uma. A tensão real do case ele encontrou e resolveu: o Centro Histórico rende R$ 24.500 por posição contra R$ 11.600 da Estação Central, mas a prioridade declarada é rentabilidade anual e a capacidade é contratável, então o lucro por posição não limita o crescimento. O que falta é prazo nos riscos: as mitigações são boas e contratuais, mas nenhuma tem data, e o piloto da pag. 11 não tem duração. Também não há análise de sensibilidade numérica, embora a seção 5.1 funcione como um breakeven implícito. Na entrevista eu pediria: se o banco de armários custasse R$ 50.000 em vez de R$ 70.000, o que muda na sua recomendação? A resposta certa é que o rateio cai para R$ 1.250 por posição, fica abaixo do prêmio de R$ 1.400 da complexidade alta, e os armários passam a ganhar em Noite Alta — quem montou a seção 5.1 responde isso em um minuto. Nota 8,30 com V1 e V2 em branco; considerando só o que dá para avaliar, 9,22.
INDÍCIO DE IA (advisory, não afeta nota): Baixo. Vários indícios de autoria própria. A prova de dominância da seção 5.1 é um achado estrutural específico deste case, não uma leitura dos oito números — é o tipo de generalização que não aparece em saída genérica. Ele nota que a vantagem dos parceiros em Noite Alta é de só R$ 350 por posição e transforma isso em ponto de monitoramento na pag. 11, ou seja, tirou um "e daí" do próprio número. A profundidade é desigual de propósito: o anexo faz a Estação Central por extenso e resume os outros três bairros, exatamente o corte de quem tinha um fim de semana. O único ponto que poderia levantar dúvida é o acabamento formal do anexo, aparentemente composto em LaTeX com notação matemática e premissas numeradas — mas acabamento não é evidência de IA, e a composição em LaTeX aponta para o contrário, porque exige trabalho manual. Pergunta de propriedade para a entrevista: a partir de que custo de banco os armários passam a ganhar em Noite Alta?
[IDENTIFICAÇÃO] Nome no arquivo: Aslan Rodrigues Maia. V1/V2 dele existem nas linhas 17 (Ferro 1/2) e 39 (Proc 2/3).</t>
        </is>
      </c>
      <c r="G27" s="30" t="inlineStr">
        <is>
          <t>Sim</t>
        </is>
      </c>
    </row>
    <row r="28" ht="14.25" customHeight="1" s="60">
      <c r="B28" s="30">
        <f>IF($C28="","",ROW()-4)</f>
        <v/>
      </c>
      <c r="C28" s="0" t="inlineStr">
        <is>
          <t>03</t>
        </is>
      </c>
      <c r="D28" s="0" t="inlineStr">
        <is>
          <t>Candidato 03 — pasta entregas-candidatos/03 (case BagHub 2026.2)</t>
        </is>
      </c>
      <c r="E28" s="0" t="inlineStr">
        <is>
          <t>Avaliador 1</t>
        </is>
      </c>
      <c r="F28" s="73" t="inlineStr">
        <is>
          <t>Entrega honesta e bem conferida, com o melhor artefato de propriedade do conjunto: a planilha tem fórmulas vivas, ROUNDUP e referências entre abas, não é tabela colada. Os oito cenários fecham. O que me chamou atenção foi o cuidado epistêmico — ele separa o que a conta mostra do que a conta não mostra, declina de criar estimativa onde falta dado ("eu preferi apontar a questão em vez de criar uma estimativa") e se recusa a generalizar que parceiros ganham sempre, dizendo que depende dos custos do case. Esse último ponto é onde ele deixa valor na mesa: a generalização era possível e é exatamente o que separa a pasta 02, que provou que o prêmio do parceiro é sempre menor que o banco rateado. O custo maior está na comunicação: os títulos são rótulos de seção e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análise de sensibilidade. Na entrevista eu pediria a conta que ele se recusou a fazer: a partir de que custo do banco de armários o modelo de armários passa a ganhar na Estação Central? Sai da planilha dele em um minuto — o banco teria que cair para R$ 24.000, porque o prêmio do parceiro na complexidade moderada é R$ 600 por posição e 600 x 40 = 24.000. Nota 7,13 com V1 e V2 em branco; considerando só o que dá para avaliar, 7,93.
INDÍCIO DE IA (advisory, não afeta nota): Baixo. Indícios fortes de autoria própria. A planilha é um modelo que funciona, com fórmulas encadeadas entre abas e ROUNDUP, não uma tabela renderizada — é o artefato mais difícil de terceirizar. Ele relata o próprio processo de conferência na pag. 5 ("Na revisão, conferi especialmente o arredondamento dos bancos... esse é um ponto em que um pequeno erro muda bastante o resultado"), o que é metacognição sobre o próprio trabalho. Recusa-se explicitamente a preencher lacuna de dado com estimativa inventada, que é o oposto da tendência de IA de completar tudo. E a profundidade é desigual: páginas 3 a 5 densas, 8 e 9 em lista mais leve. O texto é limpo e organizado, mas isso não é evidência de nada. Pergunta de propriedade para a entrevista: a partir de que custo de banco os armários ganham na Estação Central?
[IDENTIFICAÇÃO] Nome no arquivo: Bruno Heberth Oliveira Bastos. V1/V2 nas linhas 8 (victor 3/1) e 30 (Fred 3/1). ATENÇÃO: a pasta 03 também contém os dois PDFs do Aslan, byte-idênticos aos da pasta 02 (MD5 confere) — arquivos fora de lugar, desconsiderados nesta avaliação.</t>
        </is>
      </c>
      <c r="G28" s="30" t="inlineStr">
        <is>
          <t>Sim</t>
        </is>
      </c>
    </row>
    <row r="29" ht="14.25" customHeight="1" s="60">
      <c r="B29" s="30">
        <f>IF($C29="","",ROW()-4)</f>
        <v/>
      </c>
      <c r="C29" s="0" t="inlineStr">
        <is>
          <t>04</t>
        </is>
      </c>
      <c r="D29" s="0" t="inlineStr">
        <is>
          <t>Candidato 04 — pasta entregas-candidatos/04 (case BagHub 2026.2)</t>
        </is>
      </c>
      <c r="E29" s="0" t="inlineStr">
        <is>
          <t>Avaliador 1</t>
        </is>
      </c>
      <c r="F29" s="73" t="inlineStr">
        <is>
          <t>O problema desta entrega não é a conta, é a decisão. Sete dos oito cenários estão certos e a receita tem memória visível, mas a conclusão anda para o lado oposto dos números. Ele declara que a métrica principal é a margem bruta e então, dentro do bairro que escolheu, prefere armários a 85,7% em vez de parceiros a 90,7% — que também rende R$ 1,35M mais por ano. Escolheu a pior opção pela régua que ele mesmo definiu, e a régua já contrariava a prioridade declarada no case, que é rentabilidade anual, não margem. Some a isso duas contradições factuais: a Estação Central é descartada por "alta complexidade" na pag. 4 depois de ele escrever "complexidade moderada" na pag. 1, e a Arena é descartada por margem abaixo de 80% quando parceiros dá 83,0%. O único erro de cálculo é a Arena com 22,5 bancos em vez de 23, que por ser pequeno caiu na tolerância. Faltam riscos e próximos passos, que o enunciado pede na tarefa 04, e não há uma tabela ou gráfico em cinco páginas de texto corrido. Na entrevista eu faria duas perguntas diretas, e são as mesmas que revelam se ele enxerga o problema: você disse que a métrica principal é a margem bruta, então por que escolheu armários a 85,7% e não parceiros a 90,7% no mesmo bairro? E a Estação Central tem complexidade moderada na pag. 1 e alta na pag. 4 — qual das duas? Nota 2,97 com V1 e V2 em branco; considerando só o que dá para avaliar, 3,30.
INDÍCIO DE IA (advisory, não afeta nota): Baixo. O padrão de erros aponta para autoria própria sem assistência. A contradição interna entre pag. 1 e pag. 4 sobre a complexidade da Estação Central é o tipo de inconsistência de quem escreveu em sessões diferentes sem reler. O registro oscila de primeira pessoa do plural ("iremos analisar", "apresentaremos") para primeira do singular na última frase ("minha indicação"). Deixou de arredondar os bancos da Arena, apesar de a instrução estar escrita no Anexo E — IA tende a seguir instrução explícita. E a ausência total de tabela, numeração e estrutura é o oposto da over-estruturação típica de texto gerado. A recomendação que contraria a própria métrica é falha de raciocínio, não artefato de geração. Pergunta de propriedade para a entrevista: por que armários a 85,7% e não parceiros a 90,7% no Centro Histórico?
[IDENTIFICAÇÃO] Sem nome no arquivo — pasta permanece anônima.</t>
        </is>
      </c>
      <c r="G29" s="30" t="inlineStr">
        <is>
          <t>Não</t>
        </is>
      </c>
    </row>
    <row r="30" ht="14.25" customHeight="1" s="60">
      <c r="B30" s="30">
        <f>IF($C30="","",ROW()-4)</f>
        <v/>
      </c>
      <c r="C30" s="0" t="inlineStr">
        <is>
          <t>05</t>
        </is>
      </c>
      <c r="D30" s="0" t="inlineStr">
        <is>
          <t>Candidato 05 — pasta entregas-candidatos/05 (case BagHub 2026.2)</t>
        </is>
      </c>
      <c r="E30" s="0" t="inlineStr">
        <is>
          <t>Avaliador 1</t>
        </is>
      </c>
      <c r="F30" s="73" t="inlineStr">
        <is>
          <t>Entrega de conta impecável com decisão deliberadamente contra o número, e isso é o que a torna interessante de corrigir. Os oito cenários fecham todos, inclusive o arredondamento da Arena, e a memória de cálculo vem em nove fotos de caderno onde dá para acompanhar a aritmética linha por linha. Ele escolhe o Centro Histórico com parceiros, que é o 2º maior lucro, e reconhece isso por escrito — a escolha se apoia em baixa complexidade, demanda turística sem sazonalidade e eficiência de capital. É um desvio declarado da prioridade do case, não uma contradição, e ele traz lastro para isso: o breakeven do slide 12 calcula em quanto tempo os armários se pagariam contra os parceiros, e os quatro números estão aritmeticamente certos. O problema é a premissa por baixo desse breakeven. Ele trata os R$ 70.000 por banco como investimento de primeiro ano, mas o Anexo E diz que todos os valores são anuais, e essa reinterpretação não aparece em nenhum slide — está só anotada à mão como "1º ano" na foto do caderno. Ou seja, a análise mais sofisticada da entrega roda sobre uma premissa que contraria o material e que o leitor do deck não tem como saber que existe. Duas outras lacunas pesam: não há riscos em lugar nenhum, só razões pelas quais a escolha é segura, e o descarte da Estação Central nunca é justificado, apesar de serem R$ 3,34M a mais. No acabamento, o bairro Noite Alta virou "Alta Noite" em todas as tabelas e dois slides são o anexo do próprio case colado. Na entrevista eu faria duas perguntas, e a segunda é a boa: por que o breakeven trata o banco como investimento se o Anexo E diz que é custo anual? E por que, no rollout do slide 14, os bairros 2 a 4 usam armários se a sua própria tabela mostra parceiros ganhando nos quatro? Quem entendeu o próprio breakeven conecta as duas respostas na hora. Nota 6,03 com V1 e V2 em branco; considerando só o que dá para avaliar, 6,70.
INDÍCIO DE IA (advisory, não afeta nota): Baixo. As nove fotos de caderno são a evidência de propriedade mais forte do conjunto. Elas mostram o processo, não o resultado: a estrutura do case transcrita à mão, a tabela de custos copiada, a derivação da fórmula por banco e a conta de Noite Alta feita passo a passo, com os valores batendo com o deck. A anotação "1º ano" em cima do termo de R$ 70.000 documenta uma decisão de modelagem deliberada, do tipo que não sai de saída genérica. Os typos ("tursita", "esturura"), o nome do bairro trocado em todas as tabelas e a fórmula do slide 6 que não fecha com a própria Arena são descuidos humanos. Pergunta de propriedade para a entrevista: por que o banco entrou como investimento de 1º ano no breakeven se o Anexo E diz que é custo anual?
[IDENTIFICAÇÃO] Nome na capa: Eduardo Alves Henrique. V1/V2 nas linhas 13 (victor 2/0) e 35 (Proc 2/1).</t>
        </is>
      </c>
      <c r="G30" s="30" t="inlineStr">
        <is>
          <t>Passaria para ver a entrevista</t>
        </is>
      </c>
    </row>
    <row r="31" ht="14.25" customHeight="1" s="60">
      <c r="B31" s="30">
        <f>IF($C31="","",ROW()-4)</f>
        <v/>
      </c>
      <c r="C31" s="0" t="inlineStr">
        <is>
          <t>06</t>
        </is>
      </c>
      <c r="D31" s="0" t="inlineStr">
        <is>
          <t>Candidato 06 — pasta entregas-candidatos/06 (case BagHub 2026.2)</t>
        </is>
      </c>
      <c r="E31" s="0" t="inlineStr">
        <is>
          <t>Avaliador 1</t>
        </is>
      </c>
      <c r="F31" s="73" t="inlineStr">
        <is>
          <t>Tecnicamente a entrega mais completa do conjunto, e o que a separa não é a conta, é o que ele faz depois dela. Os oito cenários fecham e a planilha é um modelo de verdade, com ROUNDUP, IF de complexidade, referências entre abas e uma coluna de reconciliação que ele montou para conferir a própria economia. Em cima disso ele faz duas coisas que ninguém mais fez. Primeiro, calcula o break-even do custo do banco nos quatro bairros e publica a fórmula — R$ 24 mil na Estação, R$ 16 mil no Centro, R$ 23,5 mil na Arena e R$ 56 mil em Noite Alta — o que mostra que Noite Alta é o único bairro onde os armários estão perto de ganhar, precisando de apenas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iria direto no que prova propriedade: o break-even da Arena deu R$ 23.478, um número não redondo — de onde vem o 23 no denominador? E se o overhead real der R$ 1,4 mil por posição em vez de R$ 1,15 mil, o que acontece com a sua recomendação? Quem montou o modelo responde as duas em três minutos. Nota 8,33 com V1 e V2 em branco; considerando só o que dá para avaliar, 9,26.
INDÍCIO DE IA (advisory, não afeta nota): Baixo. Foi a leitura mais difícil do conjunto, porque o acabamento é alto e o vocabulário é bem de consultoria (headroom, decision gates, sequenciamento), o que costuma acender alerta. Mas os indícios de propriedade são fortes e específicos. A planilha tem uma coluna de reconciliação que cruza a economia por dois caminhos independentes — ninguém constrói autoconferência num modelo que não montou. O break-even da Arena saiu R$ 23.478,26, valor não redondo porque o denominador é o teto de 900/40, e ele não arredondou para embelezar. E o número R$ 1,15 mil por posição aparece encadeado em três artefatos diferentes: sai da planilha como headroom, reaparece no slide 9 como KPI de risco e no slide 10 como gate do piloto — esse tipo de encadeamento entre artefatos é difícil de fabricar. Somam-se descuidos humanos: o "hhh" no nome do arquivo e a numeração de seção trocada entre os slides 7 e 8. Por fim, ele aponta o que está ausente do material, e não só o que está presente, o que é o oposto da tendência de aceitar o input como completo. Pergunta de propriedade para a entrevista: de onde vem o 23 no denominador do break-even da Arena, e o que acontece se o overhead real for R$ 1,4 mil por posição?
[IDENTIFICAÇÃO] Nome no arquivo: Enrico (Tristão e Mello de Oliveira). V1/V2 nas linhas 12 (victor 2/1) e 34 (Ferro 2/1).</t>
        </is>
      </c>
      <c r="G31" s="30" t="inlineStr">
        <is>
          <t>Sim</t>
        </is>
      </c>
    </row>
    <row r="32" ht="14.25" customHeight="1" s="60">
      <c r="B32" s="30">
        <f>IF($C32="","",ROW()-4)</f>
        <v/>
      </c>
      <c r="C32" s="0" t="inlineStr">
        <is>
          <t>07</t>
        </is>
      </c>
      <c r="D32" s="0" t="inlineStr">
        <is>
          <t>Candidato 07 — pasta entregas-candidatos/07 (case BagHub 2026.2)</t>
        </is>
      </c>
      <c r="E32" s="0" t="inlineStr">
        <is>
          <t>Avaliador 1</t>
        </is>
      </c>
      <c r="F32" s="73" t="inlineStr">
        <is>
          <t>Maior nota do conjunto, e o que decide é disciplina de modelagem somada à pergunta certa de robustez. Os oito cenários fecham e a planilha tem infraestrutura de autoconferência: um bloco de Conferências com três checagens que têm de dar zero, mais um validador que responde OK ou REVER se a capacidade física não cobrir a necessária. Ele é o único que modela explicitamente a sobra do arredondamento — 23 bancos na Arena dão 920 posições físicas para 900 necessárias, e ele registra as 20 de sobra sem deixar isso contaminar o custo, que segue nas posições necessárias. E é o único que antecipou por escrito a armadilha em que a pasta 05 caiu: a aba Premissas diz, em letras claras, que todos os custos são anuais e que o banco não é CAPEX. O melhor da entrega, porém, é 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Vale um contraponto que eu levaria à entrevista: 9,3% de folga não é obviamente "risco baixo" como ele afirma no slide — é uma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perguntaria: por que a queda admissível até zerar (77,3%) é exatamente igual à sua margem operacional? Quem entendeu que todo custo do case é fixo responde na hora, e quem só preencheu a planilha travá. Nota 8,60 com V1 e V2 em branco; considerando só o que dá para avaliar, 9,56.
INDÍCIO DE IA (advisory, não afeta nota): Baixo. Indícios consistentes de autoria própria, e vêm da disciplina do modelo. A planilha tem um bloco de Conferências com três identidades que devem zerar e um validador condicional de capacidade — ninguém constrói autoauditoria num modelo que não montou. A aba Premissas documenta convenção de cores do próprio modelo e deixa uma nota de manutenção para quem for usá-lo depois ("as conclusões textuais descrevem a base original, revise-as se alterar os dados"), que é escrita para um leitor futuro, não para um avaliador. Ele marca sistematicamente o que não pode saber: "distâncias e tempos não foram informados", "hipótese a validar", "médias diárias usam 7 dias apenas como normalização, não representam picos". Esse hábito de rotular a própria inferência é o oposto de texto gerado, que tende a afirmar com confiança uniforme. E a pergunta dos 9,28% é derivada, não óbvia. Pergunta de propriedade para a entrevista: por que a queda admissível de demanda até zerar dá exatamente a sua margem operacional?
[IDENTIFICAÇÃO] Sem nome nos arquivos — pasta permanece anônima. Precisa do mapa número-candidato para trazer V1/V2.</t>
        </is>
      </c>
      <c r="G32" s="30" t="inlineStr">
        <is>
          <t>Sim</t>
        </is>
      </c>
    </row>
    <row r="33" ht="14.25" customHeight="1" s="60">
      <c r="B33" s="30">
        <f>IF($C33="","",ROW()-4)</f>
        <v/>
      </c>
      <c r="C33" s="0" t="inlineStr">
        <is>
          <t>08</t>
        </is>
      </c>
      <c r="D33" s="0" t="inlineStr">
        <is>
          <t>Candidato 08 — pasta entregas-candidatos/08 (case BagHub 2026.2)</t>
        </is>
      </c>
      <c r="E33" s="0" t="inlineStr">
        <is>
          <t>Avaliador 1</t>
        </is>
      </c>
      <c r="F33" s="73" t="inlineStr">
        <is>
          <t>Entrega sólida, com o mérito de a conta estar certa e a memória de cálculo ser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 a memória de cálculo usa os valores certos, então é erro de transcrição, mas está no slide que serve justamente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que pareia riscos com próximos passos que não os endereçam. Na entrevista eu faria duas perguntas: no slide 4 o Centro Histórico aparece como complexidade Alta e suas contas usam Baixa, qual é o certo? E, puxando o achado dela: a partir de que custo de banco os armários passariam a ganhar na Estação Central? A resposta é R$ 24.000, e sai direto do R$ 1.750 que ela mesma derivou. Nota 7,33 com V1 e V2 em branco; considerando só o que dá para avaliar, 8,15.
INDÍCIO DE IA (advisory, não afeta nota): Baixo. Indícios claros de autoria própria. A memória de cálculo manuscrita mostra o processo, não só o resultado, com as premissas anotadas, o Anexo E transcrito à mão e o arredondamento resolvido na frente do leitor ("900:40 = 22,5 ≈ 23"). O erro de complexidade do slide 4 convivendo com contas que usam o valor correto é a assinatura de erro humano de transcrição: uma saída gerada seria internamente consistente, certa ou errada nos dois lugares. A referência a um "relatório escrito" que não foi anexado, e um arquivo pessoal que entrou por engano na pasta, indicam upload apressado. Pergunta de propriedade para a entrevista: no slide 4 o Centro Histórico está como Alta e suas contas usam Baixa — qual é o certo?
[ALERTA] URGENTE — o arquivo IMG-20260918-WA0254.jpg não tem relação com o case: é a captura de tela de um comprovante de compra parcelada, com valores, datas de vencimento e dados financeiros pessoais. Foi anexado por engano. Recomendo remover do repositório antes de qualquer coisa, porque o repositório chegou a ficar público. Não avaliei esse arquivo e não reproduzi seu conteúdo.
[IDENTIFICAÇÃO] Nome na capa: Gabrielle Cristofani do Rosario. V1/V2 nas linhas 7 (victor 2/2) e 29 (Fred 3/2).</t>
        </is>
      </c>
      <c r="G33" s="30" t="inlineStr">
        <is>
          <t>Sim</t>
        </is>
      </c>
    </row>
    <row r="34" ht="14.25" customHeight="1" s="60">
      <c r="B34" s="30">
        <f>IF($C34="","",ROW()-4)</f>
        <v/>
      </c>
      <c r="C34" t="inlineStr">
        <is>
          <t>09</t>
        </is>
      </c>
      <c r="D34" t="inlineStr">
        <is>
          <t>Candidato 09 — pasta entregas-candidatos/09 (case BagHub 2026.2)</t>
        </is>
      </c>
      <c r="E34" t="inlineStr">
        <is>
          <t>Avaliador 1</t>
        </is>
      </c>
      <c r="F34" s="73" t="inlineStr">
        <is>
          <t>Entrega de alto nível com um erro de leitura que atravessa metade dela, e as duas coisas precisam ser ditas juntas. O que está muito bom: o score multicritério é o método mais transparente do conjunto — pesos publicados, critério de normalização coerente (conferi a interpolação do resultado operacional e fecha), e as oito alternativas comparadas na mesma régua. Os action titles são exemplares, inclusive o do slide 4, que assume o contra-argumento em vez de esconder ("Centro lidera a margem, apesar de abrir mão de R$ 3,34 mi"). Os riscos são específicos e mitigados. E na Arena ele fixou 23 bancos à mão, contra a fórmula que daria 22,5, o que mostra que viu o arredondamento. O problema: a partir do slide 8, tudo se apoia em remover o custo do banco do Ano 2 em diante, como se os R$ 70.000 fossem investimento inicial. O Anexo E diz, em letras claras, que todos os valores são anuais. Sob a premissa correta, os armários nunca superam os parceiros em nenhum bairro, e aí caem o score de expansão, o R$ 29,28 mi recorrente, o R$ 142,20 mi de cinco anos e o roadmap bifásico inteiro — que é justamente a parte mais original da entrega. A pasta 05 cometeu o mesmo erro, mas confinado a um slide e anotado à mão como decisão consciente; aqui ele é a espinha dorsal e não está declarado em lugar nenhum. Vale registrar que a pasta 07 antecipou exatamente esse risco por escrito na aba de premissas. Segundo ponto, menor: ele lê a "prioridade de rentabilidade anual" como margem, quando o resto da frase no case ("que deverá sustentar a expansão") aponta para caixa absoluto. É leitura defensável e está declarada, mas é o que o faz escolher a 2ª melhor opção. Na entrevista eu faria uma pergunta só, e ela vale a etapa toda: o Anexo E diz que todos os custos são anuais, inclusive os R$ 70.000 por banco. Seu modelo remove esse custo a partir do Ano 2 — por quê, e o que acontece com a sua recomendação se ele for mesmo anual? Quem entendeu o próprio modelo reconhece na hora que o roadmap cai. Nota 8,30 com V1 e V2 em branco; considerando só o que dá para avaliar, 9,22.
INDÍCIO DE IA (advisory, não afeta nota): Baixo. Indícios de autoria própria. O mais claro é a Arena com 23 bancos digitados à mão enquanto os outros três bairros usam a fórmula de divisão — é alguém que rodou o modelo, viu 22,5 aparecer e corrigiu pontualmente, o que uma geração uniforme não faz. A planilha tem marcas de trabalho manual: células com "IDEM" como abreviação, "Noite alta" em minúscula na planilha contra "Noite Alta" no deck, e uma observação solta no canto explicando a convenção dos anos 2 a 5. A normalização do score é internamente consistente e foi conferida. E o erro central — tratar custo anual como investimento — é falha de interpretação de quem leu rápido e seguiu adiante, não artefato de geração; texto gerado tende a repetir a premissa do enunciado, não a contrariá-la. Pergunta de propriedade para a entrevista: por que o custo do banco desaparece a partir do Ano 2 se o Anexo E diz que é anual?
[IDENTIFICAÇÃO] Sem nome nos arquivos — pasta permanece anônima.</t>
        </is>
      </c>
      <c r="G34" s="30" t="inlineStr"/>
    </row>
    <row r="35" ht="14.25" customHeight="1" s="60">
      <c r="B35" s="30">
        <f>IF($C35="","",ROW()-4)</f>
        <v/>
      </c>
      <c r="C35" t="inlineStr">
        <is>
          <t>10</t>
        </is>
      </c>
      <c r="D35" t="inlineStr">
        <is>
          <t>Candidato 10 — pasta entregas-candidatos/10 (case BagHub 2026.2)</t>
        </is>
      </c>
      <c r="E35" t="inlineStr">
        <is>
          <t>Avaliador 1</t>
        </is>
      </c>
      <c r="F35" s="73" t="inlineStr">
        <is>
          <t>A melhor ideia do conjunto está nesta entrega, e ela está na seção 7. Em vez de justificar uma escolha qualitativa com adjetivos, ele precifica: trocar parceiros por armários na Estação e em Noite Alta custa R$ 3.390.000 por ano, e está escrito. Isso transforma um julgamento em algo que a diretoria pode aceitar ou recusar com um número na mão, e é exatamente o que se espera de consultoria. O argumento por trás também é sólido e ancorado no material — o Anexo D diz que parceiros têm horários variáveis e que armários operam 24h, e uma estação com 110 mil embarques/dia não combina com horário de comércio. Em Noite Alta ele vai além do que o case dá e explicita por que a complexidade é alta: confusão de itens, perda de comprovante e disputa sobre custódia com cliente embriagado. Isso é raciocínio próprio. Dois reparos de peso. O primeiro é a agregação: ele soma os quatro bairros para chegar aos R$ 83,09M, mas o case pede um bairro prioritário e uma sequência, não quatro lançamentos simultâneos — restrita à decisão real, a abdicação é R$ 2,76M, não R$ 3,39M. A ideia está certa e a conta está na base errada. O segundo é que ele lista apenas os riscos da opção que descartou. Escolheu armários e não diz uma palavra sobre os riscos de armários — 60 bancos para instalar, capital imobilizado, dependência tecnológica. Falta também qualquer próximo passo, que a tarefa 04 pede explicitamente. E enviar o rascunho junto, com os separadores de "######", custou ponto de forma sem necessidade. Na entrevista eu faria as duas perguntas que fecham os buracos: se a decisão é só sobre a Estação, quanto você está abdicando de fato? E quais são os riscos de escolher armários, já que você só listou os de parceiros? Nota 6,57 com V1 e V2 em branco; considerando só o que dá para avaliar, 7,30.
INDÍCIO DE IA (advisory, não afeta nota): Baixo. Indícios fortes de autoria própria. O rascunho enviado junto é material de trabalho pessoal — anotações em caixa alta separadas por linhas de "######", com a estrutura do case transcrita e as contas sendo desenvolvidas; ninguém gera isso, e a progressão rascunho para relatório final deixa o processo de escrita visível. O raciocínio de Noite Alta é idiossincrático e coloquial ("malícia de próprios comerciantes", as duas perguntas entre aspas sobre o estado alcoólico do cliente) de um jeito que texto gerado raramente é. Ele marca a própria suposição na Arena com "supõe-se", em vez de afirmar. E a nota de procedência no fim ("nenhum dado adicional foi estimado ou incorporado") é uma afirmação deliberada de método. Pergunta de propriedade para a entrevista: restrita à Estação, quanto custa a sua escolha por armários?
[IDENTIFICAÇÃO] Sem nome nos arquivos — pasta permanece anônima.</t>
        </is>
      </c>
      <c r="G35" s="30" t="inlineStr"/>
    </row>
    <row r="36" ht="14.25" customHeight="1" s="60">
      <c r="B36" s="30">
        <f>IF($C36="","",ROW()-4)</f>
        <v/>
      </c>
      <c r="C36" t="inlineStr">
        <is>
          <t>11</t>
        </is>
      </c>
      <c r="D36" t="inlineStr">
        <is>
          <t>Candidato 11 — pasta entregas-candidatos/11 (case BagHub 2026.2)</t>
        </is>
      </c>
      <c r="E36" t="inlineStr">
        <is>
          <t>Avaliador 1</t>
        </is>
      </c>
      <c r="F36" s="73" t="inlineStr">
        <is>
          <t>A análise está certa e a comunicação é que derruba a nota, o que é uma pena porque os dois problemas são baratos de resolver. Os oito cenários fecham todos,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faria duas perguntas: na página 3 a Arena aparece com 33% de utilização e na 12 você diz que ela tem a mais baixa, 31% — qual é a certa? E você colocou a Arena (R$ 14,94M) à frente de Noite Alta (R$ 19,20M) no ranking; qual é o critério? A segunda ela deve responder bem, porque a lógica de margem e volatilidade está escrita. Nota 6,07 com V1 e V2 em branco; considerando só o que dá para avaliar, 6,74.
INDÍCIO DE IA (advisory, não afeta nota): Baixo. Indícios claros de autoria própria, todos vindos do padrão de erro. "Armários inteligententes" repetido igual nas quatro tabelas é copy-paste de um typo humano. "Bag Huby" na capa, "calcúlos" e "Operacao" sem acento, "Central Histórico" trocado. O texto de template "BACK TO AGENDA" esquecido no slide 4 indica deck montado sobre modelo e não revisado. E a utilização trocada no slide 3 convivendo com o valor correto no slide 12 é inconsistência interna de transcrição: saída gerada tende a ser ortograficamente limpa e coerente consigo mesma. Pergunta de propriedade para a entrevista: a utilização da Arena é 31% ou 33%, e por que ela vem antes de Noite Alta no ranking?
[IDENTIFICAÇÃO] Nome na capa e e-mail no último slide: Leandra Cunha de Souza (l304532@dac.unicamp.br). V1/V2 nas linhas 14 (victor 2/2) e 36 (Proc 2/2).</t>
        </is>
      </c>
      <c r="G36" s="30" t="inlineStr"/>
    </row>
    <row r="37" ht="14.25" customHeight="1" s="60">
      <c r="B37" s="30">
        <f>IF($C37="","",ROW()-4)</f>
        <v/>
      </c>
      <c r="F37" s="73" t="n"/>
      <c r="G37" s="30" t="n"/>
    </row>
    <row r="38" ht="14.25" customHeight="1" s="60">
      <c r="B38" s="30">
        <f>IF($C38="","",ROW()-4)</f>
        <v/>
      </c>
      <c r="F38" s="73" t="n"/>
      <c r="G38" s="30" t="n"/>
    </row>
    <row r="39" ht="14.25" customHeight="1" s="60">
      <c r="B39" s="30">
        <f>IF($C39="","",ROW()-4)</f>
        <v/>
      </c>
      <c r="F39" s="73" t="n"/>
      <c r="G39" s="30" t="n"/>
    </row>
    <row r="40" ht="14.25" customHeight="1" s="60">
      <c r="B40" s="30">
        <f>IF($C40="","",ROW()-4)</f>
        <v/>
      </c>
      <c r="F40" s="73" t="n"/>
      <c r="G40" s="30" t="n"/>
    </row>
    <row r="41" ht="14.25" customHeight="1" s="60">
      <c r="B41" s="30">
        <f>IF($C41="","",ROW()-4)</f>
        <v/>
      </c>
      <c r="F41" s="73" t="n"/>
      <c r="G41" s="30" t="n"/>
    </row>
    <row r="42" ht="14.25" customHeight="1" s="60">
      <c r="B42" s="30">
        <f>IF($C42="","",ROW()-4)</f>
        <v/>
      </c>
      <c r="F42" s="73" t="n"/>
      <c r="G42" s="30" t="n"/>
    </row>
    <row r="43" ht="14.25" customHeight="1" s="60">
      <c r="B43" s="30">
        <f>IF($C43="","",ROW()-4)</f>
        <v/>
      </c>
      <c r="F43" s="73" t="n"/>
      <c r="G43" s="30" t="n"/>
    </row>
    <row r="44" ht="14.25" customHeight="1" s="60">
      <c r="B44" s="30">
        <f>IF($C44="","",ROW()-4)</f>
        <v/>
      </c>
      <c r="F44" s="73" t="n"/>
      <c r="G44" s="30" t="n"/>
    </row>
    <row r="45" ht="14.25" customHeight="1" s="60">
      <c r="B45" s="30">
        <f>IF($C45="","",ROW()-4)</f>
        <v/>
      </c>
      <c r="F45" s="73" t="n"/>
      <c r="G45" s="30" t="n"/>
    </row>
    <row r="46" ht="14.25" customHeight="1" s="60">
      <c r="B46" s="30">
        <f>IF($C46="","",ROW()-4)</f>
        <v/>
      </c>
      <c r="F46" s="73" t="n"/>
      <c r="G46" s="30" t="n"/>
    </row>
    <row r="47" ht="14.25" customHeight="1" s="60">
      <c r="B47" s="30">
        <f>IF($C47="","",ROW()-4)</f>
        <v/>
      </c>
      <c r="F47" s="73" t="n"/>
      <c r="G47" s="30" t="n"/>
    </row>
    <row r="48" ht="14.25" customHeight="1" s="60">
      <c r="B48" s="30">
        <f>IF($C48="","",ROW()-4)</f>
        <v/>
      </c>
      <c r="F48" s="73" t="n"/>
      <c r="G48" s="30" t="n"/>
    </row>
    <row r="49" ht="14.25" customHeight="1" s="60">
      <c r="B49" s="30">
        <f>IF($C49="","",ROW()-4)</f>
        <v/>
      </c>
      <c r="F49" s="73" t="n"/>
      <c r="G49" s="30" t="n"/>
    </row>
    <row r="50" ht="14.25" customHeight="1" s="60">
      <c r="B50" s="30">
        <f>IF($C50="","",ROW()-4)</f>
        <v/>
      </c>
      <c r="F50" s="73" t="n"/>
      <c r="G50" s="30" t="n"/>
    </row>
    <row r="51" ht="14.25" customHeight="1" s="60">
      <c r="B51" s="30">
        <f>IF($C51="","",ROW()-4)</f>
        <v/>
      </c>
      <c r="F51" s="73" t="n"/>
      <c r="G51" s="30" t="n"/>
    </row>
    <row r="52" ht="14.25" customHeight="1" s="60">
      <c r="B52" s="30">
        <f>IF($C52="","",ROW()-4)</f>
        <v/>
      </c>
      <c r="F52" s="73" t="n"/>
      <c r="G52" s="30" t="n"/>
    </row>
    <row r="53" ht="14.25" customHeight="1" s="60">
      <c r="B53" s="30">
        <f>IF($C53="","",ROW()-4)</f>
        <v/>
      </c>
      <c r="F53" s="73" t="n"/>
      <c r="G53" s="30" t="n"/>
    </row>
    <row r="54" ht="14.25" customHeight="1" s="60">
      <c r="B54" s="30">
        <f>IF($C54="","",ROW()-4)</f>
        <v/>
      </c>
      <c r="F54" s="73" t="n"/>
      <c r="G54" s="30" t="n"/>
    </row>
    <row r="55" ht="14.25" customHeight="1" s="60">
      <c r="B55" s="30">
        <f>IF($C55="","",ROW()-4)</f>
        <v/>
      </c>
      <c r="F55" s="73" t="n"/>
      <c r="G55" s="30" t="n"/>
    </row>
    <row r="56" ht="14.25" customHeight="1" s="60">
      <c r="B56" s="30">
        <f>IF($C56="","",ROW()-4)</f>
        <v/>
      </c>
      <c r="F56" s="73" t="n"/>
      <c r="G56" s="30" t="n"/>
    </row>
    <row r="57" ht="14.25" customHeight="1" s="60">
      <c r="B57" s="30">
        <f>IF($C57="","",ROW()-4)</f>
        <v/>
      </c>
      <c r="F57" s="73" t="n"/>
      <c r="G57" s="30" t="n"/>
    </row>
    <row r="58" ht="14.25" customHeight="1" s="60">
      <c r="B58" s="30">
        <f>IF($C58="","",ROW()-4)</f>
        <v/>
      </c>
      <c r="F58" s="73" t="n"/>
      <c r="G58" s="30" t="n"/>
    </row>
    <row r="59" ht="14.25" customHeight="1" s="60">
      <c r="B59" s="30">
        <f>IF($C59="","",ROW()-4)</f>
        <v/>
      </c>
      <c r="F59" s="73" t="n"/>
      <c r="G59" s="30" t="n"/>
    </row>
    <row r="60" ht="14.25" customHeight="1" s="60">
      <c r="B60" s="30">
        <f>IF($C60="","",ROW()-4)</f>
        <v/>
      </c>
      <c r="F60" s="73" t="n"/>
      <c r="G60" s="30" t="n"/>
    </row>
    <row r="61" ht="14.25" customHeight="1" s="60">
      <c r="B61" s="30">
        <f>IF($C61="","",ROW()-4)</f>
        <v/>
      </c>
      <c r="F61" s="73" t="n"/>
      <c r="G61" s="30" t="n"/>
    </row>
    <row r="62" ht="14.25" customHeight="1" s="60">
      <c r="B62" s="30">
        <f>IF($C62="","",ROW()-4)</f>
        <v/>
      </c>
      <c r="F62" s="73" t="n"/>
      <c r="G62" s="30" t="n"/>
    </row>
    <row r="63" ht="14.25" customHeight="1" s="60">
      <c r="B63" s="30">
        <f>IF($C63="","",ROW()-4)</f>
        <v/>
      </c>
      <c r="F63" s="73" t="n"/>
      <c r="G63" s="30" t="n"/>
    </row>
    <row r="64" ht="14.25" customHeight="1" s="60">
      <c r="B64" s="30">
        <f>IF($C64="","",ROW()-4)</f>
        <v/>
      </c>
      <c r="F64" s="73" t="n"/>
      <c r="G64" s="30" t="n"/>
    </row>
    <row r="65" ht="14.25" customHeight="1" s="60">
      <c r="B65" s="30">
        <f>IF($C65="","",ROW()-4)</f>
        <v/>
      </c>
      <c r="F65" s="73" t="n"/>
      <c r="G65" s="30" t="n"/>
    </row>
    <row r="66" ht="14.25" customHeight="1" s="60">
      <c r="B66" s="30">
        <f>IF($C66="","",ROW()-4)</f>
        <v/>
      </c>
      <c r="F66" s="73" t="n"/>
      <c r="G66" s="30" t="n"/>
    </row>
    <row r="67" ht="14.25" customHeight="1" s="60">
      <c r="B67" s="30">
        <f>IF($C67="","",ROW()-4)</f>
        <v/>
      </c>
      <c r="F67" s="73" t="n"/>
      <c r="G67" s="30" t="n"/>
    </row>
    <row r="68" ht="14.25" customHeight="1" s="60">
      <c r="B68" s="30">
        <f>IF($C68="","",ROW()-4)</f>
        <v/>
      </c>
      <c r="F68" s="73" t="n"/>
      <c r="G68" s="30" t="n"/>
    </row>
    <row r="69" ht="14.25" customHeight="1" s="60">
      <c r="B69" s="30">
        <f>IF($C69="","",ROW()-4)</f>
        <v/>
      </c>
      <c r="F69" s="73" t="n"/>
      <c r="G69" s="30" t="n"/>
    </row>
    <row r="70" ht="14.25" customHeight="1" s="60">
      <c r="B70" s="30">
        <f>IF($C70="","",ROW()-4)</f>
        <v/>
      </c>
      <c r="F70" s="73" t="n"/>
      <c r="G70" s="30" t="n"/>
    </row>
    <row r="71" ht="14.25" customHeight="1" s="60">
      <c r="B71" s="30">
        <f>IF($C71="","",ROW()-4)</f>
        <v/>
      </c>
      <c r="F71" s="73" t="n"/>
      <c r="G71" s="30" t="n"/>
    </row>
    <row r="72" ht="14.25" customHeight="1" s="60">
      <c r="B72" s="30">
        <f>IF($C72="","",ROW()-4)</f>
        <v/>
      </c>
      <c r="F72" s="73" t="n"/>
      <c r="G72" s="30" t="n"/>
    </row>
    <row r="73" ht="14.25" customHeight="1" s="60">
      <c r="B73" s="30">
        <f>IF($C73="","",ROW()-4)</f>
        <v/>
      </c>
      <c r="F73" s="73" t="n"/>
      <c r="G73" s="30" t="n"/>
    </row>
    <row r="74" ht="14.25" customHeight="1" s="60">
      <c r="B74" s="30">
        <f>IF($C74="","",ROW()-4)</f>
        <v/>
      </c>
      <c r="F74" s="73" t="n"/>
      <c r="G74" s="30" t="n"/>
    </row>
    <row r="75" ht="14.25" customHeight="1" s="60">
      <c r="B75" s="30">
        <f>IF($C75="","",ROW()-4)</f>
        <v/>
      </c>
      <c r="F75" s="73" t="n"/>
      <c r="G75" s="30" t="n"/>
    </row>
    <row r="76" ht="14.25" customHeight="1" s="60">
      <c r="B76" s="30">
        <f>IF($C76="","",ROW()-4)</f>
        <v/>
      </c>
      <c r="F76" s="73" t="n"/>
      <c r="G76" s="30" t="n"/>
    </row>
    <row r="77" ht="14.25" customHeight="1" s="60">
      <c r="B77" s="30">
        <f>IF($C77="","",ROW()-4)</f>
        <v/>
      </c>
      <c r="F77" s="73" t="n"/>
      <c r="G77" s="30" t="n"/>
    </row>
    <row r="78" ht="14.25" customHeight="1" s="60">
      <c r="B78" s="30">
        <f>IF($C78="","",ROW()-4)</f>
        <v/>
      </c>
      <c r="F78" s="73" t="n"/>
      <c r="G78" s="30" t="n"/>
    </row>
    <row r="79" ht="14.25" customHeight="1" s="60">
      <c r="B79" s="30">
        <f>IF($C79="","",ROW()-4)</f>
        <v/>
      </c>
      <c r="F79" s="73" t="n"/>
      <c r="G79" s="30" t="n"/>
    </row>
    <row r="80" ht="14.25" customHeight="1" s="60">
      <c r="B80" s="30">
        <f>IF($C80="","",ROW()-4)</f>
        <v/>
      </c>
      <c r="F80" s="73" t="n"/>
      <c r="G80" s="30" t="n"/>
    </row>
    <row r="81" ht="14.25" customHeight="1" s="60">
      <c r="B81" s="30">
        <f>IF($C81="","",ROW()-4)</f>
        <v/>
      </c>
      <c r="F81" s="73" t="n"/>
      <c r="G81" s="30" t="n"/>
    </row>
    <row r="82" ht="14.25" customHeight="1" s="60">
      <c r="B82" s="30">
        <f>IF($C82="","",ROW()-4)</f>
        <v/>
      </c>
      <c r="F82" s="73" t="n"/>
      <c r="G82" s="30" t="n"/>
    </row>
    <row r="83" ht="14.25" customHeight="1" s="60">
      <c r="B83" s="30">
        <f>IF($C83="","",ROW()-4)</f>
        <v/>
      </c>
      <c r="F83" s="73" t="n"/>
      <c r="G83" s="30" t="n"/>
    </row>
    <row r="84" ht="14.25" customHeight="1" s="60">
      <c r="B84" s="30">
        <f>IF($C84="","",ROW()-4)</f>
        <v/>
      </c>
      <c r="F84" s="73" t="n"/>
      <c r="G84" s="30" t="n"/>
    </row>
    <row r="85" ht="14.25" customHeight="1" s="60">
      <c r="B85" s="30">
        <f>IF($C85="","",ROW()-4)</f>
        <v/>
      </c>
      <c r="F85" s="73" t="n"/>
      <c r="G85" s="30" t="n"/>
    </row>
    <row r="86" ht="14.25" customHeight="1" s="60">
      <c r="B86" s="30">
        <f>IF($C86="","",ROW()-4)</f>
        <v/>
      </c>
      <c r="F86" s="73" t="n"/>
      <c r="G86" s="30" t="n"/>
    </row>
    <row r="87" ht="14.25" customHeight="1" s="60">
      <c r="B87" s="30">
        <f>IF($C87="","",ROW()-4)</f>
        <v/>
      </c>
      <c r="F87" s="73" t="n"/>
      <c r="G87" s="30" t="n"/>
    </row>
    <row r="88" ht="14.25" customHeight="1" s="60">
      <c r="B88" s="30">
        <f>IF($C88="","",ROW()-4)</f>
        <v/>
      </c>
      <c r="F88" s="73" t="n"/>
      <c r="G88" s="30" t="n"/>
    </row>
    <row r="89" ht="14.25" customHeight="1" s="60">
      <c r="B89" s="30">
        <f>IF($C89="","",ROW()-4)</f>
        <v/>
      </c>
      <c r="F89" s="73" t="n"/>
      <c r="G89" s="30" t="n"/>
    </row>
    <row r="90" ht="14.25" customHeight="1" s="60">
      <c r="B90" s="30">
        <f>IF($C90="","",ROW()-4)</f>
        <v/>
      </c>
      <c r="F90" s="73" t="n"/>
      <c r="G90" s="30" t="n"/>
    </row>
    <row r="91" ht="14.25" customHeight="1" s="60">
      <c r="B91" s="30">
        <f>IF($C91="","",ROW()-4)</f>
        <v/>
      </c>
      <c r="F91" s="73" t="n"/>
      <c r="G91" s="30" t="n"/>
    </row>
    <row r="92" ht="14.25" customHeight="1" s="60">
      <c r="B92" s="30">
        <f>IF($C92="","",ROW()-4)</f>
        <v/>
      </c>
      <c r="F92" s="73" t="n"/>
      <c r="G92" s="30" t="n"/>
    </row>
    <row r="93" ht="14.25" customHeight="1" s="60">
      <c r="B93" s="30">
        <f>IF($C93="","",ROW()-4)</f>
        <v/>
      </c>
      <c r="F93" s="73" t="n"/>
      <c r="G93" s="30" t="n"/>
    </row>
    <row r="94" ht="14.25" customHeight="1" s="60">
      <c r="B94" s="30">
        <f>IF($C94="","",ROW()-4)</f>
        <v/>
      </c>
      <c r="F94" s="73" t="n"/>
      <c r="G94" s="30" t="n"/>
    </row>
    <row r="95" ht="14.25" customHeight="1" s="60">
      <c r="B95" s="30">
        <f>IF($C95="","",ROW()-4)</f>
        <v/>
      </c>
      <c r="F95" s="73" t="n"/>
      <c r="G95" s="30" t="n"/>
    </row>
    <row r="96" ht="14.25" customHeight="1" s="60">
      <c r="B96" s="30">
        <f>IF($C96="","",ROW()-4)</f>
        <v/>
      </c>
      <c r="F96" s="73" t="n"/>
      <c r="G96" s="30" t="n"/>
    </row>
    <row r="97" ht="14.25" customHeight="1" s="60">
      <c r="B97" s="30">
        <f>IF($C97="","",ROW()-4)</f>
        <v/>
      </c>
      <c r="F97" s="73" t="n"/>
      <c r="G97" s="30" t="n"/>
    </row>
    <row r="98" ht="14.25" customHeight="1" s="60">
      <c r="B98" s="30">
        <f>IF($C98="","",ROW()-4)</f>
        <v/>
      </c>
      <c r="F98" s="73" t="n"/>
      <c r="G98" s="30" t="n"/>
    </row>
    <row r="99" ht="14.25" customHeight="1" s="60">
      <c r="B99" s="30">
        <f>IF($C99="","",ROW()-4)</f>
        <v/>
      </c>
      <c r="F99" s="73" t="n"/>
      <c r="G99" s="30" t="n"/>
    </row>
    <row r="100" ht="14.25" customHeight="1" s="60">
      <c r="B100" s="30">
        <f>IF($C100="","",ROW()-4)</f>
        <v/>
      </c>
      <c r="F100" s="73" t="n"/>
      <c r="G100" s="30" t="n"/>
    </row>
    <row r="101" ht="14.25" customHeight="1" s="60">
      <c r="B101" s="30">
        <f>IF($C101="","",ROW()-4)</f>
        <v/>
      </c>
      <c r="F101" s="73" t="n"/>
      <c r="G101" s="30" t="n"/>
    </row>
    <row r="102" ht="14.25" customHeight="1" s="60">
      <c r="B102" s="30">
        <f>IF($C102="","",ROW()-4)</f>
        <v/>
      </c>
      <c r="F102" s="73" t="n"/>
      <c r="G102" s="30" t="n"/>
    </row>
    <row r="103" ht="14.25" customHeight="1" s="60">
      <c r="B103" s="30">
        <f>IF($C103="","",ROW()-4)</f>
        <v/>
      </c>
      <c r="F103" s="73" t="n"/>
      <c r="G103" s="30" t="n"/>
    </row>
    <row r="104" ht="14.25" customHeight="1" s="60">
      <c r="B104" s="30">
        <f>IF($C104="","",ROW()-4)</f>
        <v/>
      </c>
      <c r="F104" s="73" t="n"/>
      <c r="G104" s="30" t="n"/>
    </row>
    <row r="105" ht="14.25" customHeight="1" s="60">
      <c r="B105" s="30">
        <f>IF($C105="","",ROW()-4)</f>
        <v/>
      </c>
      <c r="F105" s="73" t="n"/>
      <c r="G105" s="30" t="n"/>
    </row>
    <row r="106" ht="14.25" customHeight="1" s="60">
      <c r="B106" s="30">
        <f>IF($C106="","",ROW()-4)</f>
        <v/>
      </c>
      <c r="F106" s="73" t="n"/>
      <c r="G106" s="30" t="n"/>
    </row>
    <row r="107" ht="14.25" customHeight="1" s="60">
      <c r="B107" s="30">
        <f>IF($C107="","",ROW()-4)</f>
        <v/>
      </c>
      <c r="F107" s="73" t="n"/>
      <c r="G107" s="30" t="n"/>
    </row>
    <row r="108" ht="14.25" customHeight="1" s="60">
      <c r="B108" s="30">
        <f>IF($C108="","",ROW()-4)</f>
        <v/>
      </c>
      <c r="F108" s="73" t="n"/>
      <c r="G108" s="30" t="n"/>
    </row>
    <row r="109" ht="14.25" customHeight="1" s="60">
      <c r="B109" s="30">
        <f>IF($C109="","",ROW()-4)</f>
        <v/>
      </c>
      <c r="F109" s="73" t="n"/>
      <c r="G109" s="30" t="n"/>
    </row>
    <row r="110" ht="14.25" customHeight="1" s="60">
      <c r="B110" s="30">
        <f>IF($C110="","",ROW()-4)</f>
        <v/>
      </c>
      <c r="F110" s="73" t="n"/>
      <c r="G110" s="30" t="n"/>
    </row>
    <row r="111" ht="14.25" customHeight="1" s="60">
      <c r="B111" s="30">
        <f>IF($C111="","",ROW()-4)</f>
        <v/>
      </c>
      <c r="F111" s="73" t="n"/>
      <c r="G111" s="30" t="n"/>
    </row>
    <row r="112" ht="14.25" customHeight="1" s="60">
      <c r="B112" s="30">
        <f>IF($C112="","",ROW()-4)</f>
        <v/>
      </c>
      <c r="F112" s="73" t="n"/>
      <c r="G112" s="30" t="n"/>
    </row>
    <row r="113" ht="14.25" customHeight="1" s="60">
      <c r="B113" s="30">
        <f>IF($C113="","",ROW()-4)</f>
        <v/>
      </c>
      <c r="F113" s="73" t="n"/>
      <c r="G113" s="30" t="n"/>
    </row>
    <row r="114" ht="14.25" customHeight="1" s="60">
      <c r="B114" s="30">
        <f>IF($C114="","",ROW()-4)</f>
        <v/>
      </c>
      <c r="F114" s="73" t="n"/>
      <c r="G114" s="30" t="n"/>
    </row>
    <row r="115" ht="14.25" customHeight="1" s="60">
      <c r="B115" s="30">
        <f>IF($C115="","",ROW()-4)</f>
        <v/>
      </c>
      <c r="F115" s="73" t="n"/>
      <c r="G115" s="30" t="n"/>
    </row>
    <row r="116" ht="14.25" customHeight="1" s="60">
      <c r="B116" s="30">
        <f>IF($C116="","",ROW()-4)</f>
        <v/>
      </c>
      <c r="F116" s="73" t="n"/>
      <c r="G116" s="30" t="n"/>
    </row>
    <row r="117" ht="14.25" customHeight="1" s="60">
      <c r="B117" s="30">
        <f>IF($C117="","",ROW()-4)</f>
        <v/>
      </c>
      <c r="F117" s="73" t="n"/>
      <c r="G117" s="30" t="n"/>
    </row>
    <row r="118" ht="14.25" customHeight="1" s="60">
      <c r="B118" s="30">
        <f>IF($C118="","",ROW()-4)</f>
        <v/>
      </c>
      <c r="F118" s="73" t="n"/>
      <c r="G118" s="30" t="n"/>
    </row>
    <row r="119" ht="14.25" customHeight="1" s="60">
      <c r="B119" s="30">
        <f>IF($C119="","",ROW()-4)</f>
        <v/>
      </c>
      <c r="F119" s="73" t="n"/>
      <c r="G119" s="30" t="n"/>
    </row>
    <row r="120" ht="14.25" customHeight="1" s="60">
      <c r="B120" s="30">
        <f>IF($C120="","",ROW()-4)</f>
        <v/>
      </c>
      <c r="F120" s="73" t="n"/>
      <c r="G120" s="30" t="n"/>
    </row>
    <row r="121" ht="14.25" customHeight="1" s="60">
      <c r="B121" s="30">
        <f>IF($C121="","",ROW()-4)</f>
        <v/>
      </c>
      <c r="F121" s="73" t="n"/>
      <c r="G121" s="30" t="n"/>
    </row>
    <row r="122" ht="14.25" customHeight="1" s="60">
      <c r="B122" s="30">
        <f>IF($C122="","",ROW()-4)</f>
        <v/>
      </c>
      <c r="F122" s="73" t="n"/>
      <c r="G122" s="30" t="n"/>
    </row>
    <row r="123" ht="14.25" customHeight="1" s="60">
      <c r="B123" s="30">
        <f>IF($C123="","",ROW()-4)</f>
        <v/>
      </c>
      <c r="F123" s="73" t="n"/>
      <c r="G123" s="30" t="n"/>
    </row>
    <row r="124" ht="14.25" customHeight="1" s="60">
      <c r="B124" s="30">
        <f>IF($C124="","",ROW()-4)</f>
        <v/>
      </c>
      <c r="F124" s="73" t="n"/>
      <c r="G124" s="30" t="n"/>
    </row>
    <row r="125" ht="14.25" customHeight="1" s="60">
      <c r="B125" s="30">
        <f>IF($C125="","",ROW()-4)</f>
        <v/>
      </c>
      <c r="F125" s="73" t="n"/>
      <c r="G125" s="30" t="n"/>
    </row>
    <row r="126" ht="14.25" customHeight="1" s="60">
      <c r="B126" s="30">
        <f>IF($C126="","",ROW()-4)</f>
        <v/>
      </c>
      <c r="F126" s="73" t="n"/>
      <c r="G126" s="30" t="n"/>
    </row>
    <row r="127" ht="14.25" customHeight="1" s="60">
      <c r="B127" s="30">
        <f>IF($C127="","",ROW()-4)</f>
        <v/>
      </c>
      <c r="F127" s="73" t="n"/>
      <c r="G127" s="30" t="n"/>
    </row>
    <row r="128" ht="14.25" customHeight="1" s="60">
      <c r="B128" s="30">
        <f>IF($C128="","",ROW()-4)</f>
        <v/>
      </c>
      <c r="F128" s="73" t="n"/>
      <c r="G128" s="30" t="n"/>
    </row>
    <row r="129" ht="14.25" customHeight="1" s="60">
      <c r="B129" s="30">
        <f>IF($C129="","",ROW()-4)</f>
        <v/>
      </c>
      <c r="F129" s="73" t="n"/>
      <c r="G129" s="30" t="n"/>
    </row>
    <row r="130" ht="14.25" customHeight="1" s="60">
      <c r="B130" s="30">
        <f>IF($C130="","",ROW()-4)</f>
        <v/>
      </c>
      <c r="F130" s="73" t="n"/>
      <c r="G130" s="30" t="n"/>
    </row>
    <row r="131" ht="14.25" customHeight="1" s="60">
      <c r="B131" s="30">
        <f>IF($C131="","",ROW()-4)</f>
        <v/>
      </c>
      <c r="F131" s="73" t="n"/>
      <c r="G131" s="30" t="n"/>
    </row>
    <row r="132" ht="14.25" customHeight="1" s="60">
      <c r="B132" s="30">
        <f>IF($C132="","",ROW()-4)</f>
        <v/>
      </c>
      <c r="F132" s="73" t="n"/>
      <c r="G132" s="30" t="n"/>
    </row>
    <row r="133" ht="14.25" customHeight="1" s="60">
      <c r="B133" s="30">
        <f>IF($C133="","",ROW()-4)</f>
        <v/>
      </c>
      <c r="F133" s="73" t="n"/>
      <c r="G133" s="30" t="n"/>
    </row>
    <row r="134" ht="14.25" customHeight="1" s="60">
      <c r="B134" s="30">
        <f>IF($C134="","",ROW()-4)</f>
        <v/>
      </c>
      <c r="F134" s="73" t="n"/>
      <c r="G134" s="30" t="n"/>
    </row>
    <row r="135" ht="14.25" customHeight="1" s="60">
      <c r="B135" s="30">
        <f>IF($C135="","",ROW()-4)</f>
        <v/>
      </c>
      <c r="F135" s="73" t="n"/>
      <c r="G135" s="30" t="n"/>
    </row>
    <row r="136" ht="14.25" customHeight="1" s="60">
      <c r="B136" s="30">
        <f>IF($C136="","",ROW()-4)</f>
        <v/>
      </c>
      <c r="F136" s="73" t="n"/>
      <c r="G136" s="30" t="n"/>
    </row>
    <row r="137" ht="14.25" customHeight="1" s="60">
      <c r="B137" s="30">
        <f>IF($C137="","",ROW()-4)</f>
        <v/>
      </c>
      <c r="F137" s="73" t="n"/>
      <c r="G137" s="30" t="n"/>
    </row>
    <row r="138" ht="14.25" customHeight="1" s="60">
      <c r="B138" s="30">
        <f>IF($C138="","",ROW()-4)</f>
        <v/>
      </c>
      <c r="F138" s="73" t="n"/>
      <c r="G138" s="30" t="n"/>
    </row>
    <row r="139" ht="14.25" customHeight="1" s="60">
      <c r="B139" s="30">
        <f>IF($C139="","",ROW()-4)</f>
        <v/>
      </c>
      <c r="F139" s="73" t="n"/>
      <c r="G139" s="30" t="n"/>
    </row>
    <row r="140" ht="14.25" customHeight="1" s="60">
      <c r="B140" s="30">
        <f>IF($C140="","",ROW()-4)</f>
        <v/>
      </c>
      <c r="F140" s="73" t="n"/>
      <c r="G140" s="30" t="n"/>
    </row>
    <row r="141" ht="14.25" customHeight="1" s="60">
      <c r="B141" s="30">
        <f>IF($C141="","",ROW()-4)</f>
        <v/>
      </c>
      <c r="F141" s="73" t="n"/>
      <c r="G141" s="30" t="n"/>
    </row>
    <row r="142" ht="14.25" customHeight="1" s="60">
      <c r="B142" s="30">
        <f>IF($C142="","",ROW()-4)</f>
        <v/>
      </c>
      <c r="F142" s="73" t="n"/>
      <c r="G142" s="30" t="n"/>
    </row>
    <row r="143" ht="14.25" customHeight="1" s="60">
      <c r="B143" s="30">
        <f>IF($C143="","",ROW()-4)</f>
        <v/>
      </c>
      <c r="F143" s="73" t="n"/>
      <c r="G143" s="30" t="n"/>
    </row>
    <row r="144" ht="14.25" customHeight="1" s="60">
      <c r="B144" s="30">
        <f>IF($C144="","",ROW()-4)</f>
        <v/>
      </c>
      <c r="F144" s="73" t="n"/>
      <c r="G144" s="30" t="n"/>
    </row>
    <row r="145" ht="14.25" customHeight="1" s="60">
      <c r="B145" s="30">
        <f>IF($C145="","",ROW()-4)</f>
        <v/>
      </c>
      <c r="F145" s="73" t="n"/>
      <c r="G145" s="30" t="n"/>
    </row>
    <row r="146" ht="14.25" customHeight="1" s="60">
      <c r="B146" s="30">
        <f>IF($C146="","",ROW()-4)</f>
        <v/>
      </c>
      <c r="F146" s="73" t="n"/>
      <c r="G146" s="30" t="n"/>
    </row>
    <row r="147" ht="14.25" customHeight="1" s="60">
      <c r="B147" s="30">
        <f>IF($C147="","",ROW()-4)</f>
        <v/>
      </c>
      <c r="F147" s="73" t="n"/>
      <c r="G147" s="30" t="n"/>
    </row>
    <row r="148" ht="14.25" customHeight="1" s="60">
      <c r="B148" s="30">
        <f>IF($C148="","",ROW()-4)</f>
        <v/>
      </c>
      <c r="F148" s="73" t="n"/>
      <c r="G148" s="30" t="n"/>
    </row>
    <row r="149" ht="14.25" customHeight="1" s="60">
      <c r="B149" s="30">
        <f>IF($C149="","",ROW()-4)</f>
        <v/>
      </c>
      <c r="F149" s="73" t="n"/>
      <c r="G149" s="30" t="n"/>
    </row>
    <row r="150" ht="14.25" customHeight="1" s="60">
      <c r="B150" s="30">
        <f>IF($C150="","",ROW()-4)</f>
        <v/>
      </c>
      <c r="F150" s="73" t="n"/>
      <c r="G150" s="30" t="n"/>
    </row>
    <row r="151" ht="14.25" customHeight="1" s="60">
      <c r="B151" s="30">
        <f>IF($C151="","",ROW()-4)</f>
        <v/>
      </c>
      <c r="F151" s="73" t="n"/>
      <c r="G151" s="30" t="n"/>
    </row>
    <row r="152" ht="14.25" customHeight="1" s="60">
      <c r="B152" s="30">
        <f>IF($C152="","",ROW()-4)</f>
        <v/>
      </c>
      <c r="F152" s="73" t="n"/>
      <c r="G152" s="30" t="n"/>
    </row>
    <row r="153" ht="14.25" customHeight="1" s="60">
      <c r="B153" s="30">
        <f>IF($C153="","",ROW()-4)</f>
        <v/>
      </c>
      <c r="F153" s="73" t="n"/>
      <c r="G153" s="30" t="n"/>
    </row>
    <row r="154" ht="14.25" customHeight="1" s="60">
      <c r="B154" s="30">
        <f>IF($C154="","",ROW()-4)</f>
        <v/>
      </c>
      <c r="F154" s="73" t="n"/>
      <c r="G154" s="30" t="n"/>
    </row>
    <row r="155" ht="14.25" customHeight="1" s="60">
      <c r="B155" s="30">
        <f>IF($C155="","",ROW()-4)</f>
        <v/>
      </c>
      <c r="F155" s="73" t="n"/>
      <c r="G155" s="30" t="n"/>
    </row>
    <row r="156" ht="14.25" customHeight="1" s="60">
      <c r="B156" s="30">
        <f>IF($C156="","",ROW()-4)</f>
        <v/>
      </c>
      <c r="F156" s="73" t="n"/>
      <c r="G156" s="30" t="n"/>
    </row>
    <row r="157" ht="14.25" customHeight="1" s="60">
      <c r="B157" s="30">
        <f>IF($C157="","",ROW()-4)</f>
        <v/>
      </c>
      <c r="F157" s="73" t="n"/>
      <c r="G157" s="30" t="n"/>
    </row>
    <row r="158" ht="14.25" customHeight="1" s="60">
      <c r="B158" s="30">
        <f>IF($C158="","",ROW()-4)</f>
        <v/>
      </c>
      <c r="F158" s="73" t="n"/>
      <c r="G158" s="30" t="n"/>
    </row>
    <row r="159" ht="14.25" customHeight="1" s="60">
      <c r="B159" s="30">
        <f>IF($C159="","",ROW()-4)</f>
        <v/>
      </c>
      <c r="F159" s="73" t="n"/>
      <c r="G159" s="30" t="n"/>
    </row>
    <row r="160" ht="14.25" customHeight="1" s="60">
      <c r="B160" s="30">
        <f>IF($C160="","",ROW()-4)</f>
        <v/>
      </c>
      <c r="F160" s="73" t="n"/>
      <c r="G160" s="30" t="n"/>
    </row>
    <row r="161" ht="14.25" customHeight="1" s="60">
      <c r="B161" s="30">
        <f>IF($C161="","",ROW()-4)</f>
        <v/>
      </c>
      <c r="F161" s="73" t="n"/>
      <c r="G161" s="30" t="n"/>
    </row>
    <row r="162" ht="14.25" customHeight="1" s="60">
      <c r="B162" s="30">
        <f>IF($C162="","",ROW()-4)</f>
        <v/>
      </c>
      <c r="F162" s="73" t="n"/>
      <c r="G162" s="30" t="n"/>
    </row>
    <row r="163" ht="14.25" customHeight="1" s="60">
      <c r="B163" s="30">
        <f>IF($C163="","",ROW()-4)</f>
        <v/>
      </c>
      <c r="F163" s="73" t="n"/>
      <c r="G163" s="30" t="n"/>
    </row>
    <row r="164" ht="14.25" customHeight="1" s="60">
      <c r="B164" s="30">
        <f>IF($C164="","",ROW()-4)</f>
        <v/>
      </c>
      <c r="F164" s="73" t="n"/>
      <c r="G164" s="30" t="n"/>
    </row>
    <row r="165" ht="14.25" customHeight="1" s="60">
      <c r="B165" s="30">
        <f>IF($C165="","",ROW()-4)</f>
        <v/>
      </c>
      <c r="F165" s="73" t="n"/>
      <c r="G165" s="30" t="n"/>
    </row>
    <row r="166" ht="14.25" customHeight="1" s="60">
      <c r="B166" s="30">
        <f>IF($C166="","",ROW()-4)</f>
        <v/>
      </c>
      <c r="F166" s="73" t="n"/>
      <c r="G166" s="30" t="n"/>
    </row>
    <row r="167" ht="14.25" customHeight="1" s="60">
      <c r="B167" s="30">
        <f>IF($C167="","",ROW()-4)</f>
        <v/>
      </c>
      <c r="F167" s="73" t="n"/>
      <c r="G167" s="30" t="n"/>
    </row>
    <row r="168" ht="14.25" customHeight="1" s="60">
      <c r="B168" s="30">
        <f>IF($C168="","",ROW()-4)</f>
        <v/>
      </c>
      <c r="F168" s="73" t="n"/>
      <c r="G168" s="30" t="n"/>
    </row>
    <row r="169" ht="14.25" customHeight="1" s="60">
      <c r="B169" s="30">
        <f>IF($C169="","",ROW()-4)</f>
        <v/>
      </c>
      <c r="F169" s="73" t="n"/>
      <c r="G169" s="30" t="n"/>
    </row>
    <row r="170" ht="14.25" customHeight="1" s="60">
      <c r="B170" s="30">
        <f>IF($C170="","",ROW()-4)</f>
        <v/>
      </c>
      <c r="F170" s="73" t="n"/>
      <c r="G170" s="30" t="n"/>
    </row>
    <row r="171" ht="14.25" customHeight="1" s="60">
      <c r="B171" s="30">
        <f>IF($C171="","",ROW()-4)</f>
        <v/>
      </c>
      <c r="F171" s="73" t="n"/>
      <c r="G171" s="30" t="n"/>
    </row>
    <row r="172" ht="14.25" customHeight="1" s="60">
      <c r="B172" s="30">
        <f>IF($C172="","",ROW()-4)</f>
        <v/>
      </c>
      <c r="F172" s="73" t="n"/>
      <c r="G172" s="30" t="n"/>
    </row>
    <row r="173" ht="14.25" customHeight="1" s="60">
      <c r="B173" s="30">
        <f>IF($C173="","",ROW()-4)</f>
        <v/>
      </c>
      <c r="F173" s="73" t="n"/>
      <c r="G173" s="30" t="n"/>
    </row>
    <row r="174" ht="14.25" customHeight="1" s="60">
      <c r="B174" s="30">
        <f>IF($C174="","",ROW()-4)</f>
        <v/>
      </c>
      <c r="F174" s="73" t="n"/>
      <c r="G174" s="30" t="n"/>
    </row>
    <row r="175" ht="14.25" customHeight="1" s="60">
      <c r="B175" s="30">
        <f>IF($C175="","",ROW()-4)</f>
        <v/>
      </c>
      <c r="F175" s="73" t="n"/>
      <c r="G175" s="30" t="n"/>
    </row>
    <row r="176" ht="14.25" customHeight="1" s="60">
      <c r="B176" s="30">
        <f>IF($C176="","",ROW()-4)</f>
        <v/>
      </c>
      <c r="F176" s="73" t="n"/>
      <c r="G176" s="30" t="n"/>
    </row>
    <row r="177" ht="14.25" customHeight="1" s="60">
      <c r="B177" s="30">
        <f>IF($C177="","",ROW()-4)</f>
        <v/>
      </c>
      <c r="F177" s="73" t="n"/>
      <c r="G177" s="30" t="n"/>
    </row>
    <row r="178" ht="14.25" customHeight="1" s="60">
      <c r="B178" s="30">
        <f>IF($C178="","",ROW()-4)</f>
        <v/>
      </c>
      <c r="F178" s="73" t="n"/>
      <c r="G178" s="30" t="n"/>
    </row>
    <row r="179" ht="14.25" customHeight="1" s="60">
      <c r="B179" s="30">
        <f>IF($C179="","",ROW()-4)</f>
        <v/>
      </c>
      <c r="F179" s="73" t="n"/>
      <c r="G179" s="30" t="n"/>
    </row>
    <row r="180" ht="14.25" customHeight="1" s="60">
      <c r="B180" s="30">
        <f>IF($C180="","",ROW()-4)</f>
        <v/>
      </c>
      <c r="F180" s="73" t="n"/>
      <c r="G180" s="30" t="n"/>
    </row>
    <row r="181" ht="14.25" customHeight="1" s="60">
      <c r="B181" s="30">
        <f>IF($C181="","",ROW()-4)</f>
        <v/>
      </c>
      <c r="F181" s="73" t="n"/>
      <c r="G181" s="30" t="n"/>
    </row>
    <row r="182" ht="14.25" customHeight="1" s="60">
      <c r="B182" s="30">
        <f>IF($C182="","",ROW()-4)</f>
        <v/>
      </c>
      <c r="F182" s="73" t="n"/>
      <c r="G182" s="30" t="n"/>
    </row>
    <row r="183" ht="14.25" customHeight="1" s="60">
      <c r="B183" s="30">
        <f>IF($C183="","",ROW()-4)</f>
        <v/>
      </c>
      <c r="F183" s="73" t="n"/>
      <c r="G183" s="30" t="n"/>
    </row>
    <row r="184" ht="14.25" customHeight="1" s="60">
      <c r="B184" s="30">
        <f>IF($C184="","",ROW()-4)</f>
        <v/>
      </c>
      <c r="F184" s="73" t="n"/>
      <c r="G184" s="30" t="n"/>
    </row>
    <row r="185" ht="14.25" customHeight="1" s="60">
      <c r="B185" s="30">
        <f>IF($C185="","",ROW()-4)</f>
        <v/>
      </c>
      <c r="F185" s="73" t="n"/>
      <c r="G185" s="30" t="n"/>
    </row>
    <row r="186" ht="14.25" customHeight="1" s="60">
      <c r="B186" s="30">
        <f>IF($C186="","",ROW()-4)</f>
        <v/>
      </c>
      <c r="F186" s="73" t="n"/>
      <c r="G186" s="30" t="n"/>
    </row>
    <row r="187" ht="14.25" customHeight="1" s="60">
      <c r="B187" s="30">
        <f>IF($C187="","",ROW()-4)</f>
        <v/>
      </c>
      <c r="F187" s="73" t="n"/>
      <c r="G187" s="30" t="n"/>
    </row>
    <row r="188" ht="14.25" customHeight="1" s="60">
      <c r="B188" s="30">
        <f>IF($C188="","",ROW()-4)</f>
        <v/>
      </c>
      <c r="F188" s="73" t="n"/>
      <c r="G188" s="30" t="n"/>
    </row>
    <row r="189" ht="14.25" customHeight="1" s="60">
      <c r="B189" s="30">
        <f>IF($C189="","",ROW()-4)</f>
        <v/>
      </c>
      <c r="F189" s="73" t="n"/>
      <c r="G189" s="30" t="n"/>
    </row>
    <row r="190" ht="14.25" customHeight="1" s="60">
      <c r="B190" s="30">
        <f>IF($C190="","",ROW()-4)</f>
        <v/>
      </c>
      <c r="F190" s="73" t="n"/>
      <c r="G190" s="30" t="n"/>
    </row>
    <row r="191" ht="14.25" customHeight="1" s="60">
      <c r="B191" s="30">
        <f>IF($C191="","",ROW()-4)</f>
        <v/>
      </c>
      <c r="F191" s="73" t="n"/>
      <c r="G191" s="30" t="n"/>
    </row>
    <row r="192" ht="14.25" customHeight="1" s="60">
      <c r="B192" s="30">
        <f>IF($C192="","",ROW()-4)</f>
        <v/>
      </c>
      <c r="F192" s="73" t="n"/>
      <c r="G192" s="30" t="n"/>
    </row>
    <row r="193" ht="14.25" customHeight="1" s="60">
      <c r="B193" s="30">
        <f>IF($C193="","",ROW()-4)</f>
        <v/>
      </c>
      <c r="F193" s="73" t="n"/>
      <c r="G193" s="30" t="n"/>
    </row>
    <row r="194" ht="14.25" customHeight="1" s="60">
      <c r="B194" s="30">
        <f>IF($C194="","",ROW()-4)</f>
        <v/>
      </c>
      <c r="F194" s="73" t="n"/>
      <c r="G194" s="30" t="n"/>
    </row>
    <row r="195" ht="14.25" customHeight="1" s="60">
      <c r="B195" s="30">
        <f>IF($C195="","",ROW()-4)</f>
        <v/>
      </c>
      <c r="F195" s="73" t="n"/>
      <c r="G195" s="30" t="n"/>
    </row>
    <row r="196" ht="14.25" customHeight="1" s="60">
      <c r="B196" s="30">
        <f>IF($C196="","",ROW()-4)</f>
        <v/>
      </c>
      <c r="F196" s="73" t="n"/>
      <c r="G196" s="30" t="n"/>
    </row>
    <row r="197" ht="14.25" customHeight="1" s="60">
      <c r="B197" s="30">
        <f>IF($C197="","",ROW()-4)</f>
        <v/>
      </c>
      <c r="F197" s="73" t="n"/>
      <c r="G197" s="30" t="n"/>
    </row>
    <row r="198" ht="14.25" customHeight="1" s="60">
      <c r="B198" s="30">
        <f>IF($C198="","",ROW()-4)</f>
        <v/>
      </c>
      <c r="F198" s="73" t="n"/>
      <c r="G198" s="30" t="n"/>
    </row>
    <row r="199" ht="14.25" customHeight="1" s="60">
      <c r="B199" s="30">
        <f>IF($C199="","",ROW()-4)</f>
        <v/>
      </c>
      <c r="F199" s="73" t="n"/>
      <c r="G199" s="30" t="n"/>
    </row>
    <row r="200" ht="14.25" customHeight="1" s="60">
      <c r="B200" s="30">
        <f>IF($C200="","",ROW()-4)</f>
        <v/>
      </c>
      <c r="F200" s="73" t="n"/>
      <c r="G200" s="30" t="n"/>
    </row>
    <row r="201" ht="14.25" customHeight="1" s="60">
      <c r="B201" s="30">
        <f>IF($C201="","",ROW()-4)</f>
        <v/>
      </c>
      <c r="F201" s="73" t="n"/>
      <c r="G201" s="30" t="n"/>
    </row>
    <row r="202" ht="14.25" customHeight="1" s="60">
      <c r="B202" s="30">
        <f>IF($C202="","",ROW()-4)</f>
        <v/>
      </c>
      <c r="F202" s="73" t="n"/>
      <c r="G202" s="30" t="n"/>
    </row>
    <row r="203" ht="14.25" customHeight="1" s="60">
      <c r="B203" s="30">
        <f>IF($C203="","",ROW()-4)</f>
        <v/>
      </c>
      <c r="F203" s="73" t="n"/>
      <c r="G203" s="30" t="n"/>
    </row>
    <row r="204" ht="14.25" customHeight="1" s="60">
      <c r="B204" s="30">
        <f>IF($C204="","",ROW()-4)</f>
        <v/>
      </c>
      <c r="F204" s="73" t="n"/>
      <c r="G204" s="30" t="n"/>
    </row>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1">
    <mergeCell ref="B2:G2"/>
  </mergeCells>
  <dataValidations count="1">
    <dataValidation sqref="G5:G204" showDropDown="0" showInputMessage="0" showErrorMessage="0" allowBlank="1" type="list">
      <formula1>"Sim,Passaria para ver a entrevista,Não"</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2026-08-26T21:11:12Z</dcterms:created>
  <dcterms:modified xmlns:dcterms="http://purl.org/dc/terms/" xmlns:xsi="http://www.w3.org/2001/XMLSchema-instance" xsi:type="dcterms:W3CDTF">2026-09-20T23:06:42Z</dcterms:modified>
</cp:coreProperties>
</file>