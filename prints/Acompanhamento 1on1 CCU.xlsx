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  <sheet name="Ficha" sheetId="2" state="visible" r:id="rId2"/>
    <sheet name="Regis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9"/>
    </font>
    <font>
      <b val="1"/>
      <color rgb="00FFFFFF"/>
      <sz val="11"/>
    </font>
    <font>
      <b val="1"/>
      <color rgb="00C4122F"/>
      <sz val="11"/>
    </font>
    <font>
      <color rgb="001A1A1A"/>
      <sz val="10"/>
    </font>
    <font>
      <b val="1"/>
      <color rgb="008E0C22"/>
      <sz val="9"/>
    </font>
    <font>
      <i val="1"/>
      <color rgb="001A1A1A"/>
      <sz val="9"/>
    </font>
    <font>
      <b val="1"/>
      <color rgb="008E0C22"/>
      <sz val="10"/>
    </font>
    <font>
      <b val="1"/>
      <color rgb="001A1A1A"/>
      <sz val="10"/>
    </font>
    <font>
      <b val="1"/>
      <color rgb="008E0C22"/>
      <sz val="14"/>
    </font>
    <font>
      <b val="1"/>
      <i val="1"/>
      <color rgb="008E0C22"/>
      <sz val="9"/>
    </font>
    <font>
      <b val="1"/>
      <color rgb="00FFFFFF"/>
      <sz val="9"/>
    </font>
    <font>
      <color rgb="001A1A1A"/>
      <sz val="9"/>
    </font>
    <font>
      <b val="1"/>
      <color rgb="00C4122F"/>
      <sz val="12"/>
    </font>
  </fonts>
  <fills count="8">
    <fill>
      <patternFill/>
    </fill>
    <fill>
      <patternFill patternType="gray125"/>
    </fill>
    <fill>
      <patternFill patternType="solid">
        <fgColor rgb="00C4122F"/>
      </patternFill>
    </fill>
    <fill>
      <patternFill patternType="solid">
        <fgColor rgb="008E0C22"/>
      </patternFill>
    </fill>
    <fill>
      <patternFill patternType="solid">
        <fgColor rgb="00FFFFFF"/>
      </patternFill>
    </fill>
    <fill>
      <patternFill patternType="solid">
        <fgColor rgb="00FFF3F5"/>
      </patternFill>
    </fill>
    <fill>
      <patternFill patternType="solid">
        <fgColor rgb="00FFF9DB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E6C9CE"/>
      </left>
      <right style="thin">
        <color rgb="00E6C9CE"/>
      </right>
      <top style="thin">
        <color rgb="00E6C9CE"/>
      </top>
      <bottom style="thin">
        <color rgb="00E6C9CE"/>
      </bottom>
    </border>
    <border>
      <bottom style="thin">
        <color rgb="00C9A9A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0" fillId="2" borderId="0" pivotButton="0" quotePrefix="0" xfId="0"/>
    <xf numFmtId="0" fontId="9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8E0C22"/>
        <sz val="9"/>
      </font>
      <fill>
        <patternFill patternType="solid">
          <fgColor rgb="00FBDC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05025" cy="26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05025" cy="26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05025" cy="26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78" customWidth="1" min="2" max="2"/>
    <col width="14" customWidth="1" min="3" max="3"/>
    <col width="52" customWidth="1" min="4" max="4"/>
  </cols>
  <sheetData>
    <row r="1" ht="34" customHeight="1">
      <c r="A1" s="1" t="n"/>
      <c r="B1" s="1" t="n"/>
      <c r="C1" s="1" t="n"/>
      <c r="D1" s="1" t="n"/>
    </row>
    <row r="2" ht="24" customHeight="1">
      <c r="A2" s="2" t="inlineStr">
        <is>
          <t>BANCO DE PERGUNTAS  ·  1on1 CCU</t>
        </is>
      </c>
      <c r="B2" s="3" t="n"/>
      <c r="C2" s="3" t="n"/>
      <c r="D2" s="3" t="n"/>
    </row>
    <row r="3" ht="20" customHeight="1">
      <c r="A3" s="4" t="inlineStr">
        <is>
          <t>Perguntas fixas (F) em toda conversa · rotativas (R) para escolher 2 ou 3 por 1on1. Se a resposta vier genérica, puxe: “me dá um exemplo concreto”.</t>
        </is>
      </c>
      <c r="B3" s="5" t="n"/>
      <c r="C3" s="5" t="n"/>
      <c r="D3" s="5" t="n"/>
    </row>
    <row r="4" ht="20" customHeight="1">
      <c r="A4" s="6" t="inlineStr">
        <is>
          <t>Bloco</t>
        </is>
      </c>
      <c r="B4" s="6" t="inlineStr">
        <is>
          <t>Pergunta</t>
        </is>
      </c>
      <c r="C4" s="6" t="inlineStr">
        <is>
          <t>Uso</t>
        </is>
      </c>
      <c r="D4" s="6" t="inlineStr">
        <is>
          <t>O que observar / como aprofundar</t>
        </is>
      </c>
    </row>
    <row r="5" ht="20" customHeight="1">
      <c r="A5" s="7" t="inlineStr">
        <is>
          <t>0. CADASTRO (preencher na 1ª conversa, revisar depois)</t>
        </is>
      </c>
      <c r="B5" s="1" t="n"/>
      <c r="C5" s="1" t="n"/>
      <c r="D5" s="1" t="n"/>
    </row>
    <row r="6" ht="46" customHeight="1">
      <c r="A6" s="8" t="inlineStr"/>
      <c r="B6" s="9" t="inlineStr">
        <is>
          <t>Curso, período e idade.</t>
        </is>
      </c>
      <c r="C6" s="10" t="inlineStr">
        <is>
          <t>F</t>
        </is>
      </c>
      <c r="D6" s="11" t="inlineStr">
        <is>
          <t>Base do perfil; cruze com o momento de carreira.</t>
        </is>
      </c>
    </row>
    <row r="7" ht="46" customHeight="1">
      <c r="A7" s="12" t="inlineStr"/>
      <c r="B7" s="13" t="inlineStr">
        <is>
          <t>Há quanto tempo está no clube.</t>
        </is>
      </c>
      <c r="C7" s="14" t="inlineStr">
        <is>
          <t>F</t>
        </is>
      </c>
      <c r="D7" s="15" t="inlineStr">
        <is>
          <t>Tempo de casa calibra a expectativa de responsabilidade.</t>
        </is>
      </c>
    </row>
    <row r="8" ht="46" customHeight="1">
      <c r="A8" s="8" t="inlineStr"/>
      <c r="B8" s="9" t="inlineStr">
        <is>
          <t>Você já prestou algum PS de consultoria? Se sim, quais empresas e até que fase chegou? O que te fez avançar e o que te derrubou? Se ainda não, qual mês ou ciclo você tem como alvo e quais empresas?</t>
        </is>
      </c>
      <c r="C8" s="10" t="inlineStr">
        <is>
          <t>F</t>
        </is>
      </c>
      <c r="D8" s="11" t="inlineStr">
        <is>
          <t>Diferencie quem já está no funil de quem ainda vai entrar.</t>
        </is>
      </c>
    </row>
    <row r="9" ht="46" customHeight="1">
      <c r="A9" s="12" t="inlineStr"/>
      <c r="B9" s="13" t="inlineStr">
        <is>
          <t>Como estão hoje seus planos de estágio e summer? O que já rolou, quais prazos (formatura, elegibilidade) te limitam, e o que ainda falta destravar?</t>
        </is>
      </c>
      <c r="C9" s="14" t="inlineStr">
        <is>
          <t>F</t>
        </is>
      </c>
      <c r="D9" s="15" t="inlineStr">
        <is>
          <t>Cheque elegibilidade de summer x ano de formatura antes de indicar vaga.</t>
        </is>
      </c>
    </row>
    <row r="10" ht="46" customHeight="1">
      <c r="A10" s="8" t="inlineStr"/>
      <c r="B10" s="9" t="inlineStr">
        <is>
          <t>Qual é o seu objetivo com o clube?</t>
        </is>
      </c>
      <c r="C10" s="10" t="inlineStr">
        <is>
          <t>F</t>
        </is>
      </c>
      <c r="D10" s="11" t="inlineStr">
        <is>
          <t>Se o objetivo não for consultoria, o acompanhamento muda.</t>
        </is>
      </c>
    </row>
    <row r="11" ht="46" customHeight="1">
      <c r="A11" s="12" t="inlineStr"/>
      <c r="B11" s="13" t="inlineStr">
        <is>
          <t>Horizonte de saída do clube (lembrar o aviso mínimo de um mês).</t>
        </is>
      </c>
      <c r="C11" s="14" t="inlineStr">
        <is>
          <t>F</t>
        </is>
      </c>
      <c r="D11" s="15" t="inlineStr">
        <is>
          <t>Alimenta o planejamento de sucessão da área.</t>
        </is>
      </c>
    </row>
    <row r="12" ht="20" customHeight="1">
      <c r="A12" s="7" t="inlineStr">
        <is>
          <t>1. COMO ESTÁ SENDO ESTAR AQUI</t>
        </is>
      </c>
      <c r="B12" s="1" t="n"/>
      <c r="C12" s="1" t="n"/>
      <c r="D12" s="1" t="n"/>
    </row>
    <row r="13" ht="46" customHeight="1">
      <c r="A13" s="8" t="inlineStr">
        <is>
          <t>1</t>
        </is>
      </c>
      <c r="B13" s="9" t="inlineStr">
        <is>
          <t>Se você tivesse que descrever sua área para um candidato do próximo PS, o que você venderia com orgulho e o que você avisaria antes que ele entrasse?</t>
        </is>
      </c>
      <c r="C13" s="10" t="inlineStr">
        <is>
          <t>F</t>
        </is>
      </c>
      <c r="D13" s="11" t="inlineStr">
        <is>
          <t>O “aviso” é o ouro: repetido por 3 pessoas, o problema é do processo, não da pessoa.</t>
        </is>
      </c>
    </row>
    <row r="14" ht="46" customHeight="1">
      <c r="A14" s="12" t="inlineStr">
        <is>
          <t>2</t>
        </is>
      </c>
      <c r="B14" s="13" t="inlineStr">
        <is>
          <t>Qual foi a coisa mais útil que o clube te entregou nos últimos dois meses, e qual foi a que mais te pareceu perda de tempo?</t>
        </is>
      </c>
      <c r="C14" s="14" t="inlineStr">
        <is>
          <t>F</t>
        </is>
      </c>
      <c r="D14" s="15" t="inlineStr">
        <is>
          <t>Mede valor percebido; a “perda de tempo” aponta o que cortar.</t>
        </is>
      </c>
    </row>
    <row r="15" ht="46" customHeight="1">
      <c r="A15" s="8" t="inlineStr">
        <is>
          <t>3</t>
        </is>
      </c>
      <c r="B15" s="9" t="inlineStr">
        <is>
          <t>Você está satisfeito com a sua área? O que ela faz bem, o que deixa a desejar, e o que precisaria acontecer para você pensar em trocar?</t>
        </is>
      </c>
      <c r="C15" s="10" t="inlineStr">
        <is>
          <t>R</t>
        </is>
      </c>
      <c r="D15" s="11" t="inlineStr">
        <is>
          <t>Sinal precoce de churn interno / pedido de transferência.</t>
        </is>
      </c>
    </row>
    <row r="16" ht="46" customHeight="1">
      <c r="A16" s="12" t="inlineStr">
        <is>
          <t>4</t>
        </is>
      </c>
      <c r="B16" s="13" t="inlineStr">
        <is>
          <t>Como você descreveria o clima da sua área hoje? Tem alguém que te puxa para cima e algo que costuma te desanimar?</t>
        </is>
      </c>
      <c r="C16" s="14" t="inlineStr">
        <is>
          <t>R</t>
        </is>
      </c>
      <c r="D16" s="15" t="inlineStr">
        <is>
          <t>Clima e relações; sinaliza engajamento e atritos que a nota não mostra.</t>
        </is>
      </c>
    </row>
    <row r="17" ht="20" customHeight="1">
      <c r="A17" s="7" t="inlineStr">
        <is>
          <t>2. ENTREGA, CASES E PROJETOS</t>
        </is>
      </c>
      <c r="B17" s="1" t="n"/>
      <c r="C17" s="1" t="n"/>
      <c r="D17" s="1" t="n"/>
    </row>
    <row r="18" ht="46" customHeight="1">
      <c r="A18" s="8" t="inlineStr">
        <is>
          <t>5</t>
        </is>
      </c>
      <c r="B18" s="9" t="inlineStr">
        <is>
          <t>Pensando nos projetos internos e externos rodando hoje, qual deles te deixa com a sensação de “eu faria isso diferente”? O que você mudaria?</t>
        </is>
      </c>
      <c r="C18" s="10" t="inlineStr">
        <is>
          <t>F</t>
        </is>
      </c>
      <c r="D18" s="11" t="inlineStr">
        <is>
          <t>Revela senso crítico e apetite por dono de entrega.</t>
        </is>
      </c>
    </row>
    <row r="19" ht="46" customHeight="1">
      <c r="A19" s="12" t="inlineStr">
        <is>
          <t>6</t>
        </is>
      </c>
      <c r="B19" s="13" t="inlineStr">
        <is>
          <t>Tem algum projeto, ou tipo de projeto, que você gostaria de assumir? O que te atrai nele e o que hoje te segura de topar?</t>
        </is>
      </c>
      <c r="C19" s="14" t="inlineStr">
        <is>
          <t>R</t>
        </is>
      </c>
      <c r="D19" s="15" t="inlineStr">
        <is>
          <t>Se travar em “não sei”, ofereça 2 opções concretas e veja a reação.</t>
        </is>
      </c>
    </row>
    <row r="20" ht="46" customHeight="1">
      <c r="A20" s="8" t="inlineStr">
        <is>
          <t>7</t>
        </is>
      </c>
      <c r="B20" s="9" t="inlineStr">
        <is>
          <t>Qual foi a última entrega (case, análise, apresentação) que te deu orgulho, e qual te mostrou um buraco que você ainda precisa fechar?</t>
        </is>
      </c>
      <c r="C20" s="10" t="inlineStr">
        <is>
          <t>R</t>
        </is>
      </c>
      <c r="D20" s="11" t="inlineStr">
        <is>
          <t>Puxe exemplo datado; auto-percepção de gap vale mais que elogio.</t>
        </is>
      </c>
    </row>
    <row r="21" ht="46" customHeight="1">
      <c r="A21" s="12" t="inlineStr">
        <is>
          <t>8</t>
        </is>
      </c>
      <c r="B21" s="13" t="inlineStr">
        <is>
          <t>Se você pudesse ser dono de um projeto do zero no clube, que problema real você gostaria de resolver e por quê?</t>
        </is>
      </c>
      <c r="C21" s="14" t="inlineStr">
        <is>
          <t>R</t>
        </is>
      </c>
      <c r="D21" s="15" t="inlineStr">
        <is>
          <t>Mede iniciativa e o tipo de problema que de fato motiva a pessoa.</t>
        </is>
      </c>
    </row>
    <row r="22" ht="20" customHeight="1">
      <c r="A22" s="7" t="inlineStr">
        <is>
          <t>3. PREPARAÇÃO PARA O MERCADO</t>
        </is>
      </c>
      <c r="B22" s="1" t="n"/>
      <c r="C22" s="1" t="n"/>
      <c r="D22" s="1" t="n"/>
    </row>
    <row r="23" ht="46" customHeight="1">
      <c r="A23" s="8" t="inlineStr">
        <is>
          <t>9</t>
        </is>
      </c>
      <c r="B23" s="9" t="inlineStr">
        <is>
          <t>Numa escala de 0 a 10, quão pronto você se sente hoje para um PS de MBB? O que explica o número não ser 10, e o que precisaria acontecer nos próximos 3 meses para subir 2 pontos?</t>
        </is>
      </c>
      <c r="C23" s="10" t="inlineStr">
        <is>
          <t>F · NOTA</t>
        </is>
      </c>
      <c r="D23" s="11" t="inlineStr">
        <is>
          <t>Vira nota na Ficha e no Registro. O valor está no “por quê”.</t>
        </is>
      </c>
    </row>
    <row r="24" ht="46" customHeight="1">
      <c r="A24" s="12" t="inlineStr">
        <is>
          <t>10</t>
        </is>
      </c>
      <c r="B24" s="13" t="inlineStr">
        <is>
          <t>O que você sabe fazer hoje que não sabia quando entrou? Me dá um exemplo concreto de quando isso apareceu, num case, num treino de GMAT ou numa apresentação.</t>
        </is>
      </c>
      <c r="C24" s="14" t="inlineStr">
        <is>
          <t>F</t>
        </is>
      </c>
      <c r="D24" s="15" t="inlineStr">
        <is>
          <t>Exemplo concreto = aprendizado real; sem exemplo, é percepção vaga.</t>
        </is>
      </c>
    </row>
    <row r="25" ht="46" customHeight="1">
      <c r="A25" s="8" t="inlineStr">
        <is>
          <t>11</t>
        </is>
      </c>
      <c r="B25" s="9" t="inlineStr">
        <is>
          <t>Onde você está no GMAT / estruturação de case / fit hoje, e qual dessas frentes está mais atrasada para o seu alvo?</t>
        </is>
      </c>
      <c r="C25" s="10" t="inlineStr">
        <is>
          <t>R</t>
        </is>
      </c>
      <c r="D25" s="11" t="inlineStr">
        <is>
          <t>Casa a autoavaliação com o alvo de PS declarado no cadastro.</t>
        </is>
      </c>
    </row>
    <row r="26" ht="20" customHeight="1">
      <c r="A26" s="7" t="inlineStr">
        <is>
          <t>4. FUTURO NO CLUBE E RESPONSABILIDADE</t>
        </is>
      </c>
      <c r="B26" s="1" t="n"/>
      <c r="C26" s="1" t="n"/>
      <c r="D26" s="1" t="n"/>
    </row>
    <row r="27" ht="46" customHeight="1">
      <c r="A27" s="12" t="inlineStr">
        <is>
          <t>12</t>
        </is>
      </c>
      <c r="B27" s="13" t="inlineStr">
        <is>
          <t>Quando você imagina seu último semestre no clube, o que precisa ter acontecido para você olhar para trás e sentir que valeu? Que tipo de responsabilidade caberia nisso?</t>
        </is>
      </c>
      <c r="C27" s="14" t="inlineStr">
        <is>
          <t>F</t>
        </is>
      </c>
      <c r="D27" s="15" t="inlineStr">
        <is>
          <t>Liga motivação a entrega; base para combinar um próximo passo.</t>
        </is>
      </c>
    </row>
    <row r="28" ht="46" customHeight="1">
      <c r="A28" s="8" t="inlineStr">
        <is>
          <t>13</t>
        </is>
      </c>
      <c r="B28" s="9" t="inlineStr">
        <is>
          <t>Numa escala de 0 a 10, qual a chance de você continuar no clube no próximo semestre? O que subiria esse número em dois pontos?</t>
        </is>
      </c>
      <c r="C28" s="10" t="inlineStr">
        <is>
          <t>F · NOTA</t>
        </is>
      </c>
      <c r="D28" s="11" t="inlineStr">
        <is>
          <t>Nota de retenção. 6 ou menos = conversa de retenção nesta semana.</t>
        </is>
      </c>
    </row>
    <row r="29" ht="46" customHeight="1">
      <c r="A29" s="12" t="inlineStr">
        <is>
          <t>14</t>
        </is>
      </c>
      <c r="B29" s="13" t="inlineStr">
        <is>
          <t>Você pensa em assumir um cargo de diretoria? Qual, e o que hoje pesa a favor e contra (tempo, estágio, aulas)?</t>
        </is>
      </c>
      <c r="C29" s="14" t="inlineStr">
        <is>
          <t>R</t>
        </is>
      </c>
      <c r="D29" s="15" t="inlineStr">
        <is>
          <t>Mapeia pipeline de liderança e conflitos de agenda.</t>
        </is>
      </c>
    </row>
    <row r="30" ht="20" customHeight="1">
      <c r="A30" s="7" t="inlineStr">
        <is>
          <t>5. FEEDBACK PARA A DIRETORIA</t>
        </is>
      </c>
      <c r="B30" s="1" t="n"/>
      <c r="C30" s="1" t="n"/>
      <c r="D30" s="1" t="n"/>
    </row>
    <row r="31" ht="46" customHeight="1">
      <c r="A31" s="8" t="inlineStr">
        <is>
          <t>15</t>
        </is>
      </c>
      <c r="B31" s="9" t="inlineStr">
        <is>
          <t>Se você fosse o diretor responsável por você na semana que vem, qual seria a primeira coisa que mudaria na forma como a sua área é conduzida?</t>
        </is>
      </c>
      <c r="C31" s="10" t="inlineStr">
        <is>
          <t>F</t>
        </is>
      </c>
      <c r="D31" s="11" t="inlineStr">
        <is>
          <t>Feedback acionável e imediato sobre a condução.</t>
        </is>
      </c>
    </row>
    <row r="32" ht="46" customHeight="1">
      <c r="A32" s="12" t="inlineStr">
        <is>
          <t>16</t>
        </is>
      </c>
      <c r="B32" s="13" t="inlineStr">
        <is>
          <t>O que você sente que a diretoria não está enxergando hoje, sobre você, sobre sua área ou sobre o clube, que faria diferença se a gente soubesse?</t>
        </is>
      </c>
      <c r="C32" s="14" t="inlineStr">
        <is>
          <t>R</t>
        </is>
      </c>
      <c r="D32" s="15" t="inlineStr">
        <is>
          <t>Abre pontos cegos; ótima para fechar a conversa com escuta.</t>
        </is>
      </c>
    </row>
  </sheetData>
  <mergeCells count="9">
    <mergeCell ref="A1:D1"/>
    <mergeCell ref="A5:D5"/>
    <mergeCell ref="A17:D17"/>
    <mergeCell ref="A22:D22"/>
    <mergeCell ref="A12:D12"/>
    <mergeCell ref="A3:D3"/>
    <mergeCell ref="A26:D26"/>
    <mergeCell ref="A30:D30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34" customHeight="1">
      <c r="A1" s="1" t="n"/>
      <c r="B1" s="1" t="n"/>
      <c r="C1" s="1" t="n"/>
      <c r="D1" s="1" t="n"/>
      <c r="E1" s="1" t="n"/>
      <c r="F1" s="1" t="n"/>
    </row>
    <row r="2" ht="24" customHeight="1">
      <c r="A2" s="2" t="inlineStr">
        <is>
          <t>FICHA DA CONVERSA</t>
        </is>
      </c>
      <c r="B2" s="3" t="n"/>
      <c r="C2" s="3" t="n"/>
      <c r="D2" s="3" t="n"/>
      <c r="E2" s="3" t="n"/>
      <c r="F2" s="3" t="n"/>
    </row>
    <row r="3" ht="20" customHeight="1">
      <c r="A3" s="4" t="inlineStr">
        <is>
          <t>CCU · imprima ou duplique esta aba para cada 1on1 · ao final, passe as notas para a aba Registro</t>
        </is>
      </c>
      <c r="B3" s="5" t="n"/>
      <c r="C3" s="5" t="n"/>
      <c r="D3" s="5" t="n"/>
      <c r="E3" s="5" t="n"/>
      <c r="F3" s="5" t="n"/>
    </row>
    <row r="4">
      <c r="A4" s="16" t="inlineStr">
        <is>
          <t>Membro</t>
        </is>
      </c>
      <c r="B4" s="17" t="n"/>
      <c r="C4" s="17" t="n"/>
      <c r="D4" s="16" t="inlineStr">
        <is>
          <t>Curso</t>
        </is>
      </c>
      <c r="E4" s="17" t="n"/>
      <c r="F4" s="17" t="n"/>
    </row>
    <row r="5">
      <c r="A5" s="16" t="inlineStr">
        <is>
          <t>Área / diretoria</t>
        </is>
      </c>
      <c r="B5" s="17" t="n"/>
      <c r="C5" s="17" t="n"/>
      <c r="D5" s="16" t="inlineStr">
        <is>
          <t>Data</t>
        </is>
      </c>
      <c r="E5" s="17" t="n"/>
      <c r="F5" s="17" t="n"/>
    </row>
    <row r="6">
      <c r="A6" s="16" t="inlineStr">
        <is>
          <t>Tempo de clube</t>
        </is>
      </c>
      <c r="B6" s="17" t="n"/>
      <c r="C6" s="17" t="n"/>
      <c r="D6" s="16" t="inlineStr">
        <is>
          <t>Quem conduziu</t>
        </is>
      </c>
      <c r="E6" s="17" t="n"/>
      <c r="F6" s="17" t="n"/>
    </row>
    <row r="8" ht="20" customHeight="1">
      <c r="A8" s="7" t="inlineStr">
        <is>
          <t>CADASTRO RÁPIDO (preencher na 1ª conversa, revisar nas seguintes)</t>
        </is>
      </c>
      <c r="B8" s="1" t="n"/>
      <c r="C8" s="1" t="n"/>
      <c r="D8" s="1" t="n"/>
      <c r="E8" s="1" t="n"/>
      <c r="F8" s="1" t="n"/>
    </row>
    <row r="9" ht="30" customHeight="1">
      <c r="A9" s="18" t="inlineStr">
        <is>
          <t>Já prestou PS? Quais e até que fase?</t>
        </is>
      </c>
      <c r="B9" s="19" t="n"/>
      <c r="C9" s="19" t="n"/>
      <c r="D9" s="19" t="n"/>
      <c r="E9" s="19" t="n"/>
      <c r="F9" s="19" t="n"/>
    </row>
    <row r="10" ht="30" customHeight="1">
      <c r="A10" s="18" t="inlineStr">
        <is>
          <t>Se ainda não: alvo (ciclo / empresas)</t>
        </is>
      </c>
      <c r="B10" s="19" t="n"/>
      <c r="C10" s="19" t="n"/>
      <c r="D10" s="19" t="n"/>
      <c r="E10" s="19" t="n"/>
      <c r="F10" s="19" t="n"/>
    </row>
    <row r="11" ht="30" customHeight="1">
      <c r="A11" s="18" t="inlineStr">
        <is>
          <t>Estágio (onde já estagia / quando pretende começar)</t>
        </is>
      </c>
      <c r="B11" s="19" t="n"/>
      <c r="C11" s="19" t="n"/>
      <c r="D11" s="19" t="n"/>
      <c r="E11" s="19" t="n"/>
      <c r="F11" s="19" t="n"/>
    </row>
    <row r="12" ht="30" customHeight="1">
      <c r="A12" s="18" t="inlineStr">
        <is>
          <t>Summer (qual / formatura ou elegibilidade limita?)</t>
        </is>
      </c>
      <c r="B12" s="19" t="n"/>
      <c r="C12" s="19" t="n"/>
      <c r="D12" s="19" t="n"/>
      <c r="E12" s="19" t="n"/>
      <c r="F12" s="19" t="n"/>
    </row>
    <row r="13" ht="30" customHeight="1">
      <c r="A13" s="18" t="inlineStr">
        <is>
          <t>Objetivo com o clube</t>
        </is>
      </c>
      <c r="B13" s="19" t="n"/>
      <c r="C13" s="19" t="n"/>
      <c r="D13" s="19" t="n"/>
      <c r="E13" s="19" t="n"/>
      <c r="F13" s="19" t="n"/>
    </row>
    <row r="14" ht="30" customHeight="1">
      <c r="A14" s="18" t="inlineStr">
        <is>
          <t>Interesse em cargo de diretoria (qual?)</t>
        </is>
      </c>
      <c r="B14" s="19" t="n"/>
      <c r="C14" s="19" t="n"/>
      <c r="D14" s="19" t="n"/>
      <c r="E14" s="19" t="n"/>
      <c r="F14" s="19" t="n"/>
    </row>
    <row r="15" ht="30" customHeight="1">
      <c r="A15" s="18" t="inlineStr">
        <is>
          <t>Horizonte de saída (aviso mínimo de 1 mês)</t>
        </is>
      </c>
      <c r="B15" s="19" t="n"/>
      <c r="C15" s="19" t="n"/>
      <c r="D15" s="19" t="n"/>
      <c r="E15" s="19" t="n"/>
      <c r="F15" s="19" t="n"/>
    </row>
    <row r="17" ht="20" customHeight="1">
      <c r="A17" s="7" t="inlineStr">
        <is>
          <t>CONVERSA — PERGUNTAS FIXAS</t>
        </is>
      </c>
      <c r="B17" s="1" t="n"/>
      <c r="C17" s="1" t="n"/>
      <c r="D17" s="1" t="n"/>
      <c r="E17" s="1" t="n"/>
      <c r="F17" s="1" t="n"/>
    </row>
    <row r="18" ht="34" customHeight="1">
      <c r="A18" s="20" t="inlineStr">
        <is>
          <t>1. Descrevendo sua área para um candidato do próximo PS: o que você venderia com orgulho e o que avisaria antes que ele entrasse?</t>
        </is>
      </c>
      <c r="B18" s="21" t="n"/>
      <c r="C18" s="21" t="n"/>
      <c r="D18" s="21" t="n"/>
      <c r="E18" s="21" t="n"/>
      <c r="F18" s="21" t="n"/>
    </row>
    <row r="19" ht="18" customHeight="1">
      <c r="A19" s="19" t="n"/>
      <c r="B19" s="19" t="n"/>
      <c r="C19" s="19" t="n"/>
      <c r="D19" s="19" t="n"/>
      <c r="E19" s="19" t="n"/>
      <c r="F19" s="19" t="n"/>
    </row>
    <row r="20" ht="18" customHeight="1">
      <c r="A20" s="19" t="n"/>
      <c r="B20" s="19" t="n"/>
      <c r="C20" s="19" t="n"/>
      <c r="D20" s="19" t="n"/>
      <c r="E20" s="19" t="n"/>
      <c r="F20" s="19" t="n"/>
    </row>
    <row r="21" ht="34" customHeight="1">
      <c r="A21" s="20" t="inlineStr">
        <is>
          <t>2. A coisa mais útil que o clube te entregou nos últimos dois meses, e a que mais te pareceu perda de tempo?</t>
        </is>
      </c>
      <c r="B21" s="21" t="n"/>
      <c r="C21" s="21" t="n"/>
      <c r="D21" s="21" t="n"/>
      <c r="E21" s="21" t="n"/>
      <c r="F21" s="21" t="n"/>
    </row>
    <row r="22" ht="18" customHeight="1">
      <c r="A22" s="19" t="n"/>
      <c r="B22" s="19" t="n"/>
      <c r="C22" s="19" t="n"/>
      <c r="D22" s="19" t="n"/>
      <c r="E22" s="19" t="n"/>
      <c r="F22" s="19" t="n"/>
    </row>
    <row r="23" ht="18" customHeight="1">
      <c r="A23" s="19" t="n"/>
      <c r="B23" s="19" t="n"/>
      <c r="C23" s="19" t="n"/>
      <c r="D23" s="19" t="n"/>
      <c r="E23" s="19" t="n"/>
      <c r="F23" s="19" t="n"/>
    </row>
    <row r="24" ht="34" customHeight="1">
      <c r="A24" s="20" t="inlineStr">
        <is>
          <t>5. Dos projetos internos e externos de hoje, qual te deixa com a sensação de “eu faria diferente”? O que mudaria?</t>
        </is>
      </c>
      <c r="B24" s="21" t="n"/>
      <c r="C24" s="21" t="n"/>
      <c r="D24" s="21" t="n"/>
      <c r="E24" s="21" t="n"/>
      <c r="F24" s="21" t="n"/>
    </row>
    <row r="25" ht="18" customHeight="1">
      <c r="A25" s="19" t="n"/>
      <c r="B25" s="19" t="n"/>
      <c r="C25" s="19" t="n"/>
      <c r="D25" s="19" t="n"/>
      <c r="E25" s="19" t="n"/>
      <c r="F25" s="19" t="n"/>
    </row>
    <row r="26" ht="18" customHeight="1">
      <c r="A26" s="19" t="n"/>
      <c r="B26" s="19" t="n"/>
      <c r="C26" s="19" t="n"/>
      <c r="D26" s="19" t="n"/>
      <c r="E26" s="19" t="n"/>
      <c r="F26" s="19" t="n"/>
    </row>
    <row r="27" ht="34" customHeight="1">
      <c r="A27" s="20" t="inlineStr">
        <is>
          <t>10. O que você sabe fazer hoje que não sabia quando entrou? Me dá um exemplo concreto de quando isso apareceu.</t>
        </is>
      </c>
      <c r="B27" s="21" t="n"/>
      <c r="C27" s="21" t="n"/>
      <c r="D27" s="21" t="n"/>
      <c r="E27" s="21" t="n"/>
      <c r="F27" s="21" t="n"/>
    </row>
    <row r="28" ht="18" customHeight="1">
      <c r="A28" s="19" t="n"/>
      <c r="B28" s="19" t="n"/>
      <c r="C28" s="19" t="n"/>
      <c r="D28" s="19" t="n"/>
      <c r="E28" s="19" t="n"/>
      <c r="F28" s="19" t="n"/>
    </row>
    <row r="29" ht="18" customHeight="1">
      <c r="A29" s="19" t="n"/>
      <c r="B29" s="19" t="n"/>
      <c r="C29" s="19" t="n"/>
      <c r="D29" s="19" t="n"/>
      <c r="E29" s="19" t="n"/>
      <c r="F29" s="19" t="n"/>
    </row>
    <row r="30" ht="34" customHeight="1">
      <c r="A30" s="20" t="inlineStr">
        <is>
          <t>12. Imaginando seu último semestre no clube: o que precisa ter acontecido para sentir que valeu? Que responsabilidade caberia nisso?</t>
        </is>
      </c>
      <c r="B30" s="21" t="n"/>
      <c r="C30" s="21" t="n"/>
      <c r="D30" s="21" t="n"/>
      <c r="E30" s="21" t="n"/>
      <c r="F30" s="21" t="n"/>
    </row>
    <row r="31" ht="18" customHeight="1">
      <c r="A31" s="19" t="n"/>
      <c r="B31" s="19" t="n"/>
      <c r="C31" s="19" t="n"/>
      <c r="D31" s="19" t="n"/>
      <c r="E31" s="19" t="n"/>
      <c r="F31" s="19" t="n"/>
    </row>
    <row r="32" ht="18" customHeight="1">
      <c r="A32" s="19" t="n"/>
      <c r="B32" s="19" t="n"/>
      <c r="C32" s="19" t="n"/>
      <c r="D32" s="19" t="n"/>
      <c r="E32" s="19" t="n"/>
      <c r="F32" s="19" t="n"/>
    </row>
    <row r="33" ht="34" customHeight="1">
      <c r="A33" s="20" t="inlineStr">
        <is>
          <t>15. Se você fosse o diretor responsável por você na semana que vem, qual a primeira coisa que mudaria na condução da área?</t>
        </is>
      </c>
      <c r="B33" s="21" t="n"/>
      <c r="C33" s="21" t="n"/>
      <c r="D33" s="21" t="n"/>
      <c r="E33" s="21" t="n"/>
      <c r="F33" s="21" t="n"/>
    </row>
    <row r="34" ht="18" customHeight="1">
      <c r="A34" s="19" t="n"/>
      <c r="B34" s="19" t="n"/>
      <c r="C34" s="19" t="n"/>
      <c r="D34" s="19" t="n"/>
      <c r="E34" s="19" t="n"/>
      <c r="F34" s="19" t="n"/>
    </row>
    <row r="35" ht="18" customHeight="1">
      <c r="A35" s="19" t="n"/>
      <c r="B35" s="19" t="n"/>
      <c r="C35" s="19" t="n"/>
      <c r="D35" s="19" t="n"/>
      <c r="E35" s="19" t="n"/>
      <c r="F35" s="19" t="n"/>
    </row>
    <row r="37" ht="20" customHeight="1">
      <c r="A37" s="7" t="inlineStr">
        <is>
          <t>AS DUAS NOTAS DA CONVERSA (0 a 10)</t>
        </is>
      </c>
      <c r="B37" s="1" t="n"/>
      <c r="C37" s="1" t="n"/>
      <c r="D37" s="1" t="n"/>
      <c r="E37" s="1" t="n"/>
      <c r="F37" s="1" t="n"/>
    </row>
    <row r="38" ht="30" customHeight="1">
      <c r="A38" s="22" t="inlineStr">
        <is>
          <t>Quão pronto se sente para um PS de MBB (pergunta 9)</t>
        </is>
      </c>
      <c r="B38" s="23" t="n"/>
      <c r="C38" s="9" t="inlineStr">
        <is>
          <t xml:space="preserve">Por quê: </t>
        </is>
      </c>
      <c r="D38" s="19" t="n"/>
      <c r="E38" s="19" t="n"/>
      <c r="F38" s="19" t="n"/>
    </row>
    <row r="39" ht="30" customHeight="1">
      <c r="A39" s="22" t="inlineStr">
        <is>
          <t>Chance de continuar no clube no próximo semestre (pergunta 13)</t>
        </is>
      </c>
      <c r="B39" s="23" t="n"/>
      <c r="C39" s="9" t="inlineStr">
        <is>
          <t xml:space="preserve">Por quê: </t>
        </is>
      </c>
      <c r="D39" s="19" t="n"/>
      <c r="E39" s="19" t="n"/>
      <c r="F39" s="19" t="n"/>
    </row>
    <row r="41" ht="20" customHeight="1">
      <c r="A41" s="7" t="inlineStr">
        <is>
          <t>PERGUNTAS ROTATIVAS QUE ESCOLHI HOJE (2 ou 3, do banco)</t>
        </is>
      </c>
      <c r="B41" s="1" t="n"/>
      <c r="C41" s="1" t="n"/>
      <c r="D41" s="1" t="n"/>
      <c r="E41" s="1" t="n"/>
      <c r="F41" s="1" t="n"/>
    </row>
    <row r="42" ht="34" customHeight="1">
      <c r="A42" s="20" t="inlineStr"/>
      <c r="B42" s="21" t="n"/>
      <c r="C42" s="21" t="n"/>
      <c r="D42" s="21" t="n"/>
      <c r="E42" s="21" t="n"/>
      <c r="F42" s="21" t="n"/>
    </row>
    <row r="43" ht="18" customHeight="1">
      <c r="A43" s="19" t="n"/>
      <c r="B43" s="19" t="n"/>
      <c r="C43" s="19" t="n"/>
      <c r="D43" s="19" t="n"/>
      <c r="E43" s="19" t="n"/>
      <c r="F43" s="19" t="n"/>
    </row>
    <row r="44" ht="34" customHeight="1">
      <c r="A44" s="20" t="inlineStr"/>
      <c r="B44" s="21" t="n"/>
      <c r="C44" s="21" t="n"/>
      <c r="D44" s="21" t="n"/>
      <c r="E44" s="21" t="n"/>
      <c r="F44" s="21" t="n"/>
    </row>
    <row r="45" ht="18" customHeight="1">
      <c r="A45" s="19" t="n"/>
      <c r="B45" s="19" t="n"/>
      <c r="C45" s="19" t="n"/>
      <c r="D45" s="19" t="n"/>
      <c r="E45" s="19" t="n"/>
      <c r="F45" s="19" t="n"/>
    </row>
    <row r="46" ht="34" customHeight="1">
      <c r="A46" s="20" t="inlineStr"/>
      <c r="B46" s="21" t="n"/>
      <c r="C46" s="21" t="n"/>
      <c r="D46" s="21" t="n"/>
      <c r="E46" s="21" t="n"/>
      <c r="F46" s="21" t="n"/>
    </row>
    <row r="47" ht="18" customHeight="1">
      <c r="A47" s="19" t="n"/>
      <c r="B47" s="19" t="n"/>
      <c r="C47" s="19" t="n"/>
      <c r="D47" s="19" t="n"/>
      <c r="E47" s="19" t="n"/>
      <c r="F47" s="19" t="n"/>
    </row>
    <row r="49" ht="32" customHeight="1">
      <c r="A49" s="24" t="inlineStr">
        <is>
          <t>Regra de ouro: nota de continuar 6 ou menos vira conversa de retenção nesta semana. Se a resposta vier genérica, pergunte “me dá um exemplo concreto” antes de seguir.</t>
        </is>
      </c>
      <c r="B49" s="25" t="n"/>
      <c r="C49" s="25" t="n"/>
      <c r="D49" s="25" t="n"/>
      <c r="E49" s="25" t="n"/>
      <c r="F49" s="25" t="n"/>
    </row>
  </sheetData>
  <mergeCells count="47">
    <mergeCell ref="A41:F41"/>
    <mergeCell ref="A46:F46"/>
    <mergeCell ref="C39:F39"/>
    <mergeCell ref="A37:F37"/>
    <mergeCell ref="A27:F27"/>
    <mergeCell ref="E5:F5"/>
    <mergeCell ref="C38:F38"/>
    <mergeCell ref="A18:F18"/>
    <mergeCell ref="A3:F3"/>
    <mergeCell ref="A21:F21"/>
    <mergeCell ref="A26:F26"/>
    <mergeCell ref="A2:F2"/>
    <mergeCell ref="E4:F4"/>
    <mergeCell ref="B12:F12"/>
    <mergeCell ref="A33:F33"/>
    <mergeCell ref="A42:F42"/>
    <mergeCell ref="A47:F47"/>
    <mergeCell ref="B11:F11"/>
    <mergeCell ref="A23:F23"/>
    <mergeCell ref="A32:F32"/>
    <mergeCell ref="A8:F8"/>
    <mergeCell ref="A22:F22"/>
    <mergeCell ref="A17:F17"/>
    <mergeCell ref="A35:F35"/>
    <mergeCell ref="B14:F14"/>
    <mergeCell ref="A20:F20"/>
    <mergeCell ref="A29:F29"/>
    <mergeCell ref="B13:F13"/>
    <mergeCell ref="A43:F43"/>
    <mergeCell ref="E6:F6"/>
    <mergeCell ref="A28:F28"/>
    <mergeCell ref="A19:F19"/>
    <mergeCell ref="A44:F44"/>
    <mergeCell ref="B10:F10"/>
    <mergeCell ref="A31:F31"/>
    <mergeCell ref="A34:F34"/>
    <mergeCell ref="A30:F30"/>
    <mergeCell ref="B9:F9"/>
    <mergeCell ref="A24:F24"/>
    <mergeCell ref="B6:C6"/>
    <mergeCell ref="A49:F49"/>
    <mergeCell ref="B15:F15"/>
    <mergeCell ref="B5:C5"/>
    <mergeCell ref="A1:F1"/>
    <mergeCell ref="A45:F45"/>
    <mergeCell ref="B4:C4"/>
    <mergeCell ref="A25:F25"/>
  </mergeCells>
  <dataValidations count="1">
    <dataValidation sqref="B38 B39" showDropDown="0" showInputMessage="0" showErrorMessage="0" allowBlank="1" type="whole" operator="between">
      <formula1>0</formula1>
      <formula2>10</formula2>
    </dataValidation>
  </dataValidations>
  <printOptions horizontalCentered="1"/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4" customWidth="1" min="4" max="4"/>
    <col width="10" customWidth="1" min="5" max="5"/>
    <col width="11" customWidth="1" min="6" max="6"/>
    <col width="22" customWidth="1" min="7" max="7"/>
    <col width="24" customWidth="1" min="8" max="8"/>
    <col width="18" customWidth="1" min="9" max="9"/>
    <col width="22" customWidth="1" min="10" max="10"/>
    <col width="30" customWidth="1" min="11" max="11"/>
    <col width="32" customWidth="1" min="12" max="12"/>
    <col width="28" customWidth="1" min="13" max="13"/>
    <col width="26" customWidth="1" min="14" max="14"/>
    <col width="32" customWidth="1" min="15" max="15"/>
    <col width="28" customWidth="1" min="16" max="16"/>
    <col width="28" customWidth="1" min="17" max="17"/>
    <col width="14" customWidth="1" min="18" max="18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2" t="inlineStr">
        <is>
          <t>REGISTRO DAS CONVERSAS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20" customHeight="1">
      <c r="A3" s="4" t="inlineStr">
        <is>
          <t>CCU · uma linha por conversa · as duas notas viram número, o resto fica em texto curto · copie da Ficha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40" customHeight="1">
      <c r="A4" s="26" t="inlineStr">
        <is>
          <t>Membro</t>
        </is>
      </c>
      <c r="B4" s="26" t="inlineStr">
        <is>
          <t>Data</t>
        </is>
      </c>
      <c r="C4" s="26" t="inlineStr">
        <is>
          <t>Curso</t>
        </is>
      </c>
      <c r="D4" s="26" t="inlineStr">
        <is>
          <t>Está entregando
os cases?</t>
        </is>
      </c>
      <c r="E4" s="26" t="inlineStr">
        <is>
          <t>Pronto p/
PS (0-10)</t>
        </is>
      </c>
      <c r="F4" s="26" t="inlineStr">
        <is>
          <t>Continuar no
clube (0-10)</t>
        </is>
      </c>
      <c r="G4" s="26" t="inlineStr">
        <is>
          <t>Alvo de PS
(empresa / ciclo)</t>
        </is>
      </c>
      <c r="H4" s="26" t="inlineStr">
        <is>
          <t>Estágio / Summer</t>
        </is>
      </c>
      <c r="I4" s="26" t="inlineStr">
        <is>
          <t>Interesse em
cargo</t>
        </is>
      </c>
      <c r="J4" s="26" t="inlineStr">
        <is>
          <t>Satisfação com
a área</t>
        </is>
      </c>
      <c r="K4" s="26" t="inlineStr">
        <is>
          <t>Orgulho da área</t>
        </is>
      </c>
      <c r="L4" s="26" t="inlineStr">
        <is>
          <t>Aviso que daria
a um candidato</t>
        </is>
      </c>
      <c r="M4" s="26" t="inlineStr">
        <is>
          <t>Mais útil nos
2 meses</t>
        </is>
      </c>
      <c r="N4" s="26" t="inlineStr">
        <is>
          <t>O que foi
perda de tempo</t>
        </is>
      </c>
      <c r="O4" s="26" t="inlineStr">
        <is>
          <t>O que mudaria na
condução da área</t>
        </is>
      </c>
      <c r="P4" s="26" t="inlineStr">
        <is>
          <t>Responsabilidade
que quer assumir</t>
        </is>
      </c>
      <c r="Q4" s="26" t="inlineStr">
        <is>
          <t>Próximo passo
combinado</t>
        </is>
      </c>
      <c r="R4" s="26" t="inlineStr">
        <is>
          <t>Status do
combinado</t>
        </is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</row>
    <row r="76">
      <c r="A76" s="7" t="inlineStr">
        <is>
          <t>Números simples</t>
        </is>
      </c>
      <c r="B76" s="1" t="n"/>
      <c r="C76" s="29" t="n"/>
    </row>
    <row r="77">
      <c r="A77" s="30" t="inlineStr">
        <is>
          <t>Conversas registradas</t>
        </is>
      </c>
      <c r="B77" s="31" t="n"/>
      <c r="C77" s="32">
        <f>SUMPRODUCT(($A$5:$A$74&lt;&gt;"")*1)</f>
        <v/>
      </c>
    </row>
    <row r="78">
      <c r="A78" s="30" t="inlineStr">
        <is>
          <t>Média de “pronto para o PS”</t>
        </is>
      </c>
      <c r="B78" s="31" t="n"/>
      <c r="C78" s="32">
        <f>IFERROR(ROUND(AVERAGE($E$5:$E$74),1),"")</f>
        <v/>
      </c>
    </row>
    <row r="79">
      <c r="A79" s="30" t="inlineStr">
        <is>
          <t>Média de “chance de continuar”</t>
        </is>
      </c>
      <c r="B79" s="31" t="n"/>
      <c r="C79" s="32">
        <f>IFERROR(ROUND(AVERAGE($F$5:$F$74),1),"")</f>
        <v/>
      </c>
    </row>
    <row r="80">
      <c r="A80" s="30" t="inlineStr">
        <is>
          <t>Membros com chance de continuar 6 ou menos</t>
        </is>
      </c>
      <c r="B80" s="31" t="n"/>
      <c r="C80" s="32">
        <f>COUNTIF($F$5:$F$74,"&lt;=6")</f>
        <v/>
      </c>
    </row>
    <row r="81">
      <c r="A81" s="30" t="inlineStr">
        <is>
          <t>Membros que não estão entregando</t>
        </is>
      </c>
      <c r="B81" s="31" t="n"/>
      <c r="C81" s="32">
        <f>COUNTIF($D$5:$D$74,"Nao")</f>
        <v/>
      </c>
    </row>
    <row r="82">
      <c r="A82" s="30" t="inlineStr">
        <is>
          <t>Combinados já feitos</t>
        </is>
      </c>
      <c r="B82" s="31" t="n"/>
      <c r="C82" s="32">
        <f>COUNTIF($R$5:$R$74,"Feito")</f>
        <v/>
      </c>
    </row>
    <row r="83">
      <c r="A83" s="30" t="inlineStr">
        <is>
          <t>Combinados em aberto</t>
        </is>
      </c>
      <c r="B83" s="31" t="n"/>
      <c r="C83" s="32">
        <f>COUNTIF($R$5:$R$74,"Em aberto")</f>
        <v/>
      </c>
    </row>
    <row r="85" ht="34" customHeight="1">
      <c r="A85" s="24" t="inlineStr">
        <is>
          <t>Leitura rápida: nota de continuar 6 ou menos é conversa de retenção nesta semana, não no próximo trimestre. E se o mesmo “aviso ao candidato” aparecer em três conversas diferentes, o problema é do processo, não da pessoa.</t>
        </is>
      </c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</row>
  </sheetData>
  <mergeCells count="13">
    <mergeCell ref="A3:R3"/>
    <mergeCell ref="A78:B78"/>
    <mergeCell ref="A82:B82"/>
    <mergeCell ref="C76:R76"/>
    <mergeCell ref="A81:B81"/>
    <mergeCell ref="A2:R2"/>
    <mergeCell ref="A76:B76"/>
    <mergeCell ref="A85:R85"/>
    <mergeCell ref="A1:R1"/>
    <mergeCell ref="A80:B80"/>
    <mergeCell ref="A79:B79"/>
    <mergeCell ref="A77:B77"/>
    <mergeCell ref="A83:B83"/>
  </mergeCells>
  <conditionalFormatting sqref="E5:F74">
    <cfRule type="cellIs" priority="1" operator="lessThanOrEqual" dxfId="0">
      <formula>6</formula>
    </cfRule>
  </conditionalFormatting>
  <conditionalFormatting sqref="D5:D74">
    <cfRule type="cellIs" priority="2" operator="equal" dxfId="0">
      <formula>"Nao"</formula>
    </cfRule>
  </conditionalFormatting>
  <dataValidations count="3">
    <dataValidation sqref="D5:D74" showDropDown="0" showInputMessage="0" showErrorMessage="0" allowBlank="1" type="list">
      <formula1>"Sim,Parcial,Nao"</formula1>
    </dataValidation>
    <dataValidation sqref="E5:F74" showDropDown="0" showInputMessage="0" showErrorMessage="0" allowBlank="1" type="whole" operator="between">
      <formula1>0</formula1>
      <formula2>10</formula2>
    </dataValidation>
    <dataValidation sqref="R5:R74" showDropDown="0" showInputMessage="0" showErrorMessage="0" allowBlank="1" type="list">
      <formula1>"Feito,Em aberto"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2026-09-16T12:11:18Z</dcterms:created>
  <dcterms:modified xsi:type="dcterms:W3CDTF">2026-09-16T12:11:19Z</dcterms:modified>
</cp:coreProperties>
</file>