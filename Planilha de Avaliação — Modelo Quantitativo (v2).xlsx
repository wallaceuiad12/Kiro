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o usar" sheetId="1" state="visible" r:id="rId1"/>
    <sheet name="Base avaliação" sheetId="2" state="visible" r:id="rId2"/>
    <sheet name="Avaliação" sheetId="3" state="visible" r:id="rId3"/>
    <sheet name="Quem corrige" sheetId="4" state="visible" r:id="rId4"/>
    <sheet name="Consolidado" sheetId="5" state="visible" r:id="rId5"/>
    <sheet name="Entrevista" sheetId="6" state="visible" r:id="rId6"/>
    <sheet name="Gabarito" sheetId="7" state="visible" r:id="rId7"/>
    <sheet name="Comentários" sheetId="8" state="visible" r:id="rId8"/>
  </sheets>
  <definedNames>
    <definedName name="_xlnm._FilterDatabase" localSheetId="2" hidden="1">'Avaliação'!$A$5:$AI$206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9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</font>
    <font>
      <name val="Calibri"/>
      <color theme="1"/>
    </font>
    <font>
      <name val="Calibri"/>
      <b val="1"/>
      <color rgb="FFFFFFFF"/>
      <sz val="14"/>
    </font>
    <font>
      <name val="Calibri"/>
      <b val="1"/>
      <color rgb="FFFFFFFF"/>
      <sz val="13"/>
    </font>
    <font/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b val="1"/>
      <color rgb="FFC1272D"/>
      <sz val="10"/>
    </font>
    <font>
      <name val="Calibri"/>
      <color theme="1"/>
      <sz val="10"/>
    </font>
    <font>
      <name val="Calibri"/>
      <b val="1"/>
      <color rgb="FFC1272D"/>
      <sz val="11"/>
    </font>
    <font>
      <name val="Calibri"/>
      <b val="1"/>
      <color rgb="FFFFFFFF"/>
    </font>
    <font>
      <name val="Calibri"/>
      <b val="1"/>
      <color theme="1"/>
      <sz val="10"/>
    </font>
    <font>
      <name val="Calibri"/>
      <i val="1"/>
      <color rgb="FF7A8496"/>
      <sz val="9"/>
    </font>
    <font>
      <name val="Calibri"/>
      <b val="1"/>
      <color rgb="FF000000"/>
      <sz val="10"/>
    </font>
    <font>
      <name val="Calibri"/>
      <b val="1"/>
      <color rgb="FF38761D"/>
      <sz val="11"/>
    </font>
    <font>
      <name val="Calibri"/>
      <b val="1"/>
      <color rgb="FF7F6000"/>
      <sz val="11"/>
    </font>
    <font>
      <name val="Calibri"/>
      <b val="1"/>
      <color rgb="FFFFFFFF"/>
      <sz val="9"/>
    </font>
    <font>
      <name val="Calibri"/>
      <b val="1"/>
      <color rgb="FFB45F06"/>
      <sz val="11"/>
    </font>
    <font>
      <name val="Calibri"/>
      <b val="1"/>
      <color rgb="FF000000"/>
      <sz val="9"/>
    </font>
    <font>
      <name val="Calibri"/>
      <b val="1"/>
      <i val="1"/>
      <color rgb="FF6B7280"/>
      <sz val="11"/>
    </font>
    <font>
      <name val="Calibri"/>
      <b val="1"/>
      <i val="1"/>
      <color rgb="FFC1272D"/>
      <sz val="9"/>
    </font>
    <font>
      <name val="Calibri"/>
      <color rgb="FF6B7280"/>
      <sz val="9"/>
    </font>
    <font>
      <name val="Calibri"/>
      <b val="1"/>
      <color rgb="FFC1272D"/>
      <sz val="9"/>
    </font>
    <font>
      <name val="Calibri"/>
      <color rgb="FF595959"/>
      <sz val="9"/>
    </font>
    <font>
      <name val="Calibri"/>
      <b val="1"/>
      <color theme="1"/>
      <sz val="11"/>
    </font>
    <font>
      <name val="Calibri"/>
      <i val="1"/>
      <color rgb="FF595959"/>
      <sz val="9"/>
    </font>
    <font>
      <name val="Consolas"/>
      <color theme="1"/>
      <sz val="10"/>
    </font>
  </fonts>
  <fills count="16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C1272D"/>
        <bgColor rgb="FFC1272D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</patternFill>
    </fill>
    <fill>
      <patternFill patternType="solid">
        <fgColor rgb="FF999999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numFmtId="0" fontId="0" fillId="0" borderId="0"/>
  </cellStyleXfs>
  <cellXfs count="8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2" pivotButton="0" quotePrefix="0" xfId="0"/>
    <xf numFmtId="0" fontId="6" fillId="0" borderId="3" pivotButton="0" quotePrefix="0" xfId="0"/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5" borderId="4" applyAlignment="1" pivotButton="0" quotePrefix="0" xfId="0">
      <alignment vertical="center" wrapText="1"/>
    </xf>
    <xf numFmtId="0" fontId="12" fillId="2" borderId="0" pivotButton="0" quotePrefix="0" xfId="0"/>
    <xf numFmtId="0" fontId="9" fillId="5" borderId="4" applyAlignment="1" pivotButton="0" quotePrefix="0" xfId="0">
      <alignment vertical="center" wrapText="1"/>
    </xf>
    <xf numFmtId="0" fontId="3" fillId="2" borderId="0" pivotButton="0" quotePrefix="0" xfId="0"/>
    <xf numFmtId="0" fontId="13" fillId="5" borderId="4" applyAlignment="1" pivotButton="0" quotePrefix="0" xfId="0">
      <alignment vertical="center" wrapText="1"/>
    </xf>
    <xf numFmtId="0" fontId="14" fillId="5" borderId="4" applyAlignment="1" pivotButton="0" quotePrefix="0" xfId="0">
      <alignment vertical="center" wrapText="1"/>
    </xf>
    <xf numFmtId="0" fontId="15" fillId="6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 wrapText="1"/>
    </xf>
    <xf numFmtId="0" fontId="1" fillId="0" borderId="4" pivotButton="0" quotePrefix="0" xfId="0"/>
    <xf numFmtId="9" fontId="10" fillId="0" borderId="0" applyAlignment="1" pivotButton="0" quotePrefix="0" xfId="0">
      <alignment horizontal="left" vertical="top" wrapText="1"/>
    </xf>
    <xf numFmtId="0" fontId="17" fillId="0" borderId="4" applyAlignment="1" pivotButton="0" quotePrefix="0" xfId="0">
      <alignment horizontal="center" vertical="center"/>
    </xf>
    <xf numFmtId="0" fontId="18" fillId="4" borderId="5" applyAlignment="1" pivotButton="0" quotePrefix="0" xfId="0">
      <alignment horizontal="left" vertical="center" wrapText="1"/>
    </xf>
    <xf numFmtId="0" fontId="18" fillId="4" borderId="5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5" borderId="5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center" vertical="center"/>
    </xf>
    <xf numFmtId="0" fontId="21" fillId="0" borderId="0" pivotButton="0" quotePrefix="0" xfId="0"/>
    <xf numFmtId="0" fontId="22" fillId="6" borderId="5" applyAlignment="1" pivotButton="0" quotePrefix="0" xfId="0">
      <alignment vertical="center" wrapText="1"/>
    </xf>
    <xf numFmtId="2" fontId="11" fillId="0" borderId="0" pivotButton="0" quotePrefix="0" xfId="0"/>
    <xf numFmtId="164" fontId="23" fillId="0" borderId="0" pivotButton="0" quotePrefix="0" xfId="0"/>
    <xf numFmtId="0" fontId="1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 wrapText="1"/>
    </xf>
    <xf numFmtId="0" fontId="3" fillId="7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bottom"/>
    </xf>
    <xf numFmtId="0" fontId="1" fillId="7" borderId="0" applyAlignment="1" pivotButton="0" quotePrefix="0" xfId="0">
      <alignment vertical="bottom"/>
    </xf>
    <xf numFmtId="0" fontId="15" fillId="8" borderId="1" applyAlignment="1" pivotButton="0" quotePrefix="0" xfId="0">
      <alignment vertical="center" wrapText="1"/>
    </xf>
    <xf numFmtId="2" fontId="11" fillId="9" borderId="0" applyAlignment="1" pivotButton="0" quotePrefix="0" xfId="0">
      <alignment horizontal="right" vertical="bottom"/>
    </xf>
    <xf numFmtId="164" fontId="23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top" wrapText="1"/>
    </xf>
    <xf numFmtId="0" fontId="13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2" borderId="0" applyAlignment="1" pivotButton="0" quotePrefix="0" xfId="0">
      <alignment vertical="bottom"/>
    </xf>
    <xf numFmtId="2" fontId="11" fillId="5" borderId="0" applyAlignment="1" pivotButton="0" quotePrefix="0" xfId="0">
      <alignment horizontal="right" vertical="bottom"/>
    </xf>
    <xf numFmtId="0" fontId="3" fillId="10" borderId="0" pivotButton="0" quotePrefix="0" xfId="0"/>
    <xf numFmtId="0" fontId="3" fillId="11" borderId="0" pivotButton="0" quotePrefix="0" xfId="0"/>
    <xf numFmtId="2" fontId="1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vertical="bottom"/>
    </xf>
    <xf numFmtId="0" fontId="24" fillId="0" borderId="0" applyAlignment="1" pivotButton="0" quotePrefix="0" xfId="0">
      <alignment vertical="center" wrapText="1"/>
    </xf>
    <xf numFmtId="2" fontId="1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25" fillId="0" borderId="4" applyAlignment="1" pivotButton="0" quotePrefix="0" xfId="0">
      <alignment vertical="center" wrapText="1"/>
    </xf>
    <xf numFmtId="0" fontId="26" fillId="0" borderId="4" applyAlignment="1" pivotButton="0" quotePrefix="0" xfId="0">
      <alignment vertical="center" wrapText="1"/>
    </xf>
    <xf numFmtId="0" fontId="27" fillId="0" borderId="4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 wrapText="1"/>
    </xf>
    <xf numFmtId="0" fontId="0" fillId="0" borderId="0" pivotButton="0" quotePrefix="0" xfId="0"/>
    <xf numFmtId="0" fontId="4" fillId="3" borderId="5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left" vertical="center" wrapText="1"/>
    </xf>
    <xf numFmtId="0" fontId="15" fillId="8" borderId="5" applyAlignment="1" pivotButton="0" quotePrefix="0" xfId="0">
      <alignment vertical="center" wrapText="1"/>
    </xf>
    <xf numFmtId="0" fontId="7" fillId="3" borderId="5" applyAlignment="1" pivotButton="0" quotePrefix="0" xfId="0">
      <alignment horizontal="left" vertical="center" wrapText="1"/>
    </xf>
    <xf numFmtId="0" fontId="15" fillId="6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9" borderId="0" pivotButton="0" quotePrefix="0" xfId="0"/>
    <xf numFmtId="0" fontId="3" fillId="5" borderId="0" pivotButton="0" quotePrefix="0" xfId="0"/>
  </cellXfs>
  <cellStyles count="1">
    <cellStyle name="Normal" xfId="0" builtinId="0"/>
  </cellStyles>
  <dxfs count="7">
    <dxf>
      <font>
        <b val="1"/>
        <color rgb="FFB45F06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b val="1"/>
        <color rgb="FFC1272D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None</author>
  </authors>
  <commentList>
    <comment ref="K5" authorId="0" shapeId="0">
      <text>
        <t>======
ID#AAACHXX-vnA
CCU    (2026-09-12 00:58:54)
C1  (10 pts)
A comunicação está clara e direto ao ponto.
3 = A recomendação está escrita em UMA frase, nos 2 primeiros slides, com o número que a sustenta.
2 = A recomendação é explícita e clara, mas só aparece depois da metade da entrega.
1 = Dá pra inferir a recomendação, mas ela não está escrita em lugar nenhum.
0 = Não há recomendação, ou há duas incompatíveis entre si.
TESTE: Aponte o slide e a frase. Não conseguiu apontar? Não é 3.</t>
      </text>
    </comment>
    <comment ref="L5" authorId="0" shapeId="0">
      <text>
        <t>======
ID#AAACHXX-vms
CCU    (2026-09-12 00:58:54)
C2  (8 pts)
O desafio apresenta um formato que poderia ser apresentado a um cliente real.
3 = Documento fechado (capa, estrutura, apêndice), sem rascunho visível. Um cliente receberia como está.
2 = Estruturado, mas com pontas soltas: conta solta, slide inacabado, formatação inconsistente.
1 = Responde as perguntas, mas em formato de lista ou rascunho.
0 = Foto de papel, texto corrido no e-mail, ou arquivo sem estrutura nenhuma.
TESTE: Você mandaria esse arquivo, sem editar nada, pro cliente do seu projeto?</t>
      </text>
    </comment>
    <comment ref="M5" authorId="0" shapeId="0">
      <text>
        <t>======
ID#AAACHXX-vnw
CCU    (2026-09-12 00:58:54)
C3  (7 pts)
A apresentação apresenta um bom storytelling e envolve o leitor.
3 = Lendo só os títulos, na ordem, a história fecha sozinha: contexto -&gt; problema -&gt; análise -&gt; recomendação -&gt; riscos.
2 = A sequência é lógica, com 1 ou 2 saltos que obrigam o leitor a voltar.
1 = Os blocos existem, mas soltos — um não puxa o outro.
0 = Ordem aleatória, ou é só uma lista de respostas às perguntas.
TESTE: Leia SÓ os títulos em voz alta. Se a recomendação não aparecer, é no máximo 1.</t>
      </text>
    </comment>
    <comment ref="N5" authorId="0" shapeId="0">
      <text>
        <t>======
ID#AAACHXX-vm4
CCU    (2026-09-12 00:58:54)
C4  (5 pts)
O trabalho está visualmente bonito.
3 = Padrão único de fonte, cor e alinhamento em toda a entrega. Nenhum slide com parágrafo corrido.
2 = Consistente, com até 2 slides fora do padrão.
1 = Formatação improvisada, mas legível.
0 = Ilegível, desalinhado, ou é texto corrido.
TESTE: Conte os slides fora do padrão. É uma contagem, não uma impressão.</t>
      </text>
    </comment>
    <comment ref="P5" authorId="0" shapeId="0">
      <text>
        <t>======
ID#AAACHXX-vnQ
CCU    (2026-09-12 00:58:54)
R1  (8 pts)
Sua recomendação leva em consideração ambas as partes qualitativas e quantitativas do case.
3 = A recomendação cita o número que a sustenta E a razão de negócio; as duas partes se apoiam.
2 = Cita as duas, mas uma é decorativa — o número não sustenta de fato a decisão.
1 = Só quantitativa (número sem porquê) ou só qualitativa (opinião sem número).
0 = Não há recomendação, ou ela contraria os próprios números apresentados.
TESTE: Tape o número: a recomendação ainda se sustenta? Tape o argumento: ainda se sustenta?</t>
      </text>
    </comment>
    <comment ref="Q5" authorId="0" shapeId="0">
      <text>
        <t>======
ID#AAACHXX-vn0
CCU    (2026-09-12 00:58:54)
R2  (7 pts)
O trabalho apresenta uma discussão rica com diversos pontos de vista sobre a expansão.
3 = Apresenta ao menos 2 caminhos, compara com critério explícito e justifica o que descartou.
2 = Cita alternativas, mas não compara — escolhe sem justificar.
1 = Menciona que existem alternativas, sem desenvolver nenhuma.
0 = Caminho único, sem discussão.
TESTE: Ele descartou alguma coisa por escrito? Se não descartou nada, não discutiu.</t>
      </text>
    </comment>
    <comment ref="R5" authorId="0" shapeId="0">
      <text>
        <t>======
ID#AAACHXX-vnc
CCU    (2026-09-12 00:58:54)
R3  (5 pts)
Foi além do pedido e trouxe análises interessantes.
3 = Trouxe algo não pedido que MUDA ou FORTALECE a recomendação.
2 = Trouxe algo não pedido, correto e LIGADO À DECISÃO, mas que não altera a conclusão.
1 = Não trouxe nada além, mas entregou o pedido de forma completa e correta.
0 = O material extra NÃO SE CONECTA à decisão (tangenciou), ou o pedido ficou incompleto.
TESTE: A análise extra responde a uma pergunta que o cliente deveria ter feito? Se não dá pra dizer qual decisão ela informa, é 0 — não 2. Volume não conta: três páginas de análise tangencial valem menos que nenhuma.</t>
      </text>
    </comment>
    <comment ref="S5" authorId="0" shapeId="0">
      <text>
        <t>======
ID#AAACHXX-vns
CCU    (2026-09-12 00:58:54)
R4  (5 pts)
Foi além das interpretações óbvias dos indicadores e agregou valor à análise.
3 = Explica a CAUSA por trás do indicador e o que fazer com ela.
2 = Compara o indicador com algo (outra loja, outro ano, benchmark) e tira conclusão.
1 = Lê o indicador corretamente (ex.: a margem caiu).
0 = Repete o número sem interpretar.
TESTE: Ele respondeu 'por quê', 'comparado a quê', ou só 'quanto'?</t>
      </text>
    </comment>
    <comment ref="U5" authorId="0" shapeId="0">
      <text>
        <t>======
ID#AAACHXX-vmw
CCU    (2026-09-12 00:58:54)
A1  (6 pts)
[CONTA CENTRAL 1 — escrever aqui a pergunta do case deste semestre]
3 = Valor dentro da tolerância definida na aba Gabarito E memória de cálculo visível.
2 = Método correto, valor fora da tolerância (erro aritmético).
1 = Identificou a lógica correta, não fechou o número.
0 = Não respondeu, ou o método está errado.
TESTE: Confira contra a aba Gabarito. Dois avaliadores têm que chegar no mesmo número.</t>
      </text>
    </comment>
    <comment ref="V5" authorId="0" shapeId="0">
      <text>
        <t>======
ID#AAACHXX-vn4
CCU    (2026-09-12 00:58:54)
A2  (6 pts)
[CONTA CENTRAL 2 — escrever aqui a pergunta do case deste semestre]
3 = Valor dentro da tolerância definida na aba Gabarito E memória de cálculo visível.
2 = Método correto, valor fora da tolerância (erro aritmético).
1 = Identificou a lógica correta, não fechou o número.
0 = Não respondeu, ou o método está errado.
TESTE: Confira contra a aba Gabarito.</t>
      </text>
    </comment>
    <comment ref="W5" authorId="0" shapeId="0">
      <text>
        <t>======
ID#AAACHXX-vnI
CCU    (2026-09-12 00:58:54)
A3  (4 pts)
[PROJEÇÃO / PLANO — a projeção pedida no case fecha com a meta declarada?]
3 = Os números da projeção chegam às metas do case E batem com o modelo que ele mesmo montou.
2 = Chega a parte das metas, ou chega a todas sem mostrar a ponte entre os anos.
1 = Plano narrativo, sem número.
0 = Não fez.
TESTE: Some os anos da projeção dele. Bate com a meta que ele mesmo escreveu?</t>
      </text>
    </comment>
    <comment ref="X5" authorId="0" shapeId="0">
      <text>
        <t>======
ID#AAACHXX-vn8
CCU    (2026-09-12 00:58:54)
A4  (3 pts)
[ALTERNATIVA — propôs caminho alternativo coerente com o case?]
3 = Propõe alternativa com número estimado de impacto.
2 = Propõe alternativa coerente com o case, sem quantificar.
1 = Alternativa genérica — serviria pra qualquer empresa.
0 = Não propôs, ou propõe algo que contraria o case.
TESTE: A alternativa cita algo que só existe NESTE case? Se não, é 1.</t>
      </text>
    </comment>
    <comment ref="Y5" authorId="0" shapeId="0">
      <text>
        <t>======
ID#AAACHXX-vng
CCU    (2026-09-12 00:58:54)
A5  (3 pts)
Analisou riscos e próximos passos de forma lógica e estruturada?
3 = Riscos específicos da recomendação DELE, com mitigação e prazo.
2 = Riscos específicos, sem mitigação.
1 = Riscos genéricos (crise, concorrência, câmbio).
0 = Não fez.
TESTE: O risco listado some se a recomendação mudar? Se não some, é genérico.</t>
      </text>
    </comment>
    <comment ref="Z5" authorId="0" shapeId="0">
      <text>
        <t>======
ID#AAACHXX-vnM
CCU    (2026-09-12 00:58:54)
A6  (3 pts)
Identificou a inconsistência plantada no material do case?
3 = Achou, apontou explicitamente e explicou como tratou.
2 = Achou e apontou.
1 = Contornou sem nomear — usou o número certo, mas não disse por quê.
0 = Construiu a análise inteira em cima do dado errado.
TESTE: Este é o item que a IA erra. Vale 3 pts e separa mais que qualquer outro.</t>
      </text>
    </comment>
    <comment ref="AB5" authorId="0" shapeId="0">
      <text>
        <t>======
ID#AAACHXX-vnU
CCU    (2026-09-12 00:58:54)
E1  (3 pts)
Enviou planilha com a memória de cálculo.
1 = sim   ·   0 = não
TESTE: Sim = 1, Não = 0. Sem julgamento.</t>
      </text>
    </comment>
    <comment ref="AC5" authorId="0" shapeId="0">
      <text>
        <t>======
ID#AAACHXX-vm8
CCU    (2026-09-12 00:58:54)
E2  (2 pts)
Enviou apresentação fechada (PPT ou relatório).
1 = sim   ·   0 = não
TESTE: Sim = 1, Não = 0.</t>
      </text>
    </comment>
    <comment ref="AD5" authorId="0" shapeId="0">
      <text>
        <t>======
ID#AAACHXX-vnk
CCU    (2026-09-12 00:58:54)
E3  (2 pts)
Gravou o vídeo da entrega.
1 = sim   ·   0 = não
TESTE: Sim = 1, Não = 0.</t>
      </text>
    </comment>
    <comment ref="AE5" authorId="0" shapeId="0">
      <text>
        <t>======
ID#AAACHXX-vno
CCU    (2026-09-12 00:58:54)
E4  (3 pts)
O trabalho apresenta recursos textuais e visuais (gráficos, tabelas de DRE).
3 = Todo gráfico/tabela é citado no texto E sustenta uma afirmação da análise.
2 = Os recursos são corretos e citados, mas alguns são decorativos (não provam nada).
1 = Há recursos, mas soltos — não citados no texto, ou com erro de leitura (eixo, escala, unidade).
0 = Nenhum gráfico ou tabela.
TESTE: Quantidade não é critério: 3 gráficos que provam algo valem mais que 8 enfeitando. Para cada recurso pergunte: que afirmação ele sustenta?</t>
      </text>
    </comment>
    <comment ref="AF5" authorId="0" shapeId="0">
      <text>
        <t>======
ID#AAACHXX-vnY
CCU    (2026-09-12 00:58:54)
V1  (5 pts)
Clareza e naturalidade na fala.
3 = Fala com estrutura própria, sem ler. Dá pra acompanhar do começo ao fim.
2 = Boa fala, com apoio visível de roteiro.
1 = Lê integralmente, mas é compreensível.
0 = Não dá pra acompanhar, ou não gravou.
TESTE: Não julgue o conteúdo aqui, só a entrega da fala.</t>
      </text>
    </comment>
    <comment ref="AG5" authorId="0" shapeId="0">
      <text>
        <t>======
ID#AAACHXX-vm0
CCU    (2026-09-12 00:58:54)
V2  (5 pts)
Apresenta motivo concreto para entrar no CCU.
3 = Cita algo específico do CCU (projeto, área, evento) e conecta com o que quer desenvolver.
2 = Motivo real, mas genérico (quero aprender consultoria).
1 = Motivo circunstancial (tenho tempo livre, tenho carro pra ir aos eventos).
0 = Não respondeu à pergunta.
TESTE: O motivo dele serviria pra qualquer entidade da Unicamp? Então é 1.</t>
      </text>
    </comment>
    <comment ref="S8" authorId="0" shapeId="0">
      <text>
        <t>======
ID#AAACHXX-vnE
Lucas Procopio Araújo C. P. Ribeiro    (2026-09-20 03:43:54)
?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65" min="1" max="1"/>
    <col width="26" customWidth="1" style="65" min="2" max="2"/>
    <col width="148" customWidth="1" style="65" min="3" max="3"/>
    <col width="8.710000000000001" customWidth="1" style="65" min="4" max="6"/>
  </cols>
  <sheetData>
    <row r="1" ht="14.25" customHeight="1" s="65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30" customHeight="1" s="65">
      <c r="A2" s="53" t="n"/>
      <c r="B2" s="66" t="inlineStr">
        <is>
          <t>PLANILHA DE AVALIAÇÃO — MODELO QUANTITATIVO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14.25" customHeight="1" s="65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1.75" customHeight="1" s="65">
      <c r="A4" s="53" t="n"/>
      <c r="B4" s="67" t="inlineStr">
        <is>
          <t>O QUE MUDOU</t>
        </is>
      </c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39" customHeight="1" s="65">
      <c r="A5" s="53" t="n"/>
      <c r="B5" s="11" t="inlineStr">
        <is>
          <t>As perguntas</t>
        </is>
      </c>
      <c r="C5" s="12" t="inlineStr">
        <is>
          <t>São as mesmas da planilha antiga. Nenhuma pergunta nova, exceto A6 (inconsistência plantada), que entra no lugar de 'Resposta dos concorrentes' — item que ficou 89% zerado no PS 2026-1S e nem estava na Base.</t>
        </is>
      </c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25.5" customHeight="1" s="65">
      <c r="A6" s="53" t="n"/>
      <c r="B6" s="11" t="inlineStr">
        <is>
          <t>A escala</t>
        </is>
      </c>
      <c r="C6" s="12" t="inlineStr">
        <is>
          <t>Toda nota agora é 0, 1, 2 ou 3. Acabaram os 0,7 / 1,2 / 2,8. Cada nível tem uma frase que o descreve na aba 'Base avaliação'. Se você não consegue apontar a frase, você não pode dar aquela nota.</t>
        </is>
      </c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25.5" customHeight="1" s="65">
      <c r="A7" s="53" t="n"/>
      <c r="B7" s="11" t="inlineStr">
        <is>
          <t>Os pesos</t>
        </is>
      </c>
      <c r="C7" s="12" t="inlineStr">
        <is>
          <t>Comunicação 30 · Raciocínio 25 · Acurácia 25 · Entrega 10 · Vídeo 10. O peso agora está no bloco, não escondido no teto de cada pergunta.</t>
        </is>
      </c>
      <c r="D7" s="53" t="n"/>
      <c r="E7" s="53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15" customHeight="1" s="65">
      <c r="A8" s="53" t="n"/>
      <c r="B8" s="11" t="inlineStr">
        <is>
          <t>A trava</t>
        </is>
      </c>
      <c r="C8" s="12" t="inlineStr">
        <is>
          <t>A célula só aceita 0/1/2/3. No PS passado, 8 das 27 linhas tinham nota acima do teto do critério.</t>
        </is>
      </c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64.5" customHeight="1" s="65">
      <c r="A9" s="53" t="n"/>
      <c r="B9" s="11" t="inlineStr">
        <is>
          <t>O peso do vídeo</t>
        </is>
      </c>
      <c r="C9" s="23" t="n">
        <v>0.1</v>
      </c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39" customHeight="1" s="65">
      <c r="A10" s="53" t="n"/>
      <c r="B10" s="11" t="inlineStr">
        <is>
          <t>R3 e E4</t>
        </is>
      </c>
      <c r="C10" s="12" t="inlineStr">
        <is>
          <t>Reescritos para premiar RELEVÂNCIA, não volume. Antes, análise extra tangencial pontuava 2 e fazer o pedido direito pontuava 0 — invertido. Agora tangente é 0 e entregar o pedido completo é 1. Em E4, contagem de gráficos saiu: o que vale é o recurso sustentar uma afirmação.</t>
        </is>
      </c>
      <c r="D10" s="53" t="n"/>
      <c r="E10" s="53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14.25" customHeight="1" s="65">
      <c r="A11" s="53" t="n"/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21.75" customHeight="1" s="65">
      <c r="A12" s="53" t="n"/>
      <c r="B12" s="67" t="inlineStr">
        <is>
          <t>AS 5 REGRAS</t>
        </is>
      </c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64.5" customHeight="1" s="65">
      <c r="A13" s="53" t="n"/>
      <c r="B13" s="11" t="inlineStr">
        <is>
          <t>1. Evidência obrigatória</t>
        </is>
      </c>
      <c r="C13" s="12" t="inlineStr">
        <is>
          <t>Ao lado da nota de cada bloco há uma coluna de evidência. Escreva o número do slide ou a minutagem do vídeo. É isso que torna a nota revisável e permite dar feedback ao candidato depois. NA PRÁTICA: preencha ao menos para todo 3 e todo 0  são as notas que afirmam algo forte e que o 2º avaliador contesta. O 2 é o meio-termo e raramente vira discussão. Veja a linha 6 (Modelo) para o formato.</t>
        </is>
      </c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39" customHeight="1" s="65">
      <c r="A14" s="53" t="n"/>
      <c r="B14" s="11" t="inlineStr">
        <is>
          <t>2. Corrija por critério</t>
        </is>
      </c>
      <c r="C14" s="12" t="inlineStr">
        <is>
          <t>Avalie TODOS os candidatos no C1, depois todos no C2, e assim por diante. Nunca candidato por candidato. Comparar 27 respostas da mesma pergunta lado a lado é muito mais consistente  e é o que evita que uma boa impressão geral contamine as 20 notas.</t>
        </is>
      </c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39" customHeight="1" s="65">
      <c r="A15" s="53" t="n"/>
      <c r="B15" s="11" t="inlineStr">
        <is>
          <t>3. Dois avaliadores</t>
        </is>
      </c>
      <c r="C15" s="12" t="inlineStr">
        <is>
          <t>Todo candidato precisa de 2 avaliações independentes. No PS 2026-1S só 37% tiveram. Se a diferença entre as duas notas finais passar de 1,0, a aba Consolidado acende alerta: vai para conversa de calibração ou terceiro avaliador.</t>
        </is>
      </c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39" customHeight="1" s="65">
      <c r="A16" s="53" t="n"/>
      <c r="B16" s="11" t="inlineStr">
        <is>
          <t>4. Calibre antes de abrir</t>
        </is>
      </c>
      <c r="C16" s="12" t="inlineStr">
        <is>
          <t>Antes do PS começar: peguem 3 entregas do PS anterior (uma boa, uma média, uma ruim), todo mundo avalia, comparem e discutam as divergências. Uma hora de reunião. É a maior alavanca de consistência que existe e não custa nada.</t>
        </is>
      </c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25.5" customHeight="1" s="65">
      <c r="A17" s="53" t="n"/>
      <c r="B17" s="11" t="inlineStr">
        <is>
          <t>5. Corte definido antes</t>
        </is>
      </c>
      <c r="C17" s="12" t="inlineStr">
        <is>
          <t>Número de vagas e nota mínima decididos ANTES de ver as notas. Desempate escrito: 1º acurácia · 2º comunicação · 3º entrevista.</t>
        </is>
      </c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14.25" customHeight="1" s="65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21.75" customHeight="1" s="65">
      <c r="A19" s="53" t="n"/>
      <c r="B19" s="67" t="inlineStr">
        <is>
          <t>A NOTA QUANDO DUAS PESSOAS CORRIGEM</t>
        </is>
      </c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25.5" customHeight="1" s="65">
      <c r="A20" s="53" t="n"/>
      <c r="B20" s="11" t="inlineStr">
        <is>
          <t>Sim, é a média</t>
        </is>
      </c>
      <c r="C20" s="12" t="inlineStr">
        <is>
          <t>Se um avaliador dá 6,0 e o outro 7,0, a nota do candidato é 6,50. A aba Consolidado faz isso sozinha (AVERAGEIF por nome). Não arredonde na mão.</t>
        </is>
      </c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51.75" customHeight="1" s="65">
      <c r="A21" s="53" t="n"/>
      <c r="B21" s="11" t="inlineStr">
        <is>
          <t>Onde a vírgula pode aparecer</t>
        </is>
      </c>
      <c r="C21" s="12" t="inlineStr">
        <is>
          <t>Só na MÉDIA ENTRE PESSOAS, nunca dentro da cabeça de uma pessoa. Cada avaliador só digita 0, 1, 2 ou 3 — e a célula não aceita outra coisa. O 6,50 é o resultado de duas leituras independentes; o antigo 6,5 era uma pessoa sentindo que valia meio ponto. Mesmo número, confiabilidade completamente diferente.</t>
        </is>
      </c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39" customHeight="1" s="65">
      <c r="A22" s="53" t="n"/>
      <c r="B22" s="11" t="inlineStr">
        <is>
          <t>Quando a média NÃO vale</t>
        </is>
      </c>
      <c r="C22" s="12" t="inlineStr">
        <is>
          <t>Se a diferença passar de 1,0 (ex.: 5,8 e 7,2), a aba acende alerta e a média fica suspensa. Média de duas leituras que discordam muito não é consenso, é um número inventado no meio. Nesse caso: conversem, releiam juntos o critério que divergiu e refaçam — ou chamem um terceiro.</t>
        </is>
      </c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39" customHeight="1" s="65">
      <c r="A23" s="53" t="n"/>
      <c r="B23" s="11" t="inlineStr">
        <is>
          <t>Por que 1,0 é o limite</t>
        </is>
      </c>
      <c r="C23" s="12" t="inlineStr">
        <is>
          <t>Com escala de 0 a 3 e 20 critérios, dois avaliadores calibrados raramente passam de 1 ponto de diferença na nota final. Se passou, quase sempre é um critério só sendo lido de dois jeitos — e é isso que a conversa resolve. As colunas 'Nota aval. 1' e 'Nota aval. 2' mostram as duas notas lado a lado.</t>
        </is>
      </c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14.25" customHeight="1" s="65">
      <c r="A24" s="53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21.75" customHeight="1" s="65">
      <c r="A25" s="53" t="n"/>
      <c r="B25" s="67" t="inlineStr">
        <is>
          <t>ELEGIBILIDADE (estágio / intercâmbio / formatura)</t>
        </is>
      </c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25.5" customHeight="1" s="65">
      <c r="A26" s="53" t="n"/>
      <c r="B26" s="11" t="inlineStr">
        <is>
          <t>Não é eliminatório</t>
        </is>
      </c>
      <c r="C26" s="12" t="inlineStr">
        <is>
          <t>Conforme o diretor: é um warning, não um corte. Por isso NÃO entra na nota e NÃO tem peso. Fica só na aba Consolidado.</t>
        </is>
      </c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39" customHeight="1" s="65">
      <c r="A27" s="53" t="n"/>
      <c r="B27" s="11" t="inlineStr">
        <is>
          <t>Dois níveis</t>
        </is>
      </c>
      <c r="C27" s="12" t="inlineStr">
        <is>
          <t>🔴 EVASÃO — sai do ar em até 2 semestres (intercâmbio confirmado, formatura próxima).   🟡 CARGA — continua, mas com menos tempo (estagiando agora, estágio começando no ano). Estagiar não é ir embora: é ter menos tempo. São riscos diferentes.</t>
        </is>
      </c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25.5" customHeight="1" s="65">
      <c r="A28" s="53" t="n"/>
      <c r="B28" s="11" t="inlineStr">
        <is>
          <t>Onde ela morde</t>
        </is>
      </c>
      <c r="C28" s="12" t="inlineStr">
        <is>
          <t>A flag não soma nem subtrai ponto e nunca elimina. Ela (i) obriga uma pergunta específica na entrevista e (ii) só desempata entre candidatos a menos de 0,3 ponto um do outro.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51.75" customHeight="1" s="65">
      <c r="A29" s="53" t="n"/>
      <c r="B29" s="11" t="inlineStr">
        <is>
          <t>Horas por semana</t>
        </is>
      </c>
      <c r="C29" s="12" t="inlineStr">
        <is>
          <t>VOLTEM COM ESSA PERGUNTA NO FORMULÁRIO. 2025.2 perguntava quantas horas o candidato dedicaria (todos responderam: mediana 8h, variando de 4 a 40) e ela sumiu em 2026.1. Tem variância real e mede o risco de CARGA muito melhor que 'estagiando sim/não' — porque os 13 aprovados de 2025.2 declararam plano de estágio, TODOS os 13. Uma flag que dispara em 100% da lista não separa nada.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51.75" customHeight="1" s="65">
      <c r="A30" s="53" t="n"/>
      <c r="B30" s="11" t="inlineStr">
        <is>
          <t>O que os dados já dizem</t>
        </is>
      </c>
      <c r="C30" s="12" t="inlineStr">
        <is>
          <t>Dos 13 aprovados em 2025.2, 4 apareceram como avaliadores em 2026.1 (Gustavo, Fred, Victor, AnaJu) — com planos de estágio variados, sem padrão. O único com formatura em 2026 não reaparece. É indício fraco (n=1), mas aponta para FORMATURA como a variável de risco real, não estágio. Por isso 🔴 EVASÃO e 🟡 CARGA são separados.</t>
        </is>
      </c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25.5" customHeight="1" s="65">
      <c r="A31" s="53" t="n"/>
      <c r="B31" s="11" t="inlineStr">
        <is>
          <t>Medir</t>
        </is>
      </c>
      <c r="C31" s="12" t="inlineStr">
        <is>
          <t>Registrem a flag de cada aprovado. Daqui a 2 ou 3 PS, cruzem com quem de fato continuou no clube. Aí vocês saberão se a hipótese é verdadeira — hoje ninguém sabe.</t>
        </is>
      </c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14.25" customHeight="1" s="65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21.75" customHeight="1" s="65">
      <c r="A33" s="53" t="n"/>
      <c r="B33" s="67" t="inlineStr">
        <is>
          <t>O CASE E A IA</t>
        </is>
      </c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25.5" customHeight="1" s="65">
      <c r="A34" s="53" t="n"/>
      <c r="B34" s="11" t="inlineStr">
        <is>
          <t>O problema</t>
        </is>
      </c>
      <c r="C34" s="12" t="inlineStr">
        <is>
          <t>3 dias em casa: acurácia deixa de discriminar. No PS 2026-1S, antes da IA virar padrão, 62% dos candidatos já tiravam ≥80% do teto em 'Loja 5' e 65% em 'SG&amp;A'. Peso sem variância não muda ranking.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39" customHeight="1" s="65">
      <c r="A35" s="53" t="n"/>
      <c r="B35" s="11" t="inlineStr">
        <is>
          <t>Erro plantado (A6)</t>
        </is>
      </c>
      <c r="C35" s="12" t="inlineStr">
        <is>
          <t>Coloquem uma inconsistência de propósito no material: a DRE não fecha por X, ou o enunciado contradiz a tabela anexa. IA aceita o input como verdade e segue. Custa 10 minutos montando o case e é o melhor discriminador por esforço investido.</t>
        </is>
      </c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25.5" customHeight="1" s="65">
      <c r="A36" s="53" t="n"/>
      <c r="B36" s="11" t="inlineStr">
        <is>
          <t>Premissa ausente</t>
        </is>
      </c>
      <c r="C36" s="12" t="inlineStr">
        <is>
          <t>Não deem o critério de rateio do SG&amp;A entre lojas. Aí não existe 'a resposta certa': pontua-se se declarou a premissa, se a carregou até a recomendação sem se contradizer e se testou outra.</t>
        </is>
      </c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39" customHeight="1" s="65">
      <c r="A37" s="53" t="n"/>
      <c r="B37" s="11" t="inlineStr">
        <is>
          <t>Propriedade na ENTREVISTA</t>
        </is>
      </c>
      <c r="C37" s="12" t="inlineStr">
        <is>
          <t>Não tente detectar IA no take-home. Nos primeiros 10 minutos da entrevista, o candidato refaz UMA conta da própria entrega, ao vivo, com um parâmetro alterado. Quem montou o modelo resolve em 3 minutos. Registre em Consolidado!K como OK / Não OK.</t>
        </is>
      </c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14.25" customHeight="1" s="65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14.25" customHeight="1" s="65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14.25" customHeight="1" s="65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14.25" customHeight="1" s="65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14.25" customHeight="1" s="65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14.25" customHeight="1" s="65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14.25" customHeight="1" s="65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14.25" customHeight="1" s="65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14.25" customHeight="1" s="65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14.25" customHeight="1" s="65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14.25" customHeight="1" s="65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14.25" customHeight="1" s="65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14.25" customHeight="1" s="65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14.25" customHeight="1" s="65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14.25" customHeight="1" s="65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14.25" customHeight="1" s="65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14.25" customHeight="1" s="65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14.25" customHeight="1" s="6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14.25" customHeight="1" s="65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14.25" customHeight="1" s="65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14.25" customHeight="1" s="65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14.25" customHeight="1" s="65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14.25" customHeight="1" s="65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14.25" customHeight="1" s="65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14.25" customHeight="1" s="65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14.25" customHeight="1" s="65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14.25" customHeight="1" s="65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14.25" customHeight="1" s="65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14.25" customHeight="1" s="65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14.25" customHeight="1" s="65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14.25" customHeight="1" s="65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14.25" customHeight="1" s="65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14.25" customHeight="1" s="65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14.25" customHeight="1" s="65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14.25" customHeight="1" s="65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14.25" customHeight="1" s="65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14.25" customHeight="1" s="65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14.25" customHeight="1" s="65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14.25" customHeight="1" s="65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14.25" customHeight="1" s="65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14.25" customHeight="1" s="65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14.25" customHeight="1" s="65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14.25" customHeight="1" s="65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14.25" customHeight="1" s="65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14.25" customHeight="1" s="65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14.25" customHeight="1" s="65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14.25" customHeight="1" s="65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14.25" customHeight="1" s="65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14.25" customHeight="1" s="65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14.25" customHeight="1" s="65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14.25" customHeight="1" s="65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14.25" customHeight="1" s="65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14.25" customHeight="1" s="65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14.25" customHeight="1" s="65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14.25" customHeight="1" s="65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14.25" customHeight="1" s="65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14.25" customHeight="1" s="65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14.25" customHeight="1" s="65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14.25" customHeight="1" s="65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14.25" customHeight="1" s="65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14.25" customHeight="1" s="65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14.25" customHeight="1" s="65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14.25" customHeight="1" s="65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14.25" customHeight="1" s="65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14.25" customHeight="1" s="65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14.25" customHeight="1" s="65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14.25" customHeight="1" s="65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14.25" customHeight="1" s="6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14.25" customHeight="1" s="65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14.25" customHeight="1" s="65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14.25" customHeight="1" s="65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14.25" customHeight="1" s="65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14.25" customHeight="1" s="65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14.25" customHeight="1" s="65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14.25" customHeight="1" s="65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14.25" customHeight="1" s="65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14.25" customHeight="1" s="65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14.25" customHeight="1" s="6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14.25" customHeight="1" s="65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14.25" customHeight="1" s="65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14.25" customHeight="1" s="65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14.25" customHeight="1" s="65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14.25" customHeight="1" s="65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14.25" customHeight="1" s="65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14.25" customHeight="1" s="65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14.25" customHeight="1" s="65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14.25" customHeight="1" s="65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14.25" customHeight="1" s="6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14.25" customHeight="1" s="65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14.25" customHeight="1" s="65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14.25" customHeight="1" s="65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14.25" customHeight="1" s="65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4.25" customHeight="1" s="65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4.25" customHeight="1" s="65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4.25" customHeight="1" s="65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4.25" customHeight="1" s="65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4.25" customHeight="1" s="65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4.25" customHeight="1" s="6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4.25" customHeight="1" s="65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4.25" customHeight="1" s="65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4.25" customHeight="1" s="65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4.25" customHeight="1" s="65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4.25" customHeight="1" s="65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4.25" customHeight="1" s="65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4.25" customHeight="1" s="65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4.25" customHeight="1" s="65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4.25" customHeight="1" s="65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4.25" customHeight="1" s="6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4.25" customHeight="1" s="65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4.25" customHeight="1" s="65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4.25" customHeight="1" s="65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4.25" customHeight="1" s="65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4.25" customHeight="1" s="65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4.25" customHeight="1" s="65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4.25" customHeight="1" s="65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4.25" customHeight="1" s="65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4.25" customHeight="1" s="65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4.25" customHeight="1" s="6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4.25" customHeight="1" s="65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4.25" customHeight="1" s="65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4.25" customHeight="1" s="65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4.25" customHeight="1" s="65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4.25" customHeight="1" s="65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4.25" customHeight="1" s="65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4.25" customHeight="1" s="65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4.25" customHeight="1" s="65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4.25" customHeight="1" s="65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4.25" customHeight="1" s="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4.25" customHeight="1" s="65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4.25" customHeight="1" s="65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4.25" customHeight="1" s="65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4.25" customHeight="1" s="65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4.25" customHeight="1" s="65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4.25" customHeight="1" s="65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4.25" customHeight="1" s="65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4.25" customHeight="1" s="65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4.25" customHeight="1" s="65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4.25" customHeight="1" s="6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4.25" customHeight="1" s="65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4.25" customHeight="1" s="65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4.25" customHeight="1" s="65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4.25" customHeight="1" s="65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4.25" customHeight="1" s="65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4.25" customHeight="1" s="65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4.25" customHeight="1" s="65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4.25" customHeight="1" s="65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4.25" customHeight="1" s="65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4.25" customHeight="1" s="6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4.25" customHeight="1" s="65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4.25" customHeight="1" s="65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4.25" customHeight="1" s="65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4.25" customHeight="1" s="65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4.25" customHeight="1" s="65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4.25" customHeight="1" s="65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4.25" customHeight="1" s="65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4.25" customHeight="1" s="65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4.25" customHeight="1" s="65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4.25" customHeight="1" s="6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4.25" customHeight="1" s="65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4.25" customHeight="1" s="65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4.25" customHeight="1" s="65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4.25" customHeight="1" s="65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4.25" customHeight="1" s="65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4.25" customHeight="1" s="65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4.25" customHeight="1" s="65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4.25" customHeight="1" s="65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4.25" customHeight="1" s="65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4.25" customHeight="1" s="6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4.25" customHeight="1" s="65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4.25" customHeight="1" s="65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4.25" customHeight="1" s="65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4.25" customHeight="1" s="65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4.25" customHeight="1" s="65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4.25" customHeight="1" s="65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4.25" customHeight="1" s="65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4.25" customHeight="1" s="65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4.25" customHeight="1" s="65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4.25" customHeight="1" s="6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4.25" customHeight="1" s="65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4.25" customHeight="1" s="65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4.25" customHeight="1" s="65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4.25" customHeight="1" s="65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4.25" customHeight="1" s="65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4.25" customHeight="1" s="65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4.25" customHeight="1" s="65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4.25" customHeight="1" s="65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4.25" customHeight="1" s="65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4.25" customHeight="1" s="6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4.25" customHeight="1" s="65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4.25" customHeight="1" s="65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4.25" customHeight="1" s="65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4.25" customHeight="1" s="65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4.25" customHeight="1" s="65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4.25" customHeight="1" s="65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4.25" customHeight="1" s="65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4.25" customHeight="1" s="65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4.25" customHeight="1" s="65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4.25" customHeight="1" s="6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4.25" customHeight="1" s="65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4.25" customHeight="1" s="65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5.75" customHeight="1" s="65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5.75" customHeight="1" s="65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5.75" customHeight="1" s="65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5.75" customHeight="1" s="65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5.75" customHeight="1" s="65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5.75" customHeight="1" s="65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5.75" customHeight="1" s="65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5.75" customHeight="1" s="6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5.75" customHeight="1" s="65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5.75" customHeight="1" s="65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5.75" customHeight="1" s="65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5.75" customHeight="1" s="65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5.75" customHeight="1" s="65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5.75" customHeight="1" s="65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5.75" customHeight="1" s="65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5.75" customHeight="1" s="65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5.75" customHeight="1" s="65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5.75" customHeight="1" s="6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5.75" customHeight="1" s="65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5.75" customHeight="1" s="65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5.75" customHeight="1" s="65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5.75" customHeight="1" s="65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5.75" customHeight="1" s="65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5.75" customHeight="1" s="65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5.75" customHeight="1" s="65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5.75" customHeight="1" s="65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5.75" customHeight="1" s="65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5.75" customHeight="1" s="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5.75" customHeight="1" s="65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5.75" customHeight="1" s="65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5.75" customHeight="1" s="65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5.75" customHeight="1" s="65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65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65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65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65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65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6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65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65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65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65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65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65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65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65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65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6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65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65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65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65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65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65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65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65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65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6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65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65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65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65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65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65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65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65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65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6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65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65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65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65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65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65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65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65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65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6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65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65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65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65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65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65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65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65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65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6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65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65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65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65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65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65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65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65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65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6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65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65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65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65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65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65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65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65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65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6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65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65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65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65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65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65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65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65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65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6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65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65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65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65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65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65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65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65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65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65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65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65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65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65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65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65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65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65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6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65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65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65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65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65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65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65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65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65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6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65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65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65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65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65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65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65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65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65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6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65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65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65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65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65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65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65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65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65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6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65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65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65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65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65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65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65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65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65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6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65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65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65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65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65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65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65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65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65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6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65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65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65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65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65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65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65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65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65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6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65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65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65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65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65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65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65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65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65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6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65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65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65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65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65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65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65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65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65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6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65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65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65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65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65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65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65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65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65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65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65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65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65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65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65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65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65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65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6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65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65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65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65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65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65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65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65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65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6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65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65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65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65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65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65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65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65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65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6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65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65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65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65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65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65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65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65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65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6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65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65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65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65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65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65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65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65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65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6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65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65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65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65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65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65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65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65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65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6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65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65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65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65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65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65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65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65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65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6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65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65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65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65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65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65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65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65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65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6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65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65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65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65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65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65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65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65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65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6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65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65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65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65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65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65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65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65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65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65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65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65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65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65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65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65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65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65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6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65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65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65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65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65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65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65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65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65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6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65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65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65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65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65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65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65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65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65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6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65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65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65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65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65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65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65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65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65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6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65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65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65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65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65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65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65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65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65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6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65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65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65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65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65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65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65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65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65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6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65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65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65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65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65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65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65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65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65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6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65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65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65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65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65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65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65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65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65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6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65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65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65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65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65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65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65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65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65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6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65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65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65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65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65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65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65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65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65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65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65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65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65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65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65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65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65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65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6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65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65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65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65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65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65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65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65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65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6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65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65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65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65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65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65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65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65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65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6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65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65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65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65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65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65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65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65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65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6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65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65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65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65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65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65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65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65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65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6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65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65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65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65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65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65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65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65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65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6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65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65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65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65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65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65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65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65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65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6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65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65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65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65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65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65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65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65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65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6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65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65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65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65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65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65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65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65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65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6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65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65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65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65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65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65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65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65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65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65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65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65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65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65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65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65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65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65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6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65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65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65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65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65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65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65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65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65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6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65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65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65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65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65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65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65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65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65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6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65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65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65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65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65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65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65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65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65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6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65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65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65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65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65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65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65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65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65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6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65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65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65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65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65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65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65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65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65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6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65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65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65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65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65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65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65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65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65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6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65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65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65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65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65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65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65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65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65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6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65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65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65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65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65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65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65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65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65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6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65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65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65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65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65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65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65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65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65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65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65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65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65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65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65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65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65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65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6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65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65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65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65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65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65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65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65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65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6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65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65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65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65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65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65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65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65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65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6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65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65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65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65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65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65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65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65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65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6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65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65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65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65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65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65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65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65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65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6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65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65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65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65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65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65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65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65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65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6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65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65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65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65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65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65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65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65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65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6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65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65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65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65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65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65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65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65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65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6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65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65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65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65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65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65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65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65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65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6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65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65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65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65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65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65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65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65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65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65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65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65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65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65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65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65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65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65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6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65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65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65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65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65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65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65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65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65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6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65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65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65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65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65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65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65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65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65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6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65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65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65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65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65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</sheetData>
  <mergeCells count="6">
    <mergeCell ref="B2:C2"/>
    <mergeCell ref="B33:C33"/>
    <mergeCell ref="B25:C25"/>
    <mergeCell ref="B19:C19"/>
    <mergeCell ref="B4:C4"/>
    <mergeCell ref="B12:C1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" customWidth="1" style="65" min="1" max="1"/>
    <col width="7" customWidth="1" style="65" min="2" max="2"/>
    <col width="9" customWidth="1" style="65" min="3" max="3"/>
    <col width="86" customWidth="1" style="65" min="4" max="4"/>
    <col width="44" customWidth="1" style="65" min="5" max="5"/>
    <col width="8.710000000000001" customWidth="1" style="65" min="6" max="6"/>
  </cols>
  <sheetData>
    <row r="1" ht="14.25" customHeight="1" s="65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7.75" customHeight="1" s="65">
      <c r="A2" s="53" t="n"/>
      <c r="B2" s="68" t="inlineStr">
        <is>
          <t>BASE DE AVALIAÇÃO — cada nível tem uma descrição. Sem descrição apontada, a nota não vale.</t>
        </is>
      </c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14.25" customHeight="1" s="65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4" customHeight="1" s="65">
      <c r="A4" s="53" t="n"/>
      <c r="B4" s="69" t="inlineStr">
        <is>
          <t>COMUNICAÇÃO &amp; ESTRUTURA  —  30 pontos de 100</t>
        </is>
      </c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27.75" customHeight="1" s="65">
      <c r="A5" s="53" t="n"/>
      <c r="B5" s="13" t="inlineStr">
        <is>
          <t>C1</t>
        </is>
      </c>
      <c r="C5" s="15" t="inlineStr">
        <is>
          <t>10 pts</t>
        </is>
      </c>
      <c r="D5" s="17" t="inlineStr">
        <is>
          <t>A comunicação está clara e direto ao ponto.</t>
        </is>
      </c>
      <c r="E5" s="18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25.5" customHeight="1" s="65">
      <c r="A6" s="53" t="n"/>
      <c r="B6" s="53" t="n"/>
      <c r="C6" s="20" t="n">
        <v>3</v>
      </c>
      <c r="D6" s="21" t="inlineStr">
        <is>
          <t>A recomendação está escrita em UMA frase, nos 2 primeiros slides, com o número que a sustenta.</t>
        </is>
      </c>
      <c r="E6" s="22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25.5" customHeight="1" s="65">
      <c r="A7" s="53" t="n"/>
      <c r="B7" s="53" t="n"/>
      <c r="C7" s="24" t="n">
        <v>2</v>
      </c>
      <c r="D7" s="21" t="inlineStr">
        <is>
          <t>A recomendação é explícita e clara, mas só aparece depois da metade da entrega.</t>
        </is>
      </c>
      <c r="E7" s="22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25.5" customHeight="1" s="65">
      <c r="A8" s="53" t="n"/>
      <c r="B8" s="53" t="n"/>
      <c r="C8" s="27" t="n">
        <v>1</v>
      </c>
      <c r="D8" s="21" t="inlineStr">
        <is>
          <t>Dá pra inferir a recomendação, mas ela não está escrita em lugar nenhum.</t>
        </is>
      </c>
      <c r="E8" s="22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25.5" customHeight="1" s="65">
      <c r="A9" s="53" t="n"/>
      <c r="B9" s="53" t="n"/>
      <c r="C9" s="29" t="n">
        <v>0</v>
      </c>
      <c r="D9" s="21" t="inlineStr">
        <is>
          <t>Não há recomendação, ou há duas incompatíveis entre si.</t>
        </is>
      </c>
      <c r="E9" s="22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21.75" customHeight="1" s="65">
      <c r="A10" s="53" t="n"/>
      <c r="B10" s="53" t="n"/>
      <c r="C10" s="53" t="n"/>
      <c r="D10" s="31" t="inlineStr">
        <is>
          <t>TESTE OPERACIONAL:  Aponte o slide e a frase. Não conseguiu apontar? Não é 3.</t>
        </is>
      </c>
      <c r="E10" s="53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14.25" customHeight="1" s="65">
      <c r="A11" s="53" t="n"/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27.75" customHeight="1" s="65">
      <c r="A12" s="53" t="n"/>
      <c r="B12" s="13" t="inlineStr">
        <is>
          <t>C2</t>
        </is>
      </c>
      <c r="C12" s="15" t="inlineStr">
        <is>
          <t>8 pts</t>
        </is>
      </c>
      <c r="D12" s="17" t="inlineStr">
        <is>
          <t>O desafio apresenta um formato que poderia ser apresentado a um cliente real.</t>
        </is>
      </c>
      <c r="E12" s="18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25.5" customHeight="1" s="65">
      <c r="A13" s="53" t="n"/>
      <c r="B13" s="53" t="n"/>
      <c r="C13" s="20" t="n">
        <v>3</v>
      </c>
      <c r="D13" s="21" t="inlineStr">
        <is>
          <t>Documento fechado (capa, estrutura, apêndice), sem rascunho visível. Um cliente receberia como está.</t>
        </is>
      </c>
      <c r="E13" s="22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25.5" customHeight="1" s="65">
      <c r="A14" s="53" t="n"/>
      <c r="B14" s="53" t="n"/>
      <c r="C14" s="24" t="n">
        <v>2</v>
      </c>
      <c r="D14" s="21" t="inlineStr">
        <is>
          <t>Estruturado, mas com pontas soltas: conta solta, slide inacabado, formatação inconsistente.</t>
        </is>
      </c>
      <c r="E14" s="22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25.5" customHeight="1" s="65">
      <c r="A15" s="53" t="n"/>
      <c r="B15" s="53" t="n"/>
      <c r="C15" s="27" t="n">
        <v>1</v>
      </c>
      <c r="D15" s="21" t="inlineStr">
        <is>
          <t>Responde as perguntas, mas em formato de lista ou rascunho.</t>
        </is>
      </c>
      <c r="E15" s="22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25.5" customHeight="1" s="65">
      <c r="A16" s="53" t="n"/>
      <c r="B16" s="53" t="n"/>
      <c r="C16" s="29" t="n">
        <v>0</v>
      </c>
      <c r="D16" s="21" t="inlineStr">
        <is>
          <t>Foto de papel, texto corrido no e-mail, ou arquivo sem estrutura nenhuma.</t>
        </is>
      </c>
      <c r="E16" s="22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21.75" customHeight="1" s="65">
      <c r="A17" s="53" t="n"/>
      <c r="B17" s="53" t="n"/>
      <c r="C17" s="53" t="n"/>
      <c r="D17" s="31" t="inlineStr">
        <is>
          <t>TESTE OPERACIONAL:  Você mandaria esse arquivo, sem editar nada, pro cliente do seu projeto?</t>
        </is>
      </c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14.25" customHeight="1" s="65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27.75" customHeight="1" s="65">
      <c r="A19" s="53" t="n"/>
      <c r="B19" s="13" t="inlineStr">
        <is>
          <t>C3</t>
        </is>
      </c>
      <c r="C19" s="15" t="inlineStr">
        <is>
          <t>7 pts</t>
        </is>
      </c>
      <c r="D19" s="17" t="inlineStr">
        <is>
          <t>A apresentação apresenta um bom storytelling e envolve o leitor.</t>
        </is>
      </c>
      <c r="E19" s="18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25.5" customHeight="1" s="65">
      <c r="A20" s="53" t="n"/>
      <c r="B20" s="53" t="n"/>
      <c r="C20" s="20" t="n">
        <v>3</v>
      </c>
      <c r="D20" s="21" t="inlineStr">
        <is>
          <t>Lendo só os títulos, na ordem, a história fecha sozinha: contexto -&gt; problema -&gt; análise -&gt; recomendação -&gt; riscos.</t>
        </is>
      </c>
      <c r="E20" s="22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25.5" customHeight="1" s="65">
      <c r="A21" s="53" t="n"/>
      <c r="B21" s="53" t="n"/>
      <c r="C21" s="24" t="n">
        <v>2</v>
      </c>
      <c r="D21" s="21" t="inlineStr">
        <is>
          <t>A sequência é lógica, com 1 ou 2 saltos que obrigam o leitor a voltar.</t>
        </is>
      </c>
      <c r="E21" s="22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25.5" customHeight="1" s="65">
      <c r="A22" s="53" t="n"/>
      <c r="B22" s="53" t="n"/>
      <c r="C22" s="27" t="n">
        <v>1</v>
      </c>
      <c r="D22" s="21" t="inlineStr">
        <is>
          <t>Os blocos existem, mas soltos — um não puxa o outro.</t>
        </is>
      </c>
      <c r="E22" s="22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25.5" customHeight="1" s="65">
      <c r="A23" s="53" t="n"/>
      <c r="B23" s="53" t="n"/>
      <c r="C23" s="29" t="n">
        <v>0</v>
      </c>
      <c r="D23" s="21" t="inlineStr">
        <is>
          <t>Ordem aleatória, ou é só uma lista de respostas às perguntas.</t>
        </is>
      </c>
      <c r="E23" s="22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21.75" customHeight="1" s="65">
      <c r="A24" s="53" t="n"/>
      <c r="B24" s="53" t="n"/>
      <c r="C24" s="53" t="n"/>
      <c r="D24" s="31" t="inlineStr">
        <is>
          <t>TESTE OPERACIONAL:  Leia SÓ os títulos em voz alta. Se a recomendação não aparecer, é no máximo 1.</t>
        </is>
      </c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14.25" customHeight="1" s="6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27.75" customHeight="1" s="65">
      <c r="A26" s="53" t="n"/>
      <c r="B26" s="13" t="inlineStr">
        <is>
          <t>C4</t>
        </is>
      </c>
      <c r="C26" s="15" t="inlineStr">
        <is>
          <t>5 pts</t>
        </is>
      </c>
      <c r="D26" s="17" t="inlineStr">
        <is>
          <t>O trabalho está visualmente bonito.</t>
        </is>
      </c>
      <c r="E26" s="18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25.5" customHeight="1" s="65">
      <c r="A27" s="53" t="n"/>
      <c r="B27" s="53" t="n"/>
      <c r="C27" s="20" t="n">
        <v>3</v>
      </c>
      <c r="D27" s="21" t="inlineStr">
        <is>
          <t>Padrão único de fonte, cor e alinhamento em toda a entrega. Nenhum slide com parágrafo corrido.</t>
        </is>
      </c>
      <c r="E27" s="22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25.5" customHeight="1" s="65">
      <c r="A28" s="53" t="n"/>
      <c r="B28" s="53" t="n"/>
      <c r="C28" s="24" t="n">
        <v>2</v>
      </c>
      <c r="D28" s="21" t="inlineStr">
        <is>
          <t>Consistente, com até 2 slides fora do padrão.</t>
        </is>
      </c>
      <c r="E28" s="22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25.5" customHeight="1" s="65">
      <c r="A29" s="53" t="n"/>
      <c r="B29" s="53" t="n"/>
      <c r="C29" s="27" t="n">
        <v>1</v>
      </c>
      <c r="D29" s="21" t="inlineStr">
        <is>
          <t>Formatação improvisada, mas legível.</t>
        </is>
      </c>
      <c r="E29" s="22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25.5" customHeight="1" s="65">
      <c r="A30" s="53" t="n"/>
      <c r="B30" s="53" t="n"/>
      <c r="C30" s="29" t="n">
        <v>0</v>
      </c>
      <c r="D30" s="21" t="inlineStr">
        <is>
          <t>Ilegível, desalinhado, ou é texto corrido.</t>
        </is>
      </c>
      <c r="E30" s="22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21.75" customHeight="1" s="65">
      <c r="A31" s="53" t="n"/>
      <c r="B31" s="53" t="n"/>
      <c r="C31" s="53" t="n"/>
      <c r="D31" s="31" t="inlineStr">
        <is>
          <t>TESTE OPERACIONAL:  Conte os slides fora do padrão. É uma contagem, não uma impressão.</t>
        </is>
      </c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14.25" customHeight="1" s="65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14.25" customHeight="1" s="65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24" customHeight="1" s="65">
      <c r="A34" s="53" t="n"/>
      <c r="B34" s="69" t="inlineStr">
        <is>
          <t>RACIOCÍNIO DE NEGÓCIO  —  25 pontos de 100</t>
        </is>
      </c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27.75" customHeight="1" s="65">
      <c r="A35" s="53" t="n"/>
      <c r="B35" s="13" t="inlineStr">
        <is>
          <t>R1</t>
        </is>
      </c>
      <c r="C35" s="15" t="inlineStr">
        <is>
          <t>8 pts</t>
        </is>
      </c>
      <c r="D35" s="17" t="inlineStr">
        <is>
          <t>Sua recomendação leva em consideração ambas as partes qualitativas e quantitativas do case.</t>
        </is>
      </c>
      <c r="E35" s="18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25.5" customHeight="1" s="65">
      <c r="A36" s="53" t="n"/>
      <c r="B36" s="53" t="n"/>
      <c r="C36" s="20" t="n">
        <v>3</v>
      </c>
      <c r="D36" s="21" t="inlineStr">
        <is>
          <t>A recomendação cita o número que a sustenta E a razão de negócio; as duas partes se apoiam.</t>
        </is>
      </c>
      <c r="E36" s="22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25.5" customHeight="1" s="65">
      <c r="A37" s="53" t="n"/>
      <c r="B37" s="53" t="n"/>
      <c r="C37" s="24" t="n">
        <v>2</v>
      </c>
      <c r="D37" s="21" t="inlineStr">
        <is>
          <t>Cita as duas, mas uma é decorativa — o número não sustenta de fato a decisão.</t>
        </is>
      </c>
      <c r="E37" s="22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25.5" customHeight="1" s="65">
      <c r="A38" s="53" t="n"/>
      <c r="B38" s="53" t="n"/>
      <c r="C38" s="27" t="n">
        <v>1</v>
      </c>
      <c r="D38" s="21" t="inlineStr">
        <is>
          <t>Só quantitativa (número sem porquê) ou só qualitativa (opinião sem número).</t>
        </is>
      </c>
      <c r="E38" s="22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25.5" customHeight="1" s="65">
      <c r="A39" s="53" t="n"/>
      <c r="B39" s="53" t="n"/>
      <c r="C39" s="29" t="n">
        <v>0</v>
      </c>
      <c r="D39" s="21" t="inlineStr">
        <is>
          <t>Não há recomendação, ou ela contraria os próprios números apresentados.</t>
        </is>
      </c>
      <c r="E39" s="22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21.75" customHeight="1" s="65">
      <c r="A40" s="53" t="n"/>
      <c r="B40" s="53" t="n"/>
      <c r="C40" s="53" t="n"/>
      <c r="D40" s="31" t="inlineStr">
        <is>
          <t>TESTE OPERACIONAL:  Tape o número: a recomendação ainda se sustenta? Tape o argumento: ainda se sustenta?</t>
        </is>
      </c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14.25" customHeight="1" s="65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27.75" customHeight="1" s="65">
      <c r="A42" s="53" t="n"/>
      <c r="B42" s="13" t="inlineStr">
        <is>
          <t>R2</t>
        </is>
      </c>
      <c r="C42" s="15" t="inlineStr">
        <is>
          <t>7 pts</t>
        </is>
      </c>
      <c r="D42" s="17" t="inlineStr">
        <is>
          <t>O trabalho apresenta uma discussão rica com diversos pontos de vista sobre a expansão.</t>
        </is>
      </c>
      <c r="E42" s="18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25.5" customHeight="1" s="65">
      <c r="A43" s="53" t="n"/>
      <c r="B43" s="53" t="n"/>
      <c r="C43" s="20" t="n">
        <v>3</v>
      </c>
      <c r="D43" s="21" t="inlineStr">
        <is>
          <t>Apresenta ao menos 2 caminhos, compara com critério explícito e justifica o que descartou.</t>
        </is>
      </c>
      <c r="E43" s="22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25.5" customHeight="1" s="65">
      <c r="A44" s="53" t="n"/>
      <c r="B44" s="53" t="n"/>
      <c r="C44" s="24" t="n">
        <v>2</v>
      </c>
      <c r="D44" s="21" t="inlineStr">
        <is>
          <t>Cita alternativas, mas não compara — escolhe sem justificar.</t>
        </is>
      </c>
      <c r="E44" s="22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25.5" customHeight="1" s="65">
      <c r="A45" s="53" t="n"/>
      <c r="B45" s="53" t="n"/>
      <c r="C45" s="27" t="n">
        <v>1</v>
      </c>
      <c r="D45" s="21" t="inlineStr">
        <is>
          <t>Menciona que existem alternativas, sem desenvolver nenhuma.</t>
        </is>
      </c>
      <c r="E45" s="22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25.5" customHeight="1" s="65">
      <c r="A46" s="53" t="n"/>
      <c r="B46" s="53" t="n"/>
      <c r="C46" s="29" t="n">
        <v>0</v>
      </c>
      <c r="D46" s="21" t="inlineStr">
        <is>
          <t>Caminho único, sem discussão.</t>
        </is>
      </c>
      <c r="E46" s="22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21.75" customHeight="1" s="65">
      <c r="A47" s="53" t="n"/>
      <c r="B47" s="53" t="n"/>
      <c r="C47" s="53" t="n"/>
      <c r="D47" s="31" t="inlineStr">
        <is>
          <t>TESTE OPERACIONAL:  Ele descartou alguma coisa por escrito? Se não descartou nada, não discutiu.</t>
        </is>
      </c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14.25" customHeight="1" s="65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27.75" customHeight="1" s="65">
      <c r="A49" s="53" t="n"/>
      <c r="B49" s="13" t="inlineStr">
        <is>
          <t>R3</t>
        </is>
      </c>
      <c r="C49" s="15" t="inlineStr">
        <is>
          <t>5 pts</t>
        </is>
      </c>
      <c r="D49" s="17" t="inlineStr">
        <is>
          <t>Foi além do pedido e trouxe análises interessantes.</t>
        </is>
      </c>
      <c r="E49" s="18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25.5" customHeight="1" s="65">
      <c r="A50" s="53" t="n"/>
      <c r="B50" s="53" t="n"/>
      <c r="C50" s="20" t="n">
        <v>3</v>
      </c>
      <c r="D50" s="21" t="inlineStr">
        <is>
          <t>Trouxe algo não pedido que MUDA ou FORTALECE a recomendação.</t>
        </is>
      </c>
      <c r="E50" s="22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25.5" customHeight="1" s="65">
      <c r="A51" s="53" t="n"/>
      <c r="B51" s="53" t="n"/>
      <c r="C51" s="24" t="n">
        <v>2</v>
      </c>
      <c r="D51" s="21" t="inlineStr">
        <is>
          <t>Trouxe algo não pedido, correto e LIGADO À DECISÃO, mas que não altera a conclusão.</t>
        </is>
      </c>
      <c r="E51" s="22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25.5" customHeight="1" s="65">
      <c r="A52" s="53" t="n"/>
      <c r="B52" s="53" t="n"/>
      <c r="C52" s="27" t="n">
        <v>1</v>
      </c>
      <c r="D52" s="21" t="inlineStr">
        <is>
          <t>Não trouxe nada além, mas entregou o pedido de forma completa e correta.</t>
        </is>
      </c>
      <c r="E52" s="22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25.5" customHeight="1" s="65">
      <c r="A53" s="53" t="n"/>
      <c r="B53" s="53" t="n"/>
      <c r="C53" s="29" t="n">
        <v>0</v>
      </c>
      <c r="D53" s="21" t="inlineStr">
        <is>
          <t>O material extra NÃO SE CONECTA à decisão (tangenciou), ou o pedido ficou incompleto.</t>
        </is>
      </c>
      <c r="E53" s="22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21.75" customHeight="1" s="65">
      <c r="A54" s="53" t="n"/>
      <c r="B54" s="53" t="n"/>
      <c r="C54" s="53" t="n"/>
      <c r="D54" s="31" t="inlineStr">
        <is>
          <t>TESTE OPERACIONAL:  A análise extra responde a uma pergunta que o cliente deveria ter feito? Se não dá pra dizer qual decisão ela informa, é 0 — não 2. Volume não conta: três páginas de análise tangencial valem menos que nenhuma.</t>
        </is>
      </c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14.25" customHeight="1" s="6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27.75" customHeight="1" s="65">
      <c r="A56" s="53" t="n"/>
      <c r="B56" s="13" t="inlineStr">
        <is>
          <t>R4</t>
        </is>
      </c>
      <c r="C56" s="15" t="inlineStr">
        <is>
          <t>5 pts</t>
        </is>
      </c>
      <c r="D56" s="17" t="inlineStr">
        <is>
          <t>Foi além das interpretações óbvias dos indicadores e agregou valor à análise.</t>
        </is>
      </c>
      <c r="E56" s="18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25.5" customHeight="1" s="65">
      <c r="A57" s="53" t="n"/>
      <c r="B57" s="53" t="n"/>
      <c r="C57" s="20" t="n">
        <v>3</v>
      </c>
      <c r="D57" s="21" t="inlineStr">
        <is>
          <t>Explica a CAUSA por trás do indicador e o que fazer com ela.</t>
        </is>
      </c>
      <c r="E57" s="22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25.5" customHeight="1" s="65">
      <c r="A58" s="53" t="n"/>
      <c r="B58" s="53" t="n"/>
      <c r="C58" s="24" t="n">
        <v>2</v>
      </c>
      <c r="D58" s="21" t="inlineStr">
        <is>
          <t>Compara o indicador com algo (outra loja, outro ano, benchmark) e tira conclusão.</t>
        </is>
      </c>
      <c r="E58" s="22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25.5" customHeight="1" s="65">
      <c r="A59" s="53" t="n"/>
      <c r="B59" s="53" t="n"/>
      <c r="C59" s="27" t="n">
        <v>1</v>
      </c>
      <c r="D59" s="21" t="inlineStr">
        <is>
          <t>Lê o indicador corretamente (ex.: a margem caiu).</t>
        </is>
      </c>
      <c r="E59" s="22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25.5" customHeight="1" s="65">
      <c r="A60" s="53" t="n"/>
      <c r="B60" s="53" t="n"/>
      <c r="C60" s="29" t="n">
        <v>0</v>
      </c>
      <c r="D60" s="21" t="inlineStr">
        <is>
          <t>Repete o número sem interpretar.</t>
        </is>
      </c>
      <c r="E60" s="22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21.75" customHeight="1" s="65">
      <c r="A61" s="53" t="n"/>
      <c r="B61" s="53" t="n"/>
      <c r="C61" s="53" t="n"/>
      <c r="D61" s="31" t="inlineStr">
        <is>
          <t>TESTE OPERACIONAL:  Ele respondeu 'por quê', 'comparado a quê', ou só 'quanto'?</t>
        </is>
      </c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14.25" customHeight="1" s="65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14.25" customHeight="1" s="65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24" customHeight="1" s="65">
      <c r="A64" s="53" t="n"/>
      <c r="B64" s="69" t="inlineStr">
        <is>
          <t>ACURÁCIA TÉCNICA  —  25 pontos de 100</t>
        </is>
      </c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61.5" customHeight="1" s="65">
      <c r="A65" s="53" t="n"/>
      <c r="B65" s="70" t="inlineStr">
        <is>
          <t>⚠  ESTE É O ÚNICO BLOCO QUE DEPENDE DO CASE.  As ÂNCORAS (3/2/1/0) e os PESOS não mudam nunca — valem para qualquer case, todo semestre. O que muda a cada PS é só o TEXTO DA PERGUNTA de A1 a A4 e os valores da aba Gabarito. A1/A2 = contas com resposta única · A3 = a projeção pedida · A4 = a alternativa · A5 e A6 já são genéricos, não precisa reescrever.   Se o case novo tiver 3 contas centrais em vez de 2, divida os 12 pontos de A1+A2 entre elas; se tiver 1, ela leva os 12. O total do bloco (25) e as âncoras é que não podem mudar.</t>
        </is>
      </c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27.75" customHeight="1" s="65">
      <c r="A66" s="53" t="n"/>
      <c r="B66" s="13" t="inlineStr">
        <is>
          <t>A1</t>
        </is>
      </c>
      <c r="C66" s="15" t="inlineStr">
        <is>
          <t>6 pts</t>
        </is>
      </c>
      <c r="D66" s="17" t="inlineStr">
        <is>
          <t>Calculou o resultado operacional anual dos QUATRO bairros no modelo de ARMÁRIOS INTELIGENTES, com o arredondamento dos bancos para cima?</t>
        </is>
      </c>
      <c r="E66" s="18" t="inlineStr">
        <is>
          <t>col. Z · BagHub 2026-2S · valores e tolerância na aba Gabarito</t>
        </is>
      </c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5.5" customHeight="1" s="65">
      <c r="A67" s="53" t="n"/>
      <c r="B67" s="53" t="n"/>
      <c r="C67" s="20" t="n">
        <v>3</v>
      </c>
      <c r="D67" s="21" t="inlineStr">
        <is>
          <t>Valor dentro da tolerância definida na aba Gabarito E memória de cálculo visível.</t>
        </is>
      </c>
      <c r="E67" s="22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5.5" customHeight="1" s="65">
      <c r="A68" s="53" t="n"/>
      <c r="B68" s="53" t="n"/>
      <c r="C68" s="24" t="n">
        <v>2</v>
      </c>
      <c r="D68" s="21" t="inlineStr">
        <is>
          <t>Método correto, valor fora da tolerância (erro aritmético).</t>
        </is>
      </c>
      <c r="E68" s="22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5.5" customHeight="1" s="65">
      <c r="A69" s="53" t="n"/>
      <c r="B69" s="53" t="n"/>
      <c r="C69" s="27" t="n">
        <v>1</v>
      </c>
      <c r="D69" s="21" t="inlineStr">
        <is>
          <t>Identificou a lógica correta, não fechou o número.</t>
        </is>
      </c>
      <c r="E69" s="22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25.5" customHeight="1" s="65">
      <c r="A70" s="53" t="n"/>
      <c r="B70" s="53" t="n"/>
      <c r="C70" s="29" t="n">
        <v>0</v>
      </c>
      <c r="D70" s="21" t="inlineStr">
        <is>
          <t>Não respondeu, ou o método está errado.</t>
        </is>
      </c>
      <c r="E70" s="22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21.75" customHeight="1" s="65">
      <c r="A71" s="53" t="n"/>
      <c r="B71" s="53" t="n"/>
      <c r="C71" s="53" t="n"/>
      <c r="D71" s="31" t="inlineStr">
        <is>
          <t>TESTE OPERACIONAL:  Confira contra a aba Gabarito. Dois avaliadores têm que chegar no mesmo número.</t>
        </is>
      </c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14.25" customHeight="1" s="65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27.75" customHeight="1" s="65">
      <c r="A73" s="53" t="n"/>
      <c r="B73" s="13" t="inlineStr">
        <is>
          <t>A2</t>
        </is>
      </c>
      <c r="C73" s="15" t="inlineStr">
        <is>
          <t>6 pts</t>
        </is>
      </c>
      <c r="D73" s="17" t="inlineStr">
        <is>
          <t>Calculou o resultado operacional anual dos QUATRO bairros no modelo de PONTOS PARCEIROS?</t>
        </is>
      </c>
      <c r="E73" s="18" t="inlineStr">
        <is>
          <t>col. AA · BagHub 2026-2S · receita e custo-base são iguais nos dois modelos</t>
        </is>
      </c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25.5" customHeight="1" s="65">
      <c r="A74" s="53" t="n"/>
      <c r="B74" s="53" t="n"/>
      <c r="C74" s="20" t="n">
        <v>3</v>
      </c>
      <c r="D74" s="21" t="inlineStr">
        <is>
          <t>Valor dentro da tolerância definida na aba Gabarito E memória de cálculo visível.</t>
        </is>
      </c>
      <c r="E74" s="22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25.5" customHeight="1" s="65">
      <c r="A75" s="53" t="n"/>
      <c r="B75" s="53" t="n"/>
      <c r="C75" s="24" t="n">
        <v>2</v>
      </c>
      <c r="D75" s="21" t="inlineStr">
        <is>
          <t>Método correto, valor fora da tolerância (erro aritmético).</t>
        </is>
      </c>
      <c r="E75" s="22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25.5" customHeight="1" s="65">
      <c r="A76" s="53" t="n"/>
      <c r="B76" s="53" t="n"/>
      <c r="C76" s="27" t="n">
        <v>1</v>
      </c>
      <c r="D76" s="21" t="inlineStr">
        <is>
          <t>Identificou a lógica correta, não fechou o número.</t>
        </is>
      </c>
      <c r="E76" s="22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25.5" customHeight="1" s="65">
      <c r="A77" s="53" t="n"/>
      <c r="B77" s="53" t="n"/>
      <c r="C77" s="29" t="n">
        <v>0</v>
      </c>
      <c r="D77" s="21" t="inlineStr">
        <is>
          <t>Não respondeu, ou o método está errado.</t>
        </is>
      </c>
      <c r="E77" s="22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21.75" customHeight="1" s="65">
      <c r="A78" s="53" t="n"/>
      <c r="B78" s="53" t="n"/>
      <c r="C78" s="53" t="n"/>
      <c r="D78" s="31" t="inlineStr">
        <is>
          <t>TESTE OPERACIONAL:  Confira contra a aba Gabarito.</t>
        </is>
      </c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14.25" customHeight="1" s="65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27.75" customHeight="1" s="65">
      <c r="A80" s="53" t="n"/>
      <c r="B80" s="13" t="inlineStr">
        <is>
          <t>A3</t>
        </is>
      </c>
      <c r="C80" s="15" t="inlineStr">
        <is>
          <t>4 pts</t>
        </is>
      </c>
      <c r="D80" s="17" t="inlineStr">
        <is>
          <t>[COMPARAÇÃO ENTRE MODELOS — este case não pede projeção] Comparou os dois modelos e o número da recomendação bate com a tabela que ele mesmo montou?</t>
        </is>
      </c>
      <c r="E80" s="18" t="inlineStr">
        <is>
          <t>ADAPTADO — o case não tem meta declarada, então a âncora foi repontuada na comparação de modelos</t>
        </is>
      </c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25.5" customHeight="1" s="65">
      <c r="A81" s="53" t="n"/>
      <c r="B81" s="53" t="n"/>
      <c r="C81" s="20" t="n">
        <v>3</v>
      </c>
      <c r="D81" s="21" t="inlineStr">
        <is>
          <t>Calcula o ganho líquido dos parceiros (economia de bancos − acréscimo de operação) nos 4 bairros E o número citado na recomendação bate com a tabela dele.</t>
        </is>
      </c>
      <c r="E81" s="22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25.5" customHeight="1" s="65">
      <c r="A82" s="53" t="n"/>
      <c r="B82" s="53" t="n"/>
      <c r="C82" s="24" t="n">
        <v>2</v>
      </c>
      <c r="D82" s="21" t="inlineStr">
        <is>
          <t>Compara os dois modelos em parte dos bairros, ou nos quatro sem mostrar de onde vem a diferença.</t>
        </is>
      </c>
      <c r="E82" s="22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25.5" customHeight="1" s="65">
      <c r="A83" s="53" t="n"/>
      <c r="B83" s="53" t="n"/>
      <c r="C83" s="27" t="n">
        <v>1</v>
      </c>
      <c r="D83" s="21" t="inlineStr">
        <is>
          <t>Afirma que um modelo é melhor, sem número que sustente.</t>
        </is>
      </c>
      <c r="E83" s="22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25.5" customHeight="1" s="65">
      <c r="A84" s="53" t="n"/>
      <c r="B84" s="53" t="n"/>
      <c r="C84" s="29" t="n">
        <v>0</v>
      </c>
      <c r="D84" s="21" t="inlineStr">
        <is>
          <t>Não comparou os modelos.</t>
        </is>
      </c>
      <c r="E84" s="22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21.75" customHeight="1" s="65">
      <c r="A85" s="53" t="n"/>
      <c r="B85" s="53" t="n"/>
      <c r="C85" s="53" t="n"/>
      <c r="D85" s="31" t="inlineStr">
        <is>
          <t>TESTE OPERACIONAL:  Pegue o número que ele escreveu na recomendação e procure na tabela dele. Bate?</t>
        </is>
      </c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14.25" customHeight="1" s="65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27.75" customHeight="1" s="65">
      <c r="A87" s="53" t="n"/>
      <c r="B87" s="13" t="inlineStr">
        <is>
          <t>A4</t>
        </is>
      </c>
      <c r="C87" s="15" t="inlineStr">
        <is>
          <t>3 pts</t>
        </is>
      </c>
      <c r="D87" s="17" t="inlineStr">
        <is>
          <t>Indicou a ordem de prioridade dos demais bairros, ou defendeu o modelo alternativo, com o impacto quantificado?</t>
        </is>
      </c>
      <c r="E87" s="18" t="inlineStr">
        <is>
          <t>col. AB · o gabarito autoriza Centro Histórico primeiro e armários, desde que justificados</t>
        </is>
      </c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25.5" customHeight="1" s="65">
      <c r="A88" s="53" t="n"/>
      <c r="B88" s="53" t="n"/>
      <c r="C88" s="20" t="n">
        <v>3</v>
      </c>
      <c r="D88" s="21" t="inlineStr">
        <is>
          <t>Propõe alternativa com número estimado de impacto.</t>
        </is>
      </c>
      <c r="E88" s="22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25.5" customHeight="1" s="65">
      <c r="A89" s="53" t="n"/>
      <c r="B89" s="53" t="n"/>
      <c r="C89" s="24" t="n">
        <v>2</v>
      </c>
      <c r="D89" s="21" t="inlineStr">
        <is>
          <t>Propõe alternativa coerente com o case, sem quantificar.</t>
        </is>
      </c>
      <c r="E89" s="22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25.5" customHeight="1" s="65">
      <c r="A90" s="53" t="n"/>
      <c r="B90" s="53" t="n"/>
      <c r="C90" s="27" t="n">
        <v>1</v>
      </c>
      <c r="D90" s="21" t="inlineStr">
        <is>
          <t>Alternativa genérica — serviria pra qualquer empresa.</t>
        </is>
      </c>
      <c r="E90" s="22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25.5" customHeight="1" s="65">
      <c r="A91" s="53" t="n"/>
      <c r="B91" s="53" t="n"/>
      <c r="C91" s="29" t="n">
        <v>0</v>
      </c>
      <c r="D91" s="21" t="inlineStr">
        <is>
          <t>Não propôs, ou propõe algo que contraria o case.</t>
        </is>
      </c>
      <c r="E91" s="22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21.75" customHeight="1" s="65">
      <c r="A92" s="53" t="n"/>
      <c r="B92" s="53" t="n"/>
      <c r="C92" s="53" t="n"/>
      <c r="D92" s="31" t="inlineStr">
        <is>
          <t>TESTE OPERACIONAL:  A alternativa cita algo que só existe NESTE case? Se não, é 1.</t>
        </is>
      </c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14.25" customHeight="1" s="65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27.75" customHeight="1" s="65">
      <c r="A94" s="53" t="n"/>
      <c r="B94" s="13" t="inlineStr">
        <is>
          <t>A5</t>
        </is>
      </c>
      <c r="C94" s="15" t="inlineStr">
        <is>
          <t>3 pts</t>
        </is>
      </c>
      <c r="D94" s="17" t="inlineStr">
        <is>
          <t>Analisou riscos e próximos passos de forma lógica e estruturada?</t>
        </is>
      </c>
      <c r="E94" s="18" t="inlineStr">
        <is>
          <t>col. AC (era 1 pt) — serve para qualquer case, não precisa reescrever</t>
        </is>
      </c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25.5" customHeight="1" s="65">
      <c r="A95" s="53" t="n"/>
      <c r="B95" s="53" t="n"/>
      <c r="C95" s="20" t="n">
        <v>3</v>
      </c>
      <c r="D95" s="21" t="inlineStr">
        <is>
          <t>Riscos específicos da recomendação DELE, com mitigação e prazo.</t>
        </is>
      </c>
      <c r="E95" s="22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25.5" customHeight="1" s="65">
      <c r="A96" s="53" t="n"/>
      <c r="B96" s="53" t="n"/>
      <c r="C96" s="24" t="n">
        <v>2</v>
      </c>
      <c r="D96" s="21" t="inlineStr">
        <is>
          <t>Riscos específicos, sem mitigação.</t>
        </is>
      </c>
      <c r="E96" s="22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25.5" customHeight="1" s="65">
      <c r="A97" s="53" t="n"/>
      <c r="B97" s="53" t="n"/>
      <c r="C97" s="27" t="n">
        <v>1</v>
      </c>
      <c r="D97" s="21" t="inlineStr">
        <is>
          <t>Riscos genéricos (crise, concorrência, câmbio).</t>
        </is>
      </c>
      <c r="E97" s="22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25.5" customHeight="1" s="65">
      <c r="A98" s="53" t="n"/>
      <c r="B98" s="53" t="n"/>
      <c r="C98" s="29" t="n">
        <v>0</v>
      </c>
      <c r="D98" s="21" t="inlineStr">
        <is>
          <t>Não fez.</t>
        </is>
      </c>
      <c r="E98" s="22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21.75" customHeight="1" s="65">
      <c r="A99" s="53" t="n"/>
      <c r="B99" s="53" t="n"/>
      <c r="C99" s="53" t="n"/>
      <c r="D99" s="31" t="inlineStr">
        <is>
          <t>TESTE OPERACIONAL:  O risco listado some se a recomendação mudar? Se não some, é genérico.</t>
        </is>
      </c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14.25" customHeight="1" s="65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27.75" customHeight="1" s="65">
      <c r="A101" s="53" t="n"/>
      <c r="B101" s="13" t="inlineStr">
        <is>
          <t>A6</t>
        </is>
      </c>
      <c r="C101" s="15" t="inlineStr">
        <is>
          <t>3 pts</t>
        </is>
      </c>
      <c r="D101" s="17" t="inlineStr">
        <is>
          <t>[PREMISSAS — este case não tem inconsistência plantada] Explicitou as premissas que o enunciado deixa em aberto ou adverte contra?</t>
        </is>
      </c>
      <c r="E101" s="18" t="inlineStr">
        <is>
          <t>ADAPTADO — nada foi plantado no BagHub; plantar de verdade no case de 2027-1S</t>
        </is>
      </c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25.5" customHeight="1" s="65">
      <c r="A102" s="53" t="n"/>
      <c r="B102" s="53" t="n"/>
      <c r="C102" s="20" t="n">
        <v>3</v>
      </c>
      <c r="D102" s="21" t="inlineStr">
        <is>
          <t>Nomeia ao menos uma premissa E diz como tratou (ex.: "a utilização não entra na receita, a demanda já está em transações"; "2.400 posições não são 2.400 parceiros").</t>
        </is>
      </c>
      <c r="E102" s="22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25.5" customHeight="1" s="65">
      <c r="A103" s="53" t="n"/>
      <c r="B103" s="53" t="n"/>
      <c r="C103" s="24" t="n">
        <v>2</v>
      </c>
      <c r="D103" s="21" t="inlineStr">
        <is>
          <t>Nomeia uma premissa, sem dizer o que fez com ela.</t>
        </is>
      </c>
      <c r="E103" s="22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25.5" customHeight="1" s="65">
      <c r="A104" s="53" t="n"/>
      <c r="B104" s="53" t="n"/>
      <c r="C104" s="27" t="n">
        <v>1</v>
      </c>
      <c r="D104" s="21" t="inlineStr">
        <is>
          <t>Não nomeia nenhuma, mas os cálculos mostram que tratou certo.</t>
        </is>
      </c>
      <c r="E104" s="22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25.5" customHeight="1" s="65">
      <c r="A105" s="53" t="n"/>
      <c r="B105" s="53" t="n"/>
      <c r="C105" s="29" t="n">
        <v>0</v>
      </c>
      <c r="D105" s="21" t="inlineStr">
        <is>
          <t>Construiu a análise sobre a leitura errada: aplicou utilização à receita, usou 52 semanas, cobrou bancos dos parceiros ou trocou o índice de complexidade.</t>
        </is>
      </c>
      <c r="E105" s="22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21.75" customHeight="1" s="65">
      <c r="A106" s="53" t="n"/>
      <c r="B106" s="53" t="n"/>
      <c r="C106" s="53" t="n"/>
      <c r="D106" s="31" t="inlineStr">
        <is>
          <t>TESTE OPERACIONAL:  Procure a FRASE. Sem frase, o teto é 1 — mesmo com todos os números certos. Lista de armadilhas na aba Gabarito.</t>
        </is>
      </c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14.25" customHeight="1" s="65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14.25" customHeight="1" s="65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24" customHeight="1" s="65">
      <c r="A109" s="53" t="n"/>
      <c r="B109" s="69" t="inlineStr">
        <is>
          <t>ENTREGA (CHECKLIST)  —  10 pontos de 100</t>
        </is>
      </c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27.75" customHeight="1" s="65">
      <c r="A110" s="53" t="n"/>
      <c r="B110" s="13" t="inlineStr">
        <is>
          <t>E1</t>
        </is>
      </c>
      <c r="C110" s="15" t="inlineStr">
        <is>
          <t>3 pts</t>
        </is>
      </c>
      <c r="D110" s="17" t="inlineStr">
        <is>
          <t>Enviou planilha com a memória de cálculo.</t>
        </is>
      </c>
      <c r="E110" s="18" t="inlineStr">
        <is>
          <t>col. U (era 'Excel = 0,5')</t>
        </is>
      </c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14.25" customHeight="1" s="65">
      <c r="A111" s="53" t="n"/>
      <c r="B111" s="53" t="n"/>
      <c r="C111" s="45" t="inlineStr">
        <is>
          <t>1 / 0</t>
        </is>
      </c>
      <c r="D111" s="21" t="inlineStr">
        <is>
          <t>Item binário: enviou = 1, não enviou = 0.</t>
        </is>
      </c>
      <c r="E111" s="46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21.75" customHeight="1" s="65">
      <c r="A112" s="53" t="n"/>
      <c r="B112" s="53" t="n"/>
      <c r="C112" s="53" t="n"/>
      <c r="D112" s="31" t="inlineStr">
        <is>
          <t>TESTE OPERACIONAL:  Sim = 1, Não = 0. Sem julgamento.</t>
        </is>
      </c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14.25" customHeight="1" s="65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27.75" customHeight="1" s="65">
      <c r="A114" s="53" t="n"/>
      <c r="B114" s="13" t="inlineStr">
        <is>
          <t>E2</t>
        </is>
      </c>
      <c r="C114" s="15" t="inlineStr">
        <is>
          <t>2 pts</t>
        </is>
      </c>
      <c r="D114" s="17" t="inlineStr">
        <is>
          <t>Enviou apresentação fechada (PPT ou relatório).</t>
        </is>
      </c>
      <c r="E114" s="18" t="inlineStr">
        <is>
          <t>col. U (era 'PPT = 0,5')</t>
        </is>
      </c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14.25" customHeight="1" s="65">
      <c r="A115" s="53" t="n"/>
      <c r="B115" s="53" t="n"/>
      <c r="C115" s="45" t="inlineStr">
        <is>
          <t>1 / 0</t>
        </is>
      </c>
      <c r="D115" s="21" t="inlineStr">
        <is>
          <t>Item binário: enviou = 1, não enviou = 0.</t>
        </is>
      </c>
      <c r="E115" s="46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21.75" customHeight="1" s="65">
      <c r="A116" s="53" t="n"/>
      <c r="B116" s="53" t="n"/>
      <c r="C116" s="53" t="n"/>
      <c r="D116" s="31" t="inlineStr">
        <is>
          <t>TESTE OPERACIONAL:  Sim = 1, Não = 0.</t>
        </is>
      </c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14.25" customHeight="1" s="65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27.75" customHeight="1" s="65">
      <c r="A118" s="53" t="n"/>
      <c r="B118" s="13" t="inlineStr">
        <is>
          <t>E3</t>
        </is>
      </c>
      <c r="C118" s="15" t="inlineStr">
        <is>
          <t>2 pts</t>
        </is>
      </c>
      <c r="D118" s="17" t="inlineStr">
        <is>
          <t>Gravou o vídeo da entrega.</t>
        </is>
      </c>
      <c r="E118" s="18" t="inlineStr">
        <is>
          <t>col. AE (era 'Mandou vídeo = 1 ponto')</t>
        </is>
      </c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14.25" customHeight="1" s="65">
      <c r="A119" s="53" t="n"/>
      <c r="B119" s="53" t="n"/>
      <c r="C119" s="45" t="inlineStr">
        <is>
          <t>1 / 0</t>
        </is>
      </c>
      <c r="D119" s="21" t="inlineStr">
        <is>
          <t>Item binário: enviou = 1, não enviou = 0.</t>
        </is>
      </c>
      <c r="E119" s="46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21.75" customHeight="1" s="65">
      <c r="A120" s="53" t="n"/>
      <c r="B120" s="53" t="n"/>
      <c r="C120" s="53" t="n"/>
      <c r="D120" s="31" t="inlineStr">
        <is>
          <t>TESTE OPERACIONAL:  Sim = 1, Não = 0.</t>
        </is>
      </c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14.25" customHeight="1" s="65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27.75" customHeight="1" s="65">
      <c r="A122" s="53" t="n"/>
      <c r="B122" s="13" t="inlineStr">
        <is>
          <t>E4</t>
        </is>
      </c>
      <c r="C122" s="15" t="inlineStr">
        <is>
          <t>3 pts</t>
        </is>
      </c>
      <c r="D122" s="17" t="inlineStr">
        <is>
          <t>O trabalho apresenta recursos textuais e visuais (gráficos, tabelas de DRE).</t>
        </is>
      </c>
      <c r="E122" s="18" t="inlineStr">
        <is>
          <t>col. AF (era 2 pts)</t>
        </is>
      </c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25.5" customHeight="1" s="65">
      <c r="A123" s="53" t="n"/>
      <c r="B123" s="53" t="n"/>
      <c r="C123" s="20" t="n">
        <v>3</v>
      </c>
      <c r="D123" s="21" t="inlineStr">
        <is>
          <t>Todo gráfico/tabela é citado no texto E sustenta uma afirmação da análise.</t>
        </is>
      </c>
      <c r="E123" s="22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25.5" customHeight="1" s="65">
      <c r="A124" s="53" t="n"/>
      <c r="B124" s="53" t="n"/>
      <c r="C124" s="24" t="n">
        <v>2</v>
      </c>
      <c r="D124" s="21" t="inlineStr">
        <is>
          <t>Os recursos são corretos e citados, mas alguns são decorativos (não provam nada).</t>
        </is>
      </c>
      <c r="E124" s="22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25.5" customHeight="1" s="65">
      <c r="A125" s="53" t="n"/>
      <c r="B125" s="53" t="n"/>
      <c r="C125" s="27" t="n">
        <v>1</v>
      </c>
      <c r="D125" s="21" t="inlineStr">
        <is>
          <t>Há recursos, mas soltos — não citados no texto, ou com erro de leitura (eixo, escala, unidade).</t>
        </is>
      </c>
      <c r="E125" s="22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25.5" customHeight="1" s="65">
      <c r="A126" s="53" t="n"/>
      <c r="B126" s="53" t="n"/>
      <c r="C126" s="29" t="n">
        <v>0</v>
      </c>
      <c r="D126" s="21" t="inlineStr">
        <is>
          <t>Nenhum gráfico ou tabela.</t>
        </is>
      </c>
      <c r="E126" s="22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21.75" customHeight="1" s="65">
      <c r="A127" s="53" t="n"/>
      <c r="B127" s="53" t="n"/>
      <c r="C127" s="53" t="n"/>
      <c r="D127" s="31" t="inlineStr">
        <is>
          <t>TESTE OPERACIONAL:  Quantidade não é critério: 3 gráficos que provam algo valem mais que 8 enfeitando. Para cada recurso pergunte: que afirmação ele sustenta?</t>
        </is>
      </c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14.25" customHeight="1" s="65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14.25" customHeight="1" s="65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24" customHeight="1" s="65">
      <c r="A130" s="53" t="n"/>
      <c r="B130" s="69" t="inlineStr">
        <is>
          <t>VÍDEO DO FORMULÁRIO  —  10 pontos de 100</t>
        </is>
      </c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27.75" customHeight="1" s="65">
      <c r="A131" s="53" t="n"/>
      <c r="B131" s="13" t="inlineStr">
        <is>
          <t>V1</t>
        </is>
      </c>
      <c r="C131" s="15" t="inlineStr">
        <is>
          <t>5 pts</t>
        </is>
      </c>
      <c r="D131" s="17" t="inlineStr">
        <is>
          <t>Clareza e naturalidade na fala.</t>
        </is>
      </c>
      <c r="E131" s="18" t="inlineStr">
        <is>
          <t>col. R — substitui a nota única 0-10</t>
        </is>
      </c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25.5" customHeight="1" s="65">
      <c r="A132" s="53" t="n"/>
      <c r="B132" s="53" t="n"/>
      <c r="C132" s="20" t="n">
        <v>3</v>
      </c>
      <c r="D132" s="21" t="inlineStr">
        <is>
          <t>Fala com estrutura própria, sem ler. Dá pra acompanhar do começo ao fim.</t>
        </is>
      </c>
      <c r="E132" s="22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25.5" customHeight="1" s="65">
      <c r="A133" s="53" t="n"/>
      <c r="B133" s="53" t="n"/>
      <c r="C133" s="24" t="n">
        <v>2</v>
      </c>
      <c r="D133" s="21" t="inlineStr">
        <is>
          <t>Boa fala, com apoio visível de roteiro.</t>
        </is>
      </c>
      <c r="E133" s="22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25.5" customHeight="1" s="65">
      <c r="A134" s="53" t="n"/>
      <c r="B134" s="53" t="n"/>
      <c r="C134" s="27" t="n">
        <v>1</v>
      </c>
      <c r="D134" s="21" t="inlineStr">
        <is>
          <t>Lê integralmente, mas é compreensível.</t>
        </is>
      </c>
      <c r="E134" s="22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25.5" customHeight="1" s="65">
      <c r="A135" s="53" t="n"/>
      <c r="B135" s="53" t="n"/>
      <c r="C135" s="29" t="n">
        <v>0</v>
      </c>
      <c r="D135" s="21" t="inlineStr">
        <is>
          <t>Não dá pra acompanhar, ou não gravou.</t>
        </is>
      </c>
      <c r="E135" s="22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21.75" customHeight="1" s="65">
      <c r="A136" s="53" t="n"/>
      <c r="B136" s="53" t="n"/>
      <c r="C136" s="53" t="n"/>
      <c r="D136" s="31" t="inlineStr">
        <is>
          <t>TESTE OPERACIONAL:  Não julgue o conteúdo aqui, só a entrega da fala.</t>
        </is>
      </c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4.25" customHeight="1" s="65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27.75" customHeight="1" s="65">
      <c r="A138" s="53" t="n"/>
      <c r="B138" s="13" t="inlineStr">
        <is>
          <t>V2</t>
        </is>
      </c>
      <c r="C138" s="15" t="inlineStr">
        <is>
          <t>5 pts</t>
        </is>
      </c>
      <c r="D138" s="17" t="inlineStr">
        <is>
          <t>Apresenta motivo concreto para entrar no CCU.</t>
        </is>
      </c>
      <c r="E138" s="18" t="inlineStr">
        <is>
          <t>col. R — substitui a nota única 0-10</t>
        </is>
      </c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25.5" customHeight="1" s="65">
      <c r="A139" s="53" t="n"/>
      <c r="B139" s="53" t="n"/>
      <c r="C139" s="20" t="n">
        <v>3</v>
      </c>
      <c r="D139" s="21" t="inlineStr">
        <is>
          <t>Cita algo específico do CCU (projeto, área, evento) e conecta com o que quer desenvolver.</t>
        </is>
      </c>
      <c r="E139" s="22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25.5" customHeight="1" s="65">
      <c r="A140" s="53" t="n"/>
      <c r="B140" s="53" t="n"/>
      <c r="C140" s="24" t="n">
        <v>2</v>
      </c>
      <c r="D140" s="21" t="inlineStr">
        <is>
          <t>Motivo real, mas genérico (quero aprender consultoria).</t>
        </is>
      </c>
      <c r="E140" s="22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25.5" customHeight="1" s="65">
      <c r="A141" s="53" t="n"/>
      <c r="B141" s="53" t="n"/>
      <c r="C141" s="27" t="n">
        <v>1</v>
      </c>
      <c r="D141" s="21" t="inlineStr">
        <is>
          <t>Motivo circunstancial (tenho tempo livre, tenho carro pra ir aos eventos).</t>
        </is>
      </c>
      <c r="E141" s="22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25.5" customHeight="1" s="65">
      <c r="A142" s="53" t="n"/>
      <c r="B142" s="53" t="n"/>
      <c r="C142" s="29" t="n">
        <v>0</v>
      </c>
      <c r="D142" s="21" t="inlineStr">
        <is>
          <t>Não respondeu à pergunta.</t>
        </is>
      </c>
      <c r="E142" s="22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21.75" customHeight="1" s="65">
      <c r="A143" s="53" t="n"/>
      <c r="B143" s="53" t="n"/>
      <c r="C143" s="53" t="n"/>
      <c r="D143" s="31" t="inlineStr">
        <is>
          <t>TESTE OPERACIONAL:  O motivo dele serviria pra qualquer entidade da Unicamp? Então é 1.</t>
        </is>
      </c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4.25" customHeight="1" s="65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4.25" customHeight="1" s="6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4.25" customHeight="1" s="65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4.25" customHeight="1" s="65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4.25" customHeight="1" s="65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4.25" customHeight="1" s="65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4.25" customHeight="1" s="65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4.25" customHeight="1" s="65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4.25" customHeight="1" s="65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4.25" customHeight="1" s="65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4.25" customHeight="1" s="65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4.25" customHeight="1" s="6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4.25" customHeight="1" s="65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4.25" customHeight="1" s="65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4.25" customHeight="1" s="65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4.25" customHeight="1" s="65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4.25" customHeight="1" s="65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4.25" customHeight="1" s="65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4.25" customHeight="1" s="65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4.25" customHeight="1" s="65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4.25" customHeight="1" s="65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4.25" customHeight="1" s="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4.25" customHeight="1" s="65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4.25" customHeight="1" s="65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4.25" customHeight="1" s="65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4.25" customHeight="1" s="65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4.25" customHeight="1" s="65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4.25" customHeight="1" s="65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4.25" customHeight="1" s="65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4.25" customHeight="1" s="65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4.25" customHeight="1" s="65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4.25" customHeight="1" s="6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4.25" customHeight="1" s="65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4.25" customHeight="1" s="65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4.25" customHeight="1" s="65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4.25" customHeight="1" s="65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4.25" customHeight="1" s="65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4.25" customHeight="1" s="65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4.25" customHeight="1" s="65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4.25" customHeight="1" s="65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4.25" customHeight="1" s="65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4.25" customHeight="1" s="6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4.25" customHeight="1" s="65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4.25" customHeight="1" s="65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4.25" customHeight="1" s="65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4.25" customHeight="1" s="65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4.25" customHeight="1" s="65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4.25" customHeight="1" s="65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4.25" customHeight="1" s="65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4.25" customHeight="1" s="65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4.25" customHeight="1" s="65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4.25" customHeight="1" s="6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4.25" customHeight="1" s="65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4.25" customHeight="1" s="65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4.25" customHeight="1" s="65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4.25" customHeight="1" s="65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4.25" customHeight="1" s="65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4.25" customHeight="1" s="65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4.25" customHeight="1" s="65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4.25" customHeight="1" s="65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4.25" customHeight="1" s="65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4.25" customHeight="1" s="6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4.25" customHeight="1" s="65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4.25" customHeight="1" s="65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4.25" customHeight="1" s="65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4.25" customHeight="1" s="65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4.25" customHeight="1" s="65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4.25" customHeight="1" s="65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4.25" customHeight="1" s="65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4.25" customHeight="1" s="65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4.25" customHeight="1" s="65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4.25" customHeight="1" s="6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4.25" customHeight="1" s="65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4.25" customHeight="1" s="65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4.25" customHeight="1" s="65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4.25" customHeight="1" s="65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4.25" customHeight="1" s="65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4.25" customHeight="1" s="65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4.25" customHeight="1" s="65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4.25" customHeight="1" s="65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4.25" customHeight="1" s="65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4.25" customHeight="1" s="6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4.25" customHeight="1" s="65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4.25" customHeight="1" s="65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4.25" customHeight="1" s="65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4.25" customHeight="1" s="65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4.25" customHeight="1" s="65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4.25" customHeight="1" s="65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4.25" customHeight="1" s="65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4.25" customHeight="1" s="65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4.25" customHeight="1" s="65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4.25" customHeight="1" s="6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4.25" customHeight="1" s="65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4.25" customHeight="1" s="65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4.25" customHeight="1" s="65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4.25" customHeight="1" s="65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4.25" customHeight="1" s="65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4.25" customHeight="1" s="65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4.25" customHeight="1" s="65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4.25" customHeight="1" s="65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4.25" customHeight="1" s="65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4.25" customHeight="1" s="6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4.25" customHeight="1" s="65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4.25" customHeight="1" s="65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4.25" customHeight="1" s="65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4.25" customHeight="1" s="65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4.25" customHeight="1" s="65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4.25" customHeight="1" s="65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4.25" customHeight="1" s="65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4.25" customHeight="1" s="65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4.25" customHeight="1" s="65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4.25" customHeight="1" s="6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4.25" customHeight="1" s="65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4.25" customHeight="1" s="65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4.25" customHeight="1" s="65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4.25" customHeight="1" s="65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4.25" customHeight="1" s="65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4.25" customHeight="1" s="65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4.25" customHeight="1" s="65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4.25" customHeight="1" s="65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4.25" customHeight="1" s="65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4.25" customHeight="1" s="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4.25" customHeight="1" s="65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4.25" customHeight="1" s="65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4.25" customHeight="1" s="65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4.25" customHeight="1" s="65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4.25" customHeight="1" s="65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4.25" customHeight="1" s="65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4.25" customHeight="1" s="65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4.25" customHeight="1" s="65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4.25" customHeight="1" s="65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4.25" customHeight="1" s="6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4.25" customHeight="1" s="65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4.25" customHeight="1" s="65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4.25" customHeight="1" s="65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4.25" customHeight="1" s="65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4.25" customHeight="1" s="65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4.25" customHeight="1" s="65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4.25" customHeight="1" s="65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4.25" customHeight="1" s="65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4.25" customHeight="1" s="65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4.25" customHeight="1" s="6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4.25" customHeight="1" s="65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4.25" customHeight="1" s="65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4.25" customHeight="1" s="65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4.25" customHeight="1" s="65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4.25" customHeight="1" s="65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4.25" customHeight="1" s="65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4.25" customHeight="1" s="65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4.25" customHeight="1" s="65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4.25" customHeight="1" s="65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4.25" customHeight="1" s="6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4.25" customHeight="1" s="65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4.25" customHeight="1" s="65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4.25" customHeight="1" s="65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4.25" customHeight="1" s="65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4.25" customHeight="1" s="65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4.25" customHeight="1" s="65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4.25" customHeight="1" s="65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4.25" customHeight="1" s="65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4.25" customHeight="1" s="65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4.25" customHeight="1" s="6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4.25" customHeight="1" s="65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4.25" customHeight="1" s="65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4.25" customHeight="1" s="65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4.25" customHeight="1" s="65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4.25" customHeight="1" s="65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4.25" customHeight="1" s="65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4.25" customHeight="1" s="65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4.25" customHeight="1" s="65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4.25" customHeight="1" s="65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4.25" customHeight="1" s="6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4.25" customHeight="1" s="65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4.25" customHeight="1" s="65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4.25" customHeight="1" s="65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4.25" customHeight="1" s="65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4.25" customHeight="1" s="65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4.25" customHeight="1" s="65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4.25" customHeight="1" s="65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4.25" customHeight="1" s="65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4.25" customHeight="1" s="65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4.25" customHeight="1" s="6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4.25" customHeight="1" s="65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4.25" customHeight="1" s="65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4.25" customHeight="1" s="65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4.25" customHeight="1" s="65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4.25" customHeight="1" s="65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4.25" customHeight="1" s="65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4.25" customHeight="1" s="65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4.25" customHeight="1" s="65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4.25" customHeight="1" s="65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4.25" customHeight="1" s="6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4.25" customHeight="1" s="65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4.25" customHeight="1" s="65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4.25" customHeight="1" s="65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4.25" customHeight="1" s="65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4.25" customHeight="1" s="65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4.25" customHeight="1" s="65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4.25" customHeight="1" s="65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4.25" customHeight="1" s="65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65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6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65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65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65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65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65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65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65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65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65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6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65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65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65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65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65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65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65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65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65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65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65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65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65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65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65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65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65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65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6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65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65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65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65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65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65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65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65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65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6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65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65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65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65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65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65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65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65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65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6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65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65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65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65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65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65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65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65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65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6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65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65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65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65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65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65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65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65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65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6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65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65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65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65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65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65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65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65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65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6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65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65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65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65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65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65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65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65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65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6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65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65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65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65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65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65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65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65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65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6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65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65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65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65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65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65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65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65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65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6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65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65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65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65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65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65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65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65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65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65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65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65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65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65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65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65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65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65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6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65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65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65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65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65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65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65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65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65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6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65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65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65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65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65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65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65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65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65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6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65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65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65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65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65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65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65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65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65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6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65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65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65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65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65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65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65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65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65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6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65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65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65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65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65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65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65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65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65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6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65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65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65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65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65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65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65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65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65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6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65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65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65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65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65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65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65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65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65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6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65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65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65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65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65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65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65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65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65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6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65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65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65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65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65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65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65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65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65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65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65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65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65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65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65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65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65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65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6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65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65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65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65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65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65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65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65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65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6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65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65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65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65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65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65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65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65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65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6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65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65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65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65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65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65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65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65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65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6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65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65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65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65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65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65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65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65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65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6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65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65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65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65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65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65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65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65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65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6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65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65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65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65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65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65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65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65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65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6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65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65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65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65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65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65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65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65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65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6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65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65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65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65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65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65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65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65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65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6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65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65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65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65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65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65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65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65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65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65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65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65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65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65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65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65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65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65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6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65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65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65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65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65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65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65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65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65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6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65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65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65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65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65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65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65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65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65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6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65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65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65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65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65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65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65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65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65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6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65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65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65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65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65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65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65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65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65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6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65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65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65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65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65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65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65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65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65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6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65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65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65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65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65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65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65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65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65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6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65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65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65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65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65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65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65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65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65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6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65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65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65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65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65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65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65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65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65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6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65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65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65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65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65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65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65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65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65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65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65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65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65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65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65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65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65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65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6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65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65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65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65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65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65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65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65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65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6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65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65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65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65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65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65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65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65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65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6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65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65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65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65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65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65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65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65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65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6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65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65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65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65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65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65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65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65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65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6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65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65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65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65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65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65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65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65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65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6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65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65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65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65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65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65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65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65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65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6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65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65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65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65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65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65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65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65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65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6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65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65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65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65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65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65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65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65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65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6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65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65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65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65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65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65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65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65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65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65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65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65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65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65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65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65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65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65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6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65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65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65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65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65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65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65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65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65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6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65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65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65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65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65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65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65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65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65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6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65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65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65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65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65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65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65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65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65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6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65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65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65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65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65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65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65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65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65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6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65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65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65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65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65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65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65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65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65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6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65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65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65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65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65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65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65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65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65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6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65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65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65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65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65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65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65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65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65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6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65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65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65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65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65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65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65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65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65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6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65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65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65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65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65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65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65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65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65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65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65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65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65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65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65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65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65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65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6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65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65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65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65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65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65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65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65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65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6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65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65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65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65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65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65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65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65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65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6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65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65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65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65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65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</sheetData>
  <mergeCells count="7">
    <mergeCell ref="B4:E4"/>
    <mergeCell ref="B65:E65"/>
    <mergeCell ref="B64:E64"/>
    <mergeCell ref="B130:E130"/>
    <mergeCell ref="B109:E109"/>
    <mergeCell ref="B2:E2"/>
    <mergeCell ref="B34:E34"/>
  </mergeCell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5" customWidth="1" style="65" min="1" max="1"/>
    <col width="26" customWidth="1" style="65" min="2" max="2"/>
    <col width="34" customWidth="1" style="65" min="3" max="3"/>
    <col width="16" customWidth="1" style="65" min="4" max="4"/>
    <col width="13.86" customWidth="1" style="65" min="5" max="5"/>
    <col width="11" customWidth="1" style="65" min="6" max="10"/>
    <col width="6" customWidth="1" style="65" min="11" max="14"/>
    <col width="46.43" customWidth="1" style="65" min="15" max="15"/>
    <col width="6" customWidth="1" style="65" min="16" max="19"/>
    <col width="30" customWidth="1" style="65" min="20" max="20"/>
    <col width="6" customWidth="1" style="65" min="21" max="26"/>
    <col width="30" customWidth="1" style="65" min="27" max="27"/>
    <col width="6" customWidth="1" style="65" min="28" max="33"/>
    <col width="30" customWidth="1" style="65" min="34" max="34"/>
    <col width="40" customWidth="1" style="65" min="35" max="35"/>
  </cols>
  <sheetData>
    <row r="1" ht="14.25" customHeight="1" s="65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</row>
    <row r="2" ht="25.5" customHeight="1" s="65">
      <c r="A2" s="53" t="n"/>
      <c r="B2" s="71" t="inlineStr">
        <is>
          <t>AVALIAÇÃO — uma linha por candidato POR AVALIADOR. Cada candidato deve aparecer 2 vezes.</t>
        </is>
      </c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</row>
    <row r="3" ht="14.25" customHeight="1" s="65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</row>
    <row r="4" ht="19.5" customHeight="1" s="65">
      <c r="A4" s="53" t="n"/>
      <c r="B4" s="14" t="inlineStr">
        <is>
          <t>Cada nome aparece 2 vezes pra terem 2 avaliadores por pessoa!</t>
        </is>
      </c>
      <c r="C4" s="16" t="n"/>
      <c r="D4" s="16" t="n"/>
      <c r="E4" s="53" t="n"/>
      <c r="F4" s="53" t="n"/>
      <c r="G4" s="53" t="n"/>
      <c r="H4" s="53" t="n"/>
      <c r="I4" s="53" t="n"/>
      <c r="J4" s="53" t="n"/>
      <c r="K4" s="72" t="inlineStr">
        <is>
          <t>COMUNICAÇÃO &amp; ESTRUTURA  (30)</t>
        </is>
      </c>
      <c r="P4" s="72" t="inlineStr">
        <is>
          <t>RACIOCÍNIO DE NEGÓCIO  (25)</t>
        </is>
      </c>
      <c r="U4" s="72" t="inlineStr">
        <is>
          <t>ACURÁCIA TÉCNICA  (25)</t>
        </is>
      </c>
      <c r="AB4" s="72" t="inlineStr">
        <is>
          <t>ENTREGA (CHECKLIST)  (10)</t>
        </is>
      </c>
      <c r="AF4" s="72" t="inlineStr">
        <is>
          <t>VÍDEO DO FORMULÁRIO  (10)</t>
        </is>
      </c>
      <c r="AI4" s="53" t="n"/>
    </row>
    <row r="5" ht="33.75" customHeight="1" s="65">
      <c r="A5" s="25" t="inlineStr">
        <is>
          <t>#</t>
        </is>
      </c>
      <c r="B5" s="25" t="inlineStr">
        <is>
          <t>E-mail</t>
        </is>
      </c>
      <c r="C5" s="25" t="inlineStr">
        <is>
          <t>Candidato(a)</t>
        </is>
      </c>
      <c r="D5" s="25" t="inlineStr">
        <is>
          <t>Avaliador</t>
        </is>
      </c>
      <c r="E5" s="25" t="inlineStr">
        <is>
          <t>NOTA FINAL</t>
        </is>
      </c>
      <c r="F5" s="25" t="inlineStr">
        <is>
          <t>Comunic. /30</t>
        </is>
      </c>
      <c r="G5" s="25" t="inlineStr">
        <is>
          <t>Racioc. /25</t>
        </is>
      </c>
      <c r="H5" s="25" t="inlineStr">
        <is>
          <t>Acurácia /25</t>
        </is>
      </c>
      <c r="I5" s="25" t="inlineStr">
        <is>
          <t>Entrega /10</t>
        </is>
      </c>
      <c r="J5" s="25" t="inlineStr">
        <is>
          <t>Vídeo /10</t>
        </is>
      </c>
      <c r="K5" s="26" t="inlineStr">
        <is>
          <t>C1</t>
        </is>
      </c>
      <c r="L5" s="26" t="inlineStr">
        <is>
          <t>C2</t>
        </is>
      </c>
      <c r="M5" s="26" t="inlineStr">
        <is>
          <t>C3</t>
        </is>
      </c>
      <c r="N5" s="26" t="inlineStr">
        <is>
          <t>C4</t>
        </is>
      </c>
      <c r="O5" s="28" t="inlineStr">
        <is>
          <t>Evidência — Comunicação</t>
        </is>
      </c>
      <c r="P5" s="26" t="inlineStr">
        <is>
          <t>R1</t>
        </is>
      </c>
      <c r="Q5" s="26" t="inlineStr">
        <is>
          <t>R2</t>
        </is>
      </c>
      <c r="R5" s="26" t="inlineStr">
        <is>
          <t>R3</t>
        </is>
      </c>
      <c r="S5" s="26" t="inlineStr">
        <is>
          <t>R4</t>
        </is>
      </c>
      <c r="T5" s="28" t="inlineStr">
        <is>
          <t>Evidência — Raciocínio</t>
        </is>
      </c>
      <c r="U5" s="26" t="inlineStr">
        <is>
          <t>A1</t>
        </is>
      </c>
      <c r="V5" s="26" t="inlineStr">
        <is>
          <t>A2</t>
        </is>
      </c>
      <c r="W5" s="26" t="inlineStr">
        <is>
          <t>A3</t>
        </is>
      </c>
      <c r="X5" s="26" t="inlineStr">
        <is>
          <t>A4</t>
        </is>
      </c>
      <c r="Y5" s="26" t="inlineStr">
        <is>
          <t>A5</t>
        </is>
      </c>
      <c r="Z5" s="26" t="inlineStr">
        <is>
          <t>A6</t>
        </is>
      </c>
      <c r="AA5" s="28" t="inlineStr">
        <is>
          <t>Evidência — Acurácia</t>
        </is>
      </c>
      <c r="AB5" s="26" t="inlineStr">
        <is>
          <t>E1</t>
        </is>
      </c>
      <c r="AC5" s="26" t="inlineStr">
        <is>
          <t>E2</t>
        </is>
      </c>
      <c r="AD5" s="26" t="inlineStr">
        <is>
          <t>E3</t>
        </is>
      </c>
      <c r="AE5" s="26" t="inlineStr">
        <is>
          <t>E4</t>
        </is>
      </c>
      <c r="AF5" s="26" t="inlineStr">
        <is>
          <t>V1</t>
        </is>
      </c>
      <c r="AG5" s="26" t="inlineStr">
        <is>
          <t>V2</t>
        </is>
      </c>
      <c r="AH5" s="28" t="inlineStr">
        <is>
          <t>Evidência — Vídeo</t>
        </is>
      </c>
      <c r="AI5" s="25" t="inlineStr">
        <is>
          <t>Comentário geral</t>
        </is>
      </c>
    </row>
    <row r="6" ht="14.25" customHeight="1" s="65">
      <c r="A6" s="53" t="n"/>
      <c r="B6" s="53" t="n"/>
      <c r="C6" s="30" t="inlineStr">
        <is>
          <t>Modelo (entrega nota máxima)</t>
        </is>
      </c>
      <c r="D6" s="53" t="n"/>
      <c r="E6" s="32">
        <f>IF(COUNT(K6:AG6)=0,"",ROUND((F6+G6+H6+I6+J6)/10,2))</f>
        <v/>
      </c>
      <c r="F6" s="33">
        <f>IF(COUNT(K6:AG6)=0,"",(K6*10+L6*8+M6*7+N6*5)/3)</f>
        <v/>
      </c>
      <c r="G6" s="33">
        <f>IF(COUNT(K6:AG6)=0,"",(P6*8+Q6*7+R6*5+S6*5)/3)</f>
        <v/>
      </c>
      <c r="H6" s="33">
        <f>IF(COUNT(K6:AG6)=0,"",(U6*6+V6*6+W6*4+X6*3+Y6*3+Z6*3)/3)</f>
        <v/>
      </c>
      <c r="I6" s="33">
        <f>IF(COUNT(K6:AG6)=0,"",AB6*3+AC6*2+AD6*2+AE6*1)</f>
        <v/>
      </c>
      <c r="J6" s="33">
        <f>IF(COUNT(K6:AG6)=0,"",(AF6*5+AG6*5)/3)</f>
        <v/>
      </c>
      <c r="K6" s="52" t="n">
        <v>3</v>
      </c>
      <c r="L6" s="52" t="n">
        <v>3</v>
      </c>
      <c r="M6" s="52" t="n">
        <v>3</v>
      </c>
      <c r="N6" s="52" t="n">
        <v>3</v>
      </c>
      <c r="O6" s="35" t="inlineStr">
        <is>
          <t>C1=3: recomendação em uma frase no slide 2, com os 27,84 mi · C2=3: documento fechado, com apêndice de cálculo · C3=3: só os títulos já contam a história · C4=3: padrão único</t>
        </is>
      </c>
      <c r="P6" s="52" t="n">
        <v>3</v>
      </c>
      <c r="Q6" s="52" t="n">
        <v>3</v>
      </c>
      <c r="R6" s="52" t="n">
        <v>3</v>
      </c>
      <c r="S6" s="52" t="n">
        <v>3</v>
      </c>
      <c r="T6" s="35" t="inlineStr">
        <is>
          <t>R1=3: liga os 27,84 mi à baixa complexidade e ao fluxo do terminal · R2=3: compara armários e parceiros nos 4 bairros e justifica o descarte · R3=3: traz a margem como leitura complementar · R4=3: explica por que a utilização baixa da Arena não permite cortar posições</t>
        </is>
      </c>
      <c r="U6" s="52" t="n">
        <v>3</v>
      </c>
      <c r="V6" s="52" t="n">
        <v>3</v>
      </c>
      <c r="W6" s="52" t="n">
        <v>3</v>
      </c>
      <c r="X6" s="52" t="n">
        <v>3</v>
      </c>
      <c r="Y6" s="52" t="n">
        <v>3</v>
      </c>
      <c r="Z6" s="52" t="n">
        <v>3</v>
      </c>
      <c r="AA6" s="35" t="inlineStr">
        <is>
          <t>A1=3: aba "Armários", 4 bairros conferem, Arena com 23 bancos · A2=3: aba "Parceiros" · A3=3: ganho líquido 2,76 no slide 6 e o mesmo número na recomendação · A4=3: CH como 2º, 24,50 mi · A5=3: risco de pico com mitigação · A6=3: slide 4 diz que a utilização não entra na receita</t>
        </is>
      </c>
      <c r="AB6" s="52" t="n">
        <v>1</v>
      </c>
      <c r="AC6" s="52" t="n">
        <v>1</v>
      </c>
      <c r="AD6" s="52" t="n">
        <v>1</v>
      </c>
      <c r="AE6" s="52" t="n">
        <v>3</v>
      </c>
      <c r="AF6" s="52" t="n">
        <v>3</v>
      </c>
      <c r="AG6" s="52" t="n">
        <v>3</v>
      </c>
      <c r="AH6" s="35" t="inlineStr">
        <is>
          <t>V1=3: fala solta o vídeo inteiro, sem ler · V2=3: cita um projeto ou área do CCU e conecta com o que quer desenvolver</t>
        </is>
      </c>
      <c r="AI6" s="53" t="n"/>
    </row>
    <row r="7" ht="14.25" customHeight="1" s="65">
      <c r="A7" s="53" t="n"/>
      <c r="B7" s="36" t="inlineStr">
        <is>
          <t>g278083@dac.unicamp.br</t>
        </is>
      </c>
      <c r="C7" s="3" t="inlineStr">
        <is>
          <t>Gabrielle Cristofani do Rosario</t>
        </is>
      </c>
      <c r="D7" s="3" t="inlineStr">
        <is>
          <t xml:space="preserve">victor </t>
        </is>
      </c>
      <c r="E7" s="32">
        <f>IF(COUNT(K7:AG7)=0,"",ROUND((F7+G7+H7+I7+J7)/10,2))</f>
        <v/>
      </c>
      <c r="F7" s="33">
        <f>IF(COUNT(K7:AG7)=0,"",(K7*10+L7*8+M7*7+N7*5)/3)</f>
        <v/>
      </c>
      <c r="G7" s="33">
        <f>IF(COUNT(K7:AG7)=0,"",(P7*8+Q7*7+R7*5+S7*5)/3)</f>
        <v/>
      </c>
      <c r="H7" s="33">
        <f>IF(COUNT(K7:AG7)=0,"",(U7*6+V7*6+W7*4+X7*3+Y7*3+Z7*3)/3)</f>
        <v/>
      </c>
      <c r="I7" s="33">
        <f>IF(COUNT(K7:AG7)=0,"",AB7*3+AC7*2+AD7*2+AE7*1)</f>
        <v/>
      </c>
      <c r="J7" s="33">
        <f>IF(COUNT(K7:AG7)=0,"",(AF7*5+AG7*5)/3)</f>
        <v/>
      </c>
      <c r="K7" s="52" t="n">
        <v>2</v>
      </c>
      <c r="L7" s="52" t="n">
        <v>2</v>
      </c>
      <c r="M7" s="52" t="n">
        <v>2</v>
      </c>
      <c r="N7" s="52" t="n">
        <v>2</v>
      </c>
      <c r="O7" s="3" t="inlineStr">
        <is>
          <t>Slide feito por IA, provavelmente</t>
        </is>
      </c>
      <c r="P7" s="52" t="n">
        <v>2</v>
      </c>
      <c r="Q7" s="52" t="n">
        <v>2</v>
      </c>
      <c r="R7" s="52" t="n">
        <v>1</v>
      </c>
      <c r="S7" s="52" t="n">
        <v>1</v>
      </c>
      <c r="T7" s="3" t="inlineStr">
        <is>
          <t>Contas no papel, parece q n fez IA</t>
        </is>
      </c>
      <c r="U7" s="52" t="n">
        <v>3</v>
      </c>
      <c r="V7" s="52" t="n">
        <v>3</v>
      </c>
      <c r="W7" s="52" t="n">
        <v>2</v>
      </c>
      <c r="X7" s="52" t="n">
        <v>2</v>
      </c>
      <c r="Y7" s="52" t="n">
        <v>2</v>
      </c>
      <c r="Z7" s="52" t="n"/>
      <c r="AA7" s="53" t="n"/>
      <c r="AB7" s="52" t="n">
        <v>1</v>
      </c>
      <c r="AC7" s="52" t="n">
        <v>1</v>
      </c>
      <c r="AD7" s="52" t="n">
        <v>0</v>
      </c>
      <c r="AE7" s="52" t="n">
        <v>3</v>
      </c>
      <c r="AF7" s="52" t="n">
        <v>2</v>
      </c>
      <c r="AG7" s="52" t="n">
        <v>2</v>
      </c>
      <c r="AH7" s="53" t="n"/>
      <c r="AI7" s="3" t="inlineStr">
        <is>
          <t xml:space="preserve">v2 talvez seja 3 </t>
        </is>
      </c>
    </row>
    <row r="8" ht="14.25" customHeight="1" s="65">
      <c r="A8" s="53" t="n"/>
      <c r="B8" s="16" t="inlineStr">
        <is>
          <t>b309603@dac.unicamp.br</t>
        </is>
      </c>
      <c r="C8" s="3" t="inlineStr">
        <is>
          <t>Bruno Heberth Oliveira Bastos</t>
        </is>
      </c>
      <c r="D8" s="3" t="inlineStr">
        <is>
          <t xml:space="preserve">victor </t>
        </is>
      </c>
      <c r="E8" s="3">
        <f>IF(COUNT(K8:AG8)=0,"",ROUND((F8+G8+H8+I8+J8)/10,2))</f>
        <v/>
      </c>
      <c r="F8" s="33">
        <f>IF(COUNT(K8:AG8)=0,"",(K8*10+L8*8+M8*7+N8*5)/3)</f>
        <v/>
      </c>
      <c r="G8" s="33">
        <f>IF(COUNT(K8:AG8)=0,"",(P8*8+Q8*7+R8*5+S8*5)/3)</f>
        <v/>
      </c>
      <c r="H8" s="33">
        <f>IF(COUNT(K8:AG8)=0,"",(U8*6+V8*6+W8*4+X8*3+Y8*3+Z8*3)/3)</f>
        <v/>
      </c>
      <c r="I8" s="33">
        <f>IF(COUNT(K8:AG8)=0,"",AB8*3+AC8*2+AD8*2+AE8*1)</f>
        <v/>
      </c>
      <c r="J8" s="33">
        <f>IF(COUNT(K8:AG8)=0,"",(AF8*5+AG8*5)/3)</f>
        <v/>
      </c>
      <c r="K8" s="52" t="n">
        <v>3</v>
      </c>
      <c r="L8" s="52" t="n">
        <v>1</v>
      </c>
      <c r="M8" s="52" t="n">
        <v>1</v>
      </c>
      <c r="N8" s="52" t="n">
        <v>2</v>
      </c>
      <c r="O8" s="3" t="inlineStr">
        <is>
          <t>Me sinto um idiota corrigindo bagulho 100% feito por IA. Pior é que cumpriu os requisitos.</t>
        </is>
      </c>
      <c r="P8" s="52" t="n">
        <v>2</v>
      </c>
      <c r="Q8" s="52" t="n">
        <v>1</v>
      </c>
      <c r="R8" s="52" t="n">
        <v>1</v>
      </c>
      <c r="S8" s="52" t="n">
        <v>0</v>
      </c>
      <c r="T8" s="53" t="n"/>
      <c r="U8" s="52" t="n">
        <v>3</v>
      </c>
      <c r="V8" s="52" t="n">
        <v>3</v>
      </c>
      <c r="W8" s="52" t="n">
        <v>3</v>
      </c>
      <c r="X8" s="52" t="n">
        <v>2</v>
      </c>
      <c r="Y8" s="52" t="n">
        <v>0</v>
      </c>
      <c r="Z8" s="52" t="n"/>
      <c r="AA8" s="53" t="n"/>
      <c r="AB8" s="52" t="n">
        <v>1</v>
      </c>
      <c r="AC8" s="52" t="n">
        <v>1</v>
      </c>
      <c r="AD8" s="52" t="n">
        <v>0</v>
      </c>
      <c r="AE8" s="52" t="n"/>
      <c r="AF8" s="52" t="n">
        <v>3</v>
      </c>
      <c r="AG8" s="52" t="n">
        <v>1</v>
      </c>
      <c r="AH8" s="53" t="n"/>
      <c r="AI8" s="3" t="inlineStr">
        <is>
          <t xml:space="preserve">É da Adm n dá </t>
        </is>
      </c>
    </row>
    <row r="9" ht="14.25" customHeight="1" s="65">
      <c r="A9" s="53" t="n"/>
      <c r="B9" s="16" t="inlineStr">
        <is>
          <t>j309764@dac.unicamp.br</t>
        </is>
      </c>
      <c r="C9" s="3" t="inlineStr">
        <is>
          <t>João Pedro Mendes Stama</t>
        </is>
      </c>
      <c r="D9" s="3" t="inlineStr">
        <is>
          <t xml:space="preserve">victor </t>
        </is>
      </c>
      <c r="E9" s="32">
        <f>IF(COUNT(K9:AG9)=0,"",ROUND((F9+G9+H9+I9+J9)/10,2))</f>
        <v/>
      </c>
      <c r="F9" s="33">
        <f>IF(COUNT(K9:AG9)=0,"",(K9*10+L9*8+M9*7+N9*5)/3)</f>
        <v/>
      </c>
      <c r="G9" s="33">
        <f>IF(COUNT(K9:AG9)=0,"",(P9*8+Q9*7+R9*5+S9*5)/3)</f>
        <v/>
      </c>
      <c r="H9" s="33">
        <f>IF(COUNT(K9:AG9)=0,"",(U9*6+V9*6+W9*4+X9*3+Y9*3+Z9*3)/3)</f>
        <v/>
      </c>
      <c r="I9" s="33">
        <f>IF(COUNT(K9:AG9)=0,"",AB9*3+AC9*2+AD9*2+AE9*1)</f>
        <v/>
      </c>
      <c r="J9" s="33">
        <f>IF(COUNT(K9:AG9)=0,"",(AF9*5+AG9*5)/3)</f>
        <v/>
      </c>
      <c r="K9" s="52" t="n"/>
      <c r="L9" s="52" t="n"/>
      <c r="M9" s="52" t="n"/>
      <c r="N9" s="52" t="n"/>
      <c r="O9" s="53" t="n"/>
      <c r="P9" s="52" t="n"/>
      <c r="Q9" s="52" t="n"/>
      <c r="R9" s="52" t="n"/>
      <c r="S9" s="52" t="n"/>
      <c r="T9" s="53" t="n"/>
      <c r="U9" s="52" t="n"/>
      <c r="V9" s="52" t="n"/>
      <c r="W9" s="52" t="n"/>
      <c r="X9" s="52" t="n"/>
      <c r="Y9" s="52" t="n"/>
      <c r="Z9" s="52" t="n"/>
      <c r="AA9" s="53" t="n"/>
      <c r="AB9" s="52" t="n"/>
      <c r="AC9" s="52" t="n"/>
      <c r="AD9" s="52" t="n"/>
      <c r="AE9" s="52" t="n"/>
      <c r="AF9" s="52" t="n">
        <v>3</v>
      </c>
      <c r="AG9" s="52" t="n">
        <v>2</v>
      </c>
      <c r="AH9" s="53" t="n"/>
      <c r="AI9" s="3" t="inlineStr">
        <is>
          <t>N passaria fez o gmat na cama mas parece legal</t>
        </is>
      </c>
    </row>
    <row r="10" ht="14.25" customHeight="1" s="65">
      <c r="A10" s="53" t="n"/>
      <c r="B10" s="36" t="inlineStr">
        <is>
          <t>r238449@dac.unicamp.br</t>
        </is>
      </c>
      <c r="C10" s="3" t="inlineStr">
        <is>
          <t>Rafael Ponciano Rodrigues dos Santos</t>
        </is>
      </c>
      <c r="D10" s="3" t="inlineStr">
        <is>
          <t>Matteo</t>
        </is>
      </c>
      <c r="E10" s="32" t="n">
        <v>4.17</v>
      </c>
      <c r="F10" s="33" t="n">
        <v>7.33</v>
      </c>
      <c r="G10" s="33" t="n">
        <v>5.67</v>
      </c>
      <c r="H10" s="33" t="n">
        <v>16.33</v>
      </c>
      <c r="I10" s="33" t="n">
        <v>4</v>
      </c>
      <c r="J10" s="33" t="n">
        <v>8.33</v>
      </c>
      <c r="K10" s="52" t="n">
        <v>1</v>
      </c>
      <c r="L10" s="52" t="n">
        <v>0</v>
      </c>
      <c r="M10" s="52" t="n">
        <v>1</v>
      </c>
      <c r="N10" s="52" t="n">
        <v>1</v>
      </c>
      <c r="O10" s="73" t="inlineStr">
        <is>
          <t>Não há recomendação escrita. Entregou seis fotos de caderno e um print de planilha, sem documento fechado. Os quatro blocos de bairro são independentes e não levam a conclusão.</t>
        </is>
      </c>
      <c r="P10" s="52" t="n">
        <v>0</v>
      </c>
      <c r="Q10" s="52" t="n">
        <v>1</v>
      </c>
      <c r="R10" s="52" t="n">
        <v>0</v>
      </c>
      <c r="S10" s="52" t="n">
        <v>2</v>
      </c>
      <c r="T10" s="73" t="inlineStr">
        <is>
          <t>Comparou os dois modelos nos quatro bairros e projetou cinco anos, mas não escolheu bairro nem modelo. Boa observação própria: anotou que uma conexão dura 1h30 a 2h e que isso não dá tempo de passear, o que põe em dúvida a demanda da Estação.</t>
        </is>
      </c>
      <c r="U10" s="52" t="n">
        <v>3</v>
      </c>
      <c r="V10" s="52" t="n">
        <v>3</v>
      </c>
      <c r="W10" s="52" t="n">
        <v>1</v>
      </c>
      <c r="X10" s="52" t="n">
        <v>2</v>
      </c>
      <c r="Y10" s="52" t="n">
        <v>1</v>
      </c>
      <c r="Z10" s="52" t="n"/>
      <c r="AA10" s="73" t="inlineStr">
        <is>
          <t>Oito cenários conferem com o gabarito, com a Arena em 23 bancos. A projeção de cinco anos remove o custo do banco a partir do Ano 2, e o Anexo E diz que é anual. Sem riscos e sem próximos passos.</t>
        </is>
      </c>
      <c r="AB10" s="52" t="n">
        <v>1</v>
      </c>
      <c r="AC10" s="52" t="n">
        <v>0</v>
      </c>
      <c r="AD10" s="52" t="n">
        <v>0</v>
      </c>
      <c r="AE10" s="52" t="n">
        <v>1</v>
      </c>
      <c r="AF10" s="52" t="n">
        <v>3</v>
      </c>
      <c r="AG10" s="52" t="n">
        <v>2</v>
      </c>
      <c r="AH10" s="53" t="n"/>
      <c r="AI10" s="74" t="inlineStr">
        <is>
          <t>A entrega mais frustrante do grupo: a parte difícil está certa e a fácil não foi feita. Os oito cenários estão corretos à mão, aplicou os 3C's e projetou cinco anos. E fez a melhor observação qualitativa que eu vi, sobre a conexão de 1h30 não dar tempo de passear. E então não recomendou nada, sem bairro, sem modelo, sem riscos. Na entrevista a pergunta é a que falta: qual bairro e qual modelo você escolhe?</t>
        </is>
      </c>
    </row>
    <row r="11" ht="14.25" customHeight="1" s="65">
      <c r="A11" s="53" t="n"/>
      <c r="B11" s="36" t="inlineStr">
        <is>
          <t>enzo.gag17@gmail.com</t>
        </is>
      </c>
      <c r="C11" s="3" t="inlineStr">
        <is>
          <t>Enzo Chofakian Gagliardi</t>
        </is>
      </c>
      <c r="D11" s="3" t="inlineStr">
        <is>
          <t xml:space="preserve">victor </t>
        </is>
      </c>
      <c r="E11" s="32">
        <f>IF(COUNT(K11:AG11)=0,"",ROUND((F11+G11+H11+I11+J11)/10,2))</f>
        <v/>
      </c>
      <c r="F11" s="33">
        <f>IF(COUNT(K11:AG11)=0,"",(K11*10+L11*8+M11*7+N11*5)/3)</f>
        <v/>
      </c>
      <c r="G11" s="33">
        <f>IF(COUNT(K11:AG11)=0,"",(P11*8+Q11*7+R11*5+S11*5)/3)</f>
        <v/>
      </c>
      <c r="H11" s="33">
        <f>IF(COUNT(K11:AG11)=0,"",(U11*6+V11*6+W11*4+X11*3+Y11*3+Z11*3)/3)</f>
        <v/>
      </c>
      <c r="I11" s="33">
        <f>IF(COUNT(K11:AG11)=0,"",AB11*3+AC11*2+AD11*2+AE11*1)</f>
        <v/>
      </c>
      <c r="J11" s="33">
        <f>IF(COUNT(K11:AG11)=0,"",(AF11*5+AG11*5)/3)</f>
        <v/>
      </c>
      <c r="K11" s="52" t="n">
        <v>3</v>
      </c>
      <c r="L11" s="52" t="n">
        <v>2</v>
      </c>
      <c r="M11" s="52" t="n">
        <v>2</v>
      </c>
      <c r="N11" s="52" t="n">
        <v>2</v>
      </c>
      <c r="O11" s="3" t="inlineStr">
        <is>
          <t>Slide de IA.</t>
        </is>
      </c>
      <c r="P11" s="52" t="n"/>
      <c r="Q11" s="52" t="n"/>
      <c r="R11" s="52" t="n"/>
      <c r="S11" s="52" t="n"/>
      <c r="T11" s="53" t="n"/>
      <c r="U11" s="52" t="n">
        <v>3</v>
      </c>
      <c r="V11" s="52" t="n">
        <v>3</v>
      </c>
      <c r="W11" s="52" t="n">
        <v>3</v>
      </c>
      <c r="X11" s="52" t="n">
        <v>0</v>
      </c>
      <c r="Y11" s="52" t="n">
        <v>3</v>
      </c>
      <c r="Z11" s="52" t="n"/>
      <c r="AA11" s="53" t="n"/>
      <c r="AB11" s="52" t="n">
        <v>1</v>
      </c>
      <c r="AC11" s="52" t="n">
        <v>1</v>
      </c>
      <c r="AD11" s="52" t="n">
        <v>0</v>
      </c>
      <c r="AE11" s="52" t="n">
        <v>0</v>
      </c>
      <c r="AF11" s="52" t="n">
        <v>2</v>
      </c>
      <c r="AG11" s="52" t="n">
        <v>2</v>
      </c>
      <c r="AH11" s="53" t="n"/>
      <c r="AI11" s="3" t="inlineStr">
        <is>
          <t>ok</t>
        </is>
      </c>
    </row>
    <row r="12" ht="14.25" customHeight="1" s="65">
      <c r="A12" s="53" t="n"/>
      <c r="B12" s="36" t="inlineStr">
        <is>
          <t>e278588@dac.unicamp.br</t>
        </is>
      </c>
      <c r="C12" s="3" t="inlineStr">
        <is>
          <t>Enrico Tristão e Mello de Oliveira</t>
        </is>
      </c>
      <c r="D12" s="3" t="inlineStr">
        <is>
          <t xml:space="preserve">victor </t>
        </is>
      </c>
      <c r="E12" s="32">
        <f>IF(COUNT(K12:AG12)=0,"",ROUND((F12+G12+H12+I12+J12)/10,2))</f>
        <v/>
      </c>
      <c r="F12" s="33">
        <f>IF(COUNT(K12:AG12)=0,"",(K12*10+L12*8+M12*7+N12*5)/3)</f>
        <v/>
      </c>
      <c r="G12" s="33">
        <f>IF(COUNT(K12:AG12)=0,"",(P12*8+Q12*7+R12*5+S12*5)/3)</f>
        <v/>
      </c>
      <c r="H12" s="33">
        <f>IF(COUNT(K12:AG12)=0,"",(U12*6+V12*6+W12*4+X12*3+Y12*3+Z12*3)/3)</f>
        <v/>
      </c>
      <c r="I12" s="33">
        <f>IF(COUNT(K12:AG12)=0,"",AB12*3+AC12*2+AD12*2+AE12*1)</f>
        <v/>
      </c>
      <c r="J12" s="33">
        <f>IF(COUNT(K12:AG12)=0,"",(AF12*5+AG12*5)/3)</f>
        <v/>
      </c>
      <c r="K12" s="52" t="n">
        <v>3</v>
      </c>
      <c r="L12" s="52" t="n">
        <v>2</v>
      </c>
      <c r="M12" s="52" t="n">
        <v>2</v>
      </c>
      <c r="N12" s="52" t="n">
        <v>2</v>
      </c>
      <c r="O12" s="3" t="inlineStr">
        <is>
          <t>Slide de IA.</t>
        </is>
      </c>
      <c r="P12" s="52" t="n">
        <v>3</v>
      </c>
      <c r="Q12" s="52" t="n">
        <v>3</v>
      </c>
      <c r="R12" s="52" t="n">
        <v>2</v>
      </c>
      <c r="S12" s="52" t="n">
        <v>2</v>
      </c>
      <c r="T12" s="53" t="n"/>
      <c r="U12" s="52" t="n">
        <v>3</v>
      </c>
      <c r="V12" s="52" t="n">
        <v>3</v>
      </c>
      <c r="W12" s="52" t="n">
        <v>3</v>
      </c>
      <c r="X12" s="52" t="n">
        <v>2</v>
      </c>
      <c r="Y12" s="52" t="n">
        <v>2</v>
      </c>
      <c r="Z12" s="52" t="n"/>
      <c r="AA12" s="53" t="n"/>
      <c r="AB12" s="52" t="n">
        <v>1</v>
      </c>
      <c r="AC12" s="52" t="n">
        <v>1</v>
      </c>
      <c r="AD12" s="52" t="n">
        <v>1</v>
      </c>
      <c r="AE12" s="52" t="n">
        <v>3</v>
      </c>
      <c r="AF12" s="52" t="n">
        <v>2</v>
      </c>
      <c r="AG12" s="52" t="n">
        <v>1</v>
      </c>
      <c r="AH12" s="53" t="n"/>
      <c r="AI12" s="3" t="inlineStr">
        <is>
          <t xml:space="preserve">N falou nada do clube só do mercado </t>
        </is>
      </c>
    </row>
    <row r="13" ht="14.25" customHeight="1" s="65">
      <c r="A13" s="53" t="n"/>
      <c r="B13" s="36" t="inlineStr">
        <is>
          <t>e221509@dac.unicamp.br</t>
        </is>
      </c>
      <c r="C13" s="3" t="inlineStr">
        <is>
          <t>Eduardo Alves Henrique</t>
        </is>
      </c>
      <c r="D13" s="3" t="inlineStr">
        <is>
          <t xml:space="preserve">victor </t>
        </is>
      </c>
      <c r="E13" s="32">
        <f>IF(COUNT(K13:AG13)=0,"",ROUND((F13+G13+H13+I13+J13)/10,2))</f>
        <v/>
      </c>
      <c r="F13" s="33">
        <f>IF(COUNT(K13:AG13)=0,"",(K13*10+L13*8+M13*7+N13*5)/3)</f>
        <v/>
      </c>
      <c r="G13" s="33">
        <f>IF(COUNT(K13:AG13)=0,"",(P13*8+Q13*7+R13*5+S13*5)/3)</f>
        <v/>
      </c>
      <c r="H13" s="33">
        <f>IF(COUNT(K13:AG13)=0,"",(U13*6+V13*6+W13*4+X13*3+Y13*3+Z13*3)/3)</f>
        <v/>
      </c>
      <c r="I13" s="33">
        <f>IF(COUNT(K13:AG13)=0,"",AB13*3+AC13*2+AD13*2+AE13*1)</f>
        <v/>
      </c>
      <c r="J13" s="33">
        <f>IF(COUNT(K13:AG13)=0,"",(AF13*5+AG13*5)/3)</f>
        <v/>
      </c>
      <c r="K13" s="52" t="n">
        <v>3</v>
      </c>
      <c r="L13" s="52" t="n">
        <v>2</v>
      </c>
      <c r="M13" s="52" t="n">
        <v>3</v>
      </c>
      <c r="N13" s="52" t="n">
        <v>2</v>
      </c>
      <c r="O13" s="53" t="n"/>
      <c r="P13" s="52" t="n">
        <v>3</v>
      </c>
      <c r="Q13" s="52" t="n">
        <v>2</v>
      </c>
      <c r="R13" s="52" t="n">
        <v>1</v>
      </c>
      <c r="S13" s="52" t="n">
        <v>1</v>
      </c>
      <c r="T13" s="53" t="n"/>
      <c r="U13" s="52" t="n"/>
      <c r="V13" s="52" t="n"/>
      <c r="W13" s="52" t="n">
        <v>2</v>
      </c>
      <c r="X13" s="52" t="n">
        <v>2</v>
      </c>
      <c r="Y13" s="52" t="n">
        <v>0</v>
      </c>
      <c r="Z13" s="52" t="n"/>
      <c r="AA13" s="53" t="n"/>
      <c r="AB13" s="52" t="n"/>
      <c r="AC13" s="52" t="n">
        <v>1</v>
      </c>
      <c r="AD13" s="52" t="n">
        <v>1</v>
      </c>
      <c r="AE13" s="52" t="n">
        <v>3</v>
      </c>
      <c r="AF13" s="52" t="n">
        <v>2</v>
      </c>
      <c r="AG13" s="52" t="n">
        <v>0</v>
      </c>
      <c r="AH13" s="53" t="n"/>
      <c r="AI13" s="3" t="inlineStr">
        <is>
          <t>Só falou que queria o CCU pra pegar cargo e ter no currículo</t>
        </is>
      </c>
    </row>
    <row r="14" ht="14.25" customHeight="1" s="65">
      <c r="A14" s="53" t="n"/>
      <c r="B14" s="16" t="inlineStr">
        <is>
          <t>l304532@dac.unicamp.br</t>
        </is>
      </c>
      <c r="C14" s="3" t="inlineStr">
        <is>
          <t>Leandra Cunha de Souza</t>
        </is>
      </c>
      <c r="D14" s="3" t="inlineStr">
        <is>
          <t xml:space="preserve">victor </t>
        </is>
      </c>
      <c r="E14" s="32">
        <f>IF(COUNT(K14:AG14)=0,"",ROUND((F14+G14+H14+I14+J14)/10,2))</f>
        <v/>
      </c>
      <c r="F14" s="33">
        <f>IF(COUNT(K14:AG14)=0,"",(K14*10+L14*8+M14*7+N14*5)/3)</f>
        <v/>
      </c>
      <c r="G14" s="33">
        <f>IF(COUNT(K14:AG14)=0,"",(P14*8+Q14*7+R14*5+S14*5)/3)</f>
        <v/>
      </c>
      <c r="H14" s="33">
        <f>IF(COUNT(K14:AG14)=0,"",(U14*6+V14*6+W14*4+X14*3+Y14*3+Z14*3)/3)</f>
        <v/>
      </c>
      <c r="I14" s="33">
        <f>IF(COUNT(K14:AG14)=0,"",AB14*3+AC14*2+AD14*2+AE14*1)</f>
        <v/>
      </c>
      <c r="J14" s="33">
        <f>IF(COUNT(K14:AG14)=0,"",(AF14*5+AG14*5)/3)</f>
        <v/>
      </c>
      <c r="K14" s="52" t="n">
        <v>2</v>
      </c>
      <c r="L14" s="52" t="n">
        <v>1</v>
      </c>
      <c r="M14" s="52" t="n">
        <v>1</v>
      </c>
      <c r="N14" s="52" t="n">
        <v>1</v>
      </c>
      <c r="O14" s="3" t="inlineStr">
        <is>
          <t>Slide de IA, tabela cheia de contas, bem ruim</t>
        </is>
      </c>
      <c r="P14" s="52" t="n">
        <v>2</v>
      </c>
      <c r="Q14" s="52" t="n">
        <v>2</v>
      </c>
      <c r="R14" s="52" t="n">
        <v>2</v>
      </c>
      <c r="S14" s="52" t="n">
        <v>1</v>
      </c>
      <c r="T14" s="53" t="n"/>
      <c r="U14" s="52" t="n">
        <v>2</v>
      </c>
      <c r="V14" s="52" t="n">
        <v>2</v>
      </c>
      <c r="W14" s="52" t="n">
        <v>2</v>
      </c>
      <c r="X14" s="52" t="n">
        <v>2</v>
      </c>
      <c r="Y14" s="52" t="n">
        <v>1</v>
      </c>
      <c r="Z14" s="52" t="n"/>
      <c r="AA14" s="3" t="inlineStr">
        <is>
          <t>Contas todas soltas, bem ruim</t>
        </is>
      </c>
      <c r="AB14" s="52" t="n">
        <v>0</v>
      </c>
      <c r="AC14" s="52" t="n">
        <v>1</v>
      </c>
      <c r="AD14" s="52" t="n">
        <v>0</v>
      </c>
      <c r="AE14" s="52" t="n">
        <v>1</v>
      </c>
      <c r="AF14" s="52" t="n">
        <v>2</v>
      </c>
      <c r="AG14" s="52" t="n">
        <v>2</v>
      </c>
      <c r="AH14" s="53" t="n"/>
      <c r="AI14" s="3" t="inlineStr">
        <is>
          <t>Mid, muitas experiencias mas todas na escola, achei confusa a resposta só saiu citando coisas q fez</t>
        </is>
      </c>
    </row>
    <row r="15" ht="14.25" customHeight="1" s="65">
      <c r="A15" s="53" t="n"/>
      <c r="B15" s="36" t="inlineStr">
        <is>
          <t>v188630@dac.unicamp.br</t>
        </is>
      </c>
      <c r="C15" s="3" t="inlineStr">
        <is>
          <t>Vagner Ássimos Gomes Carlos Filho</t>
        </is>
      </c>
      <c r="D15" s="3" t="inlineStr">
        <is>
          <t>victor</t>
        </is>
      </c>
      <c r="E15" s="32">
        <f>IF(COUNT(K15:AG15)=0,"",ROUND((F15+G15+H15+I15+J15)/10,2))</f>
        <v/>
      </c>
      <c r="F15" s="33">
        <f>IF(COUNT(K15:AG15)=0,"",(K15*10+L15*8+M15*7+N15*5)/3)</f>
        <v/>
      </c>
      <c r="G15" s="33">
        <f>IF(COUNT(K15:AG15)=0,"",(P15*8+Q15*7+R15*5+S15*5)/3)</f>
        <v/>
      </c>
      <c r="H15" s="33">
        <f>IF(COUNT(K15:AG15)=0,"",(U15*6+V15*6+W15*4+X15*3+Y15*3+Z15*3)/3)</f>
        <v/>
      </c>
      <c r="I15" s="33">
        <f>IF(COUNT(K15:AG15)=0,"",AB15*3+AC15*2+AD15*2+AE15*1)</f>
        <v/>
      </c>
      <c r="J15" s="33">
        <f>IF(COUNT(K15:AG15)=0,"",(AF15*5+AG15*5)/3)</f>
        <v/>
      </c>
      <c r="K15" s="52" t="n">
        <v>2</v>
      </c>
      <c r="L15" s="52" t="n">
        <v>2</v>
      </c>
      <c r="M15" s="52" t="n">
        <v>3</v>
      </c>
      <c r="N15" s="52" t="n">
        <v>2</v>
      </c>
      <c r="O15" s="3" t="inlineStr">
        <is>
          <t>Slide de ia, muito texto mas parece q escreveu um pouco</t>
        </is>
      </c>
      <c r="P15" s="52" t="n">
        <v>1</v>
      </c>
      <c r="Q15" s="52" t="n">
        <v>2</v>
      </c>
      <c r="R15" s="52" t="n">
        <v>1</v>
      </c>
      <c r="S15" s="52" t="n">
        <v>2</v>
      </c>
      <c r="T15" s="53" t="n"/>
      <c r="U15" s="52" t="n">
        <v>2</v>
      </c>
      <c r="V15" s="52" t="n">
        <v>2</v>
      </c>
      <c r="W15" s="52" t="n">
        <v>2</v>
      </c>
      <c r="X15" s="52" t="n">
        <v>2</v>
      </c>
      <c r="Y15" s="52" t="n">
        <v>2</v>
      </c>
      <c r="Z15" s="52" t="n"/>
      <c r="AA15" s="53" t="n"/>
      <c r="AB15" s="52" t="n">
        <v>0</v>
      </c>
      <c r="AC15" s="52" t="n">
        <v>1</v>
      </c>
      <c r="AD15" s="52" t="n">
        <v>0</v>
      </c>
      <c r="AE15" s="52" t="n">
        <v>2</v>
      </c>
      <c r="AF15" s="52" t="n">
        <v>2</v>
      </c>
      <c r="AG15" s="52" t="n">
        <v>3</v>
      </c>
      <c r="AH15" s="53" t="n"/>
      <c r="AI15" s="3" t="inlineStr">
        <is>
          <t>Falou das palestras, n sei se tava lendo ou só olhado pra camera mas falou bem ent talvez seja 3</t>
        </is>
      </c>
    </row>
    <row r="16" ht="14.25" customHeight="1" s="65">
      <c r="A16" s="53" t="n"/>
      <c r="B16" s="36" t="inlineStr">
        <is>
          <t>m277865@dac.unicamp.br</t>
        </is>
      </c>
      <c r="C16" s="3" t="inlineStr">
        <is>
          <t>Mariana Nunes Galvão Sant'Anna</t>
        </is>
      </c>
      <c r="D16" s="3" t="inlineStr">
        <is>
          <t xml:space="preserve">luis </t>
        </is>
      </c>
      <c r="E16" s="32">
        <f>IF(COUNT(K16:AG16)=0,"",ROUND((F16+G16+H16+I16+J16)/10,2))</f>
        <v/>
      </c>
      <c r="F16" s="33">
        <f>IF(COUNT(K16:AG16)=0,"",(K16*10+L16*8+M16*7+N16*5)/3)</f>
        <v/>
      </c>
      <c r="G16" s="33">
        <f>IF(COUNT(K16:AG16)=0,"",(P16*8+Q16*7+R16*5+S16*5)/3)</f>
        <v/>
      </c>
      <c r="H16" s="33">
        <f>IF(COUNT(K16:AG16)=0,"",(U16*6+V16*6+W16*4+X16*3+Y16*3+Z16*3)/3)</f>
        <v/>
      </c>
      <c r="I16" s="33">
        <f>IF(COUNT(K16:AG16)=0,"",AB16*3+AC16*2+AD16*2+AE16*1)</f>
        <v/>
      </c>
      <c r="J16" s="33">
        <f>IF(COUNT(K16:AG16)=0,"",(AF16*5+AG16*5)/3)</f>
        <v/>
      </c>
      <c r="K16" s="52" t="n">
        <v>3</v>
      </c>
      <c r="L16" s="52" t="n">
        <v>2</v>
      </c>
      <c r="M16" s="52" t="n">
        <v>3</v>
      </c>
      <c r="N16" s="52" t="n">
        <v>3</v>
      </c>
      <c r="O16" s="53" t="n"/>
      <c r="P16" s="52" t="n">
        <v>3</v>
      </c>
      <c r="Q16" s="52" t="n">
        <v>3</v>
      </c>
      <c r="R16" s="52" t="n">
        <v>2</v>
      </c>
      <c r="S16" s="52" t="n">
        <v>3</v>
      </c>
      <c r="T16" s="53" t="n"/>
      <c r="U16" s="52" t="n">
        <v>3</v>
      </c>
      <c r="V16" s="52" t="n">
        <v>3</v>
      </c>
      <c r="W16" s="52" t="n">
        <v>3</v>
      </c>
      <c r="X16" s="52" t="n">
        <v>2</v>
      </c>
      <c r="Y16" s="52" t="n">
        <v>3</v>
      </c>
      <c r="Z16" s="52" t="n"/>
      <c r="AA16" s="53" t="n"/>
      <c r="AB16" s="52" t="n">
        <v>1</v>
      </c>
      <c r="AC16" s="52" t="n">
        <v>1</v>
      </c>
      <c r="AD16" s="52" t="n">
        <v>0</v>
      </c>
      <c r="AE16" s="52" t="n">
        <v>3</v>
      </c>
      <c r="AF16" s="52" t="n">
        <v>3</v>
      </c>
      <c r="AG16" s="52" t="n">
        <v>2</v>
      </c>
      <c r="AH16" s="53" t="n"/>
      <c r="AI16" s="3" t="inlineStr">
        <is>
          <t>motivo genérico</t>
        </is>
      </c>
    </row>
    <row r="17">
      <c r="A17" s="53" t="n"/>
      <c r="B17" s="36" t="inlineStr">
        <is>
          <t>a266739@dac.unicamp.br</t>
        </is>
      </c>
      <c r="C17" s="3" t="inlineStr">
        <is>
          <t>Aslan Rodrigues Maia</t>
        </is>
      </c>
      <c r="D17" s="3" t="inlineStr">
        <is>
          <t>Ferro</t>
        </is>
      </c>
      <c r="E17" s="32">
        <f>IF(COUNT(K17:AG17)=0,"",ROUND((F17+G17+H17+I17+J17)/10,2))</f>
        <v/>
      </c>
      <c r="F17" s="33">
        <f>IF(COUNT(K17:AG17)=0,"",(K17*10+L17*8+M17*7+N17*5)/3)</f>
        <v/>
      </c>
      <c r="G17" s="33">
        <f>IF(COUNT(K17:AG17)=0,"",(P17*8+Q17*7+R17*5+S17*5)/3)</f>
        <v/>
      </c>
      <c r="H17" s="33">
        <f>IF(COUNT(K17:AG17)=0,"",(U17*6+V17*6+W17*4+X17*3+Y17*3+Z17*3)/3)</f>
        <v/>
      </c>
      <c r="I17" s="33">
        <f>IF(COUNT(K17:AG17)=0,"",AB17*3+AC17*2+AD17*2+AE17*1)</f>
        <v/>
      </c>
      <c r="J17" s="33">
        <f>IF(COUNT(K17:AG17)=0,"",(AF17*5+AG17*5)/3)</f>
        <v/>
      </c>
      <c r="K17" s="52" t="n">
        <v>2</v>
      </c>
      <c r="L17" s="52" t="n">
        <v>2</v>
      </c>
      <c r="M17" s="52" t="n">
        <v>3</v>
      </c>
      <c r="N17" s="52" t="n">
        <v>3</v>
      </c>
      <c r="O17" s="3" t="inlineStr">
        <is>
          <t>Slide de IA, mas parece q se esforçou mais</t>
        </is>
      </c>
      <c r="P17" s="52" t="n">
        <v>2</v>
      </c>
      <c r="Q17" s="52" t="n">
        <v>2</v>
      </c>
      <c r="R17" s="52" t="n">
        <v>2</v>
      </c>
      <c r="S17" s="52" t="n">
        <v>3</v>
      </c>
      <c r="T17" s="53" t="n"/>
      <c r="U17" s="52" t="n">
        <v>3</v>
      </c>
      <c r="V17" s="52" t="n">
        <v>2</v>
      </c>
      <c r="W17" s="52" t="n">
        <v>2</v>
      </c>
      <c r="X17" s="52" t="n">
        <v>2</v>
      </c>
      <c r="Y17" s="52" t="n">
        <v>2</v>
      </c>
      <c r="Z17" s="52" t="n"/>
      <c r="AA17" s="53" t="n"/>
      <c r="AB17" s="52" t="n">
        <v>1</v>
      </c>
      <c r="AC17" s="52" t="n">
        <v>1</v>
      </c>
      <c r="AD17" s="52" t="n">
        <v>0</v>
      </c>
      <c r="AE17" s="52" t="n">
        <v>2</v>
      </c>
      <c r="AF17" s="52" t="n">
        <v>1</v>
      </c>
      <c r="AG17" s="52" t="n">
        <v>2</v>
      </c>
      <c r="AH17" s="53" t="n"/>
      <c r="AI17" s="3" t="inlineStr">
        <is>
          <t>TIrou 2/3 do Gmat, e falou um pouco travado no vídeo, mas foi bem (não é bixo)</t>
        </is>
      </c>
    </row>
    <row r="18" ht="14.25" customHeight="1" s="65">
      <c r="A18" s="54" t="n"/>
      <c r="B18" s="39" t="inlineStr">
        <is>
          <t>j278641@dac.unicamp.br</t>
        </is>
      </c>
      <c r="C18" s="54" t="inlineStr">
        <is>
          <t>João Gabriel de Oliveira Morcelli</t>
        </is>
      </c>
      <c r="D18" s="54" t="inlineStr">
        <is>
          <t>Ferro</t>
        </is>
      </c>
      <c r="E18" s="41">
        <f>IF(COUNT(K18:AG18)=0,"",ROUND((F18+G18+H18+I18+J18)/10,2))</f>
        <v/>
      </c>
      <c r="F18" s="42">
        <f>IF(COUNT(K18:AG18)=0,"",(K18*10+L18*8+M18*7+N18*5)/3)</f>
        <v/>
      </c>
      <c r="G18" s="42">
        <f>IF(COUNT(K18:AG18)=0,"",(P18*8+Q18*7+R18*5+S18*5)/3)</f>
        <v/>
      </c>
      <c r="H18" s="42">
        <f>IF(COUNT(K18:AG18)=0,"",(U18*6+V18*6+W18*4+X18*3+Y18*3+Z18*3)/3)</f>
        <v/>
      </c>
      <c r="I18" s="42">
        <f>IF(COUNT(K18:AG18)=0,"",AB18*3+AC18*2+AD18*2+AE18*1)</f>
        <v/>
      </c>
      <c r="J18" s="42">
        <f>IF(COUNT(K18:AG18)=0,"",(AF18*5+AG18*5)/3)</f>
        <v/>
      </c>
      <c r="K18" s="43" t="n">
        <v>3</v>
      </c>
      <c r="L18" s="43" t="n">
        <v>3</v>
      </c>
      <c r="M18" s="43" t="n">
        <v>2</v>
      </c>
      <c r="N18" s="43" t="n">
        <v>2</v>
      </c>
      <c r="O18" s="54" t="inlineStr">
        <is>
          <t xml:space="preserve">Fez uma analise bem legal de critérios ficou muito bom mas usou MUITA ia com certeza. </t>
        </is>
      </c>
      <c r="P18" s="43" t="n">
        <v>3</v>
      </c>
      <c r="Q18" s="43" t="n">
        <v>2</v>
      </c>
      <c r="R18" s="43" t="n">
        <v>3</v>
      </c>
      <c r="S18" s="43" t="n">
        <v>3</v>
      </c>
      <c r="T18" s="54" t="n"/>
      <c r="U18" s="43" t="n">
        <v>3</v>
      </c>
      <c r="V18" s="43" t="n">
        <v>3</v>
      </c>
      <c r="W18" s="43" t="n">
        <v>3</v>
      </c>
      <c r="X18" s="43" t="n">
        <v>2</v>
      </c>
      <c r="Y18" s="43" t="n">
        <v>3</v>
      </c>
      <c r="Z18" s="54" t="n"/>
      <c r="AA18" s="54" t="n"/>
      <c r="AB18" s="43" t="n">
        <v>1</v>
      </c>
      <c r="AC18" s="43" t="n">
        <v>1</v>
      </c>
      <c r="AD18" s="43" t="n">
        <v>1</v>
      </c>
      <c r="AE18" s="43" t="n">
        <v>3</v>
      </c>
      <c r="AF18" s="43" t="n">
        <v>3</v>
      </c>
      <c r="AG18" s="43" t="n">
        <v>2</v>
      </c>
      <c r="AH18" s="54" t="n"/>
      <c r="AI18" s="73" t="inlineStr">
        <is>
          <t>2/3 Gmat, fez no final sem energia, cara foi resiliente, falou muito bem no vídeo</t>
        </is>
      </c>
    </row>
    <row r="19" ht="14.25" customHeight="1" s="65">
      <c r="A19" s="53" t="n"/>
      <c r="B19" s="36" t="inlineStr">
        <is>
          <t>r278709@dac.unicamp.br</t>
        </is>
      </c>
      <c r="C19" s="3" t="inlineStr">
        <is>
          <t>Raphael Negrini Saggioro</t>
        </is>
      </c>
      <c r="D19" s="3" t="inlineStr">
        <is>
          <t>Ferro</t>
        </is>
      </c>
      <c r="E19" s="32">
        <f>IF(COUNT(K19:AG19)=0,"",ROUND((F19+G19+H19+I19+J19)/10,2))</f>
        <v/>
      </c>
      <c r="F19" s="33">
        <f>IF(COUNT(K19:AG19)=0,"",(K19*10+L19*8+M19*7+N19*5)/3)</f>
        <v/>
      </c>
      <c r="G19" s="33">
        <f>IF(COUNT(K19:AG19)=0,"",(P19*8+Q19*7+R19*5+S19*5)/3)</f>
        <v/>
      </c>
      <c r="H19" s="33">
        <f>IF(COUNT(K19:AG19)=0,"",(U19*6+V19*6+W19*4+X19*3+Y19*3+Z19*3)/3)</f>
        <v/>
      </c>
      <c r="I19" s="33">
        <f>IF(COUNT(K19:AG19)=0,"",AB19*3+AC19*2+AD19*2+AE19*1)</f>
        <v/>
      </c>
      <c r="J19" s="33">
        <f>IF(COUNT(K19:AG19)=0,"",(AF19*5+AG19*5)/3)</f>
        <v/>
      </c>
      <c r="K19" s="52" t="n">
        <v>2</v>
      </c>
      <c r="L19" s="52" t="n">
        <v>1</v>
      </c>
      <c r="M19" s="52" t="n">
        <v>1</v>
      </c>
      <c r="N19" s="52" t="n">
        <v>1</v>
      </c>
      <c r="O19" s="3" t="inlineStr">
        <is>
          <t>O cara só fez o vídeo e rascunho, meio estilo case interview</t>
        </is>
      </c>
      <c r="P19" s="52" t="n">
        <v>2</v>
      </c>
      <c r="Q19" s="52" t="n">
        <v>2</v>
      </c>
      <c r="R19" s="52" t="n">
        <v>1</v>
      </c>
      <c r="S19" s="52" t="n">
        <v>1</v>
      </c>
      <c r="T19" s="53" t="n"/>
      <c r="U19" s="52" t="n"/>
      <c r="V19" s="52" t="n"/>
      <c r="W19" s="52" t="n">
        <v>3</v>
      </c>
      <c r="X19" s="52" t="n">
        <v>3</v>
      </c>
      <c r="Y19" s="52" t="n">
        <v>0</v>
      </c>
      <c r="Z19" s="52" t="n"/>
      <c r="AA19" s="53" t="n"/>
      <c r="AB19" s="52" t="n">
        <v>0</v>
      </c>
      <c r="AC19" s="52" t="n">
        <v>0</v>
      </c>
      <c r="AD19" s="52" t="n">
        <v>1</v>
      </c>
      <c r="AE19" s="52" t="n">
        <v>0</v>
      </c>
      <c r="AF19" s="52" t="n">
        <v>2</v>
      </c>
      <c r="AG19" s="52" t="n">
        <v>3</v>
      </c>
      <c r="AH19" s="53" t="n"/>
      <c r="AI19" s="3" t="inlineStr">
        <is>
          <t>2/3 Gmat na média, vídeo foi muito bem, citou todos projetos</t>
        </is>
      </c>
    </row>
    <row r="20" ht="14.25" customHeight="1" s="65">
      <c r="A20" s="53" t="n"/>
      <c r="B20" s="16" t="inlineStr">
        <is>
          <t>g278107@dac.unicamp.br</t>
        </is>
      </c>
      <c r="C20" s="3" t="inlineStr">
        <is>
          <t>Gustavo Daher Pereira</t>
        </is>
      </c>
      <c r="D20" s="3" t="inlineStr">
        <is>
          <t>Ferro</t>
        </is>
      </c>
      <c r="E20" s="32">
        <f>IF(COUNT(K20:AG20)=0,"",ROUND((F20+G20+H20+I20+J20)/10,2))</f>
        <v/>
      </c>
      <c r="F20" s="33">
        <f>IF(COUNT(K20:AG20)=0,"",(K20*10+L20*8+M20*7+N20*5)/3)</f>
        <v/>
      </c>
      <c r="G20" s="33">
        <f>IF(COUNT(K20:AG20)=0,"",(P20*8+Q20*7+R20*5+S20*5)/3)</f>
        <v/>
      </c>
      <c r="H20" s="33">
        <f>IF(COUNT(K20:AG20)=0,"",(U20*6+V20*6+W20*4+X20*3+Y20*3+Z20*3)/3)</f>
        <v/>
      </c>
      <c r="I20" s="33">
        <f>IF(COUNT(K20:AG20)=0,"",AB20*3+AC20*2+AD20*2+AE20*1)</f>
        <v/>
      </c>
      <c r="J20" s="33">
        <f>IF(COUNT(K20:AG20)=0,"",(AF20*5+AG20*5)/3)</f>
        <v/>
      </c>
      <c r="K20" s="52" t="n"/>
      <c r="L20" s="52" t="n"/>
      <c r="M20" s="52" t="n"/>
      <c r="N20" s="52" t="n"/>
      <c r="O20" s="53" t="n"/>
      <c r="P20" s="52" t="n"/>
      <c r="Q20" s="52" t="n"/>
      <c r="R20" s="52" t="n"/>
      <c r="S20" s="52" t="n"/>
      <c r="T20" s="53" t="n"/>
      <c r="U20" s="52" t="n"/>
      <c r="V20" s="52" t="n"/>
      <c r="W20" s="52" t="n"/>
      <c r="X20" s="52" t="n"/>
      <c r="Y20" s="52" t="n"/>
      <c r="Z20" s="52" t="n"/>
      <c r="AA20" s="53" t="n"/>
      <c r="AB20" s="52" t="n"/>
      <c r="AC20" s="52" t="n"/>
      <c r="AD20" s="52" t="n"/>
      <c r="AE20" s="52" t="n"/>
      <c r="AF20" s="52" t="n">
        <v>2</v>
      </c>
      <c r="AG20" s="52" t="n">
        <v>2</v>
      </c>
      <c r="AH20" s="53" t="n"/>
      <c r="AI20" s="3" t="inlineStr">
        <is>
          <t>2/3 Gmat. Mano esse cara é a definição de estar na média</t>
        </is>
      </c>
    </row>
    <row r="21" ht="14.25" customHeight="1" s="65">
      <c r="A21" s="54" t="n"/>
      <c r="B21" s="39" t="inlineStr">
        <is>
          <t>rickfilho2007@gmail.com</t>
        </is>
      </c>
      <c r="C21" s="54" t="inlineStr">
        <is>
          <t>Ricardo Augusto Schmitt Filho</t>
        </is>
      </c>
      <c r="D21" s="54" t="inlineStr">
        <is>
          <t>Ferro</t>
        </is>
      </c>
      <c r="E21" s="41">
        <f>IF(COUNT(K21:AG21)=0,"",ROUND((F21+G21+H21+I21+J21)/10,2))</f>
        <v/>
      </c>
      <c r="F21" s="42">
        <f>IF(COUNT(K21:AG21)=0,"",(K21*10+L21*8+M21*7+N21*5)/3)</f>
        <v/>
      </c>
      <c r="G21" s="42">
        <f>IF(COUNT(K21:AG21)=0,"",(P21*8+Q21*7+R21*5+S21*5)/3)</f>
        <v/>
      </c>
      <c r="H21" s="42">
        <f>IF(COUNT(K21:AG21)=0,"",(U21*6+V21*6+W21*4+X21*3+Y21*3+Z21*3)/3)</f>
        <v/>
      </c>
      <c r="I21" s="42">
        <f>IF(COUNT(K21:AG21)=0,"",AB21*3+AC21*2+AD21*2+AE21*1)</f>
        <v/>
      </c>
      <c r="J21" s="42">
        <f>IF(COUNT(K21:AG21)=0,"",(AF21*5+AG21*5)/3)</f>
        <v/>
      </c>
      <c r="K21" s="43" t="n">
        <v>3</v>
      </c>
      <c r="L21" s="43" t="n">
        <v>2</v>
      </c>
      <c r="M21" s="43" t="n">
        <v>2</v>
      </c>
      <c r="N21" s="43" t="n">
        <v>2</v>
      </c>
      <c r="O21" s="54" t="inlineStr">
        <is>
          <t xml:space="preserve">Acho q fez na moral o slide, sem ia </t>
        </is>
      </c>
      <c r="P21" s="43" t="n">
        <v>3</v>
      </c>
      <c r="Q21" s="43" t="n">
        <v>2</v>
      </c>
      <c r="R21" s="43" t="n">
        <v>1</v>
      </c>
      <c r="S21" s="43" t="n">
        <v>3</v>
      </c>
      <c r="T21" s="54" t="n"/>
      <c r="U21" s="43" t="n">
        <v>3</v>
      </c>
      <c r="V21" s="43" t="n">
        <v>3</v>
      </c>
      <c r="W21" s="43" t="n">
        <v>3</v>
      </c>
      <c r="X21" s="43" t="n">
        <v>3</v>
      </c>
      <c r="Y21" s="43" t="n">
        <v>3</v>
      </c>
      <c r="Z21" s="54" t="n"/>
      <c r="AA21" s="54" t="n"/>
      <c r="AB21" s="43" t="n">
        <v>1</v>
      </c>
      <c r="AC21" s="43" t="n">
        <v>1</v>
      </c>
      <c r="AD21" s="43" t="n">
        <v>1</v>
      </c>
      <c r="AE21" s="43" t="n">
        <v>1</v>
      </c>
      <c r="AF21" s="43" t="n">
        <v>2</v>
      </c>
      <c r="AG21" s="43" t="n">
        <v>2</v>
      </c>
      <c r="AH21" s="54" t="n"/>
      <c r="AI21" s="54" t="inlineStr">
        <is>
          <t>2/3 Gmat, falou bem, mas parecia ler as vezes</t>
        </is>
      </c>
    </row>
    <row r="22" ht="18.75" customHeight="1" s="65">
      <c r="A22" s="53" t="n"/>
      <c r="B22" s="16" t="inlineStr">
        <is>
          <t>m306365@dac.unicamp.br</t>
        </is>
      </c>
      <c r="C22" s="3" t="inlineStr">
        <is>
          <t>Matheus Dias Freitas</t>
        </is>
      </c>
      <c r="D22" s="3" t="inlineStr">
        <is>
          <t>Ferro</t>
        </is>
      </c>
      <c r="E22" s="32">
        <f>IF(COUNT(K22:AG22)=0,"",ROUND((F22+G22+H22+I22+J22)/10,2))</f>
        <v/>
      </c>
      <c r="F22" s="33">
        <f>IF(COUNT(K22:AG22)=0,"",(K22*10+L22*8+M22*7+N22*5)/3)</f>
        <v/>
      </c>
      <c r="G22" s="33">
        <f>IF(COUNT(K22:AG22)=0,"",(P22*8+Q22*7+R22*5+S22*5)/3)</f>
        <v/>
      </c>
      <c r="H22" s="33">
        <f>IF(COUNT(K22:AG22)=0,"",(U22*6+V22*6+W22*4+X22*3+Y22*3+Z22*3)/3)</f>
        <v/>
      </c>
      <c r="I22" s="33">
        <f>IF(COUNT(K22:AG22)=0,"",AB22*3+AC22*2+AD22*2+AE22*1)</f>
        <v/>
      </c>
      <c r="J22" s="33">
        <f>IF(COUNT(K22:AG22)=0,"",(AF22*5+AG22*5)/3)</f>
        <v/>
      </c>
      <c r="K22" s="52" t="n"/>
      <c r="L22" s="52" t="n"/>
      <c r="M22" s="52" t="n"/>
      <c r="N22" s="52" t="n"/>
      <c r="O22" s="53" t="n"/>
      <c r="P22" s="52" t="n"/>
      <c r="Q22" s="52" t="n"/>
      <c r="R22" s="52" t="n"/>
      <c r="S22" s="52" t="n"/>
      <c r="T22" s="53" t="n"/>
      <c r="U22" s="52" t="n"/>
      <c r="V22" s="52" t="n"/>
      <c r="W22" s="52" t="n"/>
      <c r="X22" s="52" t="n"/>
      <c r="Y22" s="52" t="n"/>
      <c r="Z22" s="52" t="n"/>
      <c r="AA22" s="53" t="n"/>
      <c r="AB22" s="52" t="n"/>
      <c r="AC22" s="52" t="n"/>
      <c r="AD22" s="52" t="n"/>
      <c r="AE22" s="52" t="n"/>
      <c r="AF22" s="52" t="n">
        <v>0</v>
      </c>
      <c r="AG22" s="52" t="n">
        <v>0</v>
      </c>
      <c r="AH22" s="53" t="n"/>
      <c r="AI22" s="3" t="inlineStr">
        <is>
          <t>(BIXO) Vídeo de toca e perguntou se o gmat era em inglês mesmo, reportado</t>
        </is>
      </c>
    </row>
    <row r="23" ht="18.75" customHeight="1" s="65">
      <c r="A23" s="53" t="n"/>
      <c r="B23" s="16" t="inlineStr">
        <is>
          <t>k267983@dac.unicamp.br</t>
        </is>
      </c>
      <c r="C23" s="3" t="inlineStr">
        <is>
          <t>Klaus Augusto Santos da Silva</t>
        </is>
      </c>
      <c r="D23" s="3" t="inlineStr">
        <is>
          <t>Ferro</t>
        </is>
      </c>
      <c r="E23" s="32">
        <f>IF(COUNT(K23:AG23)=0,"",ROUND((F23+G23+H23+I23+J23)/10,2))</f>
        <v/>
      </c>
      <c r="F23" s="33">
        <f>IF(COUNT(K23:AG23)=0,"",(K23*10+L23*8+M23*7+N23*5)/3)</f>
        <v/>
      </c>
      <c r="G23" s="33">
        <f>IF(COUNT(K23:AG23)=0,"",(P23*8+Q23*7+R23*5+S23*5)/3)</f>
        <v/>
      </c>
      <c r="H23" s="33">
        <f>IF(COUNT(K23:AG23)=0,"",(U23*6+V23*6+W23*4+X23*3+Y23*3+Z23*3)/3)</f>
        <v/>
      </c>
      <c r="I23" s="33">
        <f>IF(COUNT(K23:AG23)=0,"",AB23*3+AC23*2+AD23*2+AE23*1)</f>
        <v/>
      </c>
      <c r="J23" s="33">
        <f>IF(COUNT(K23:AG23)=0,"",(AF23*5+AG23*5)/3)</f>
        <v/>
      </c>
      <c r="K23" s="52" t="n">
        <v>0</v>
      </c>
      <c r="L23" s="52" t="n">
        <v>1</v>
      </c>
      <c r="M23" s="52" t="n">
        <v>1</v>
      </c>
      <c r="N23" s="52" t="n">
        <v>1</v>
      </c>
      <c r="O23" s="3" t="inlineStr">
        <is>
          <t>Do mesmo jeito que ele usou IA pra tudo, podemos usar IA no lugar dele.</t>
        </is>
      </c>
      <c r="P23" s="52" t="n">
        <v>1</v>
      </c>
      <c r="Q23" s="52" t="n">
        <v>0</v>
      </c>
      <c r="R23" s="52" t="n">
        <v>1</v>
      </c>
      <c r="S23" s="52" t="n">
        <v>0</v>
      </c>
      <c r="T23" s="53" t="n"/>
      <c r="U23" s="52" t="n">
        <v>3</v>
      </c>
      <c r="V23" s="52" t="n">
        <v>3</v>
      </c>
      <c r="W23" s="52" t="n">
        <v>1</v>
      </c>
      <c r="X23" s="52" t="n">
        <v>0</v>
      </c>
      <c r="Y23" s="52" t="n">
        <v>0</v>
      </c>
      <c r="Z23" s="52" t="n"/>
      <c r="AA23" s="53" t="n"/>
      <c r="AB23" s="52" t="n">
        <v>0</v>
      </c>
      <c r="AC23" s="52" t="n">
        <v>1</v>
      </c>
      <c r="AD23" s="52" t="n">
        <v>0</v>
      </c>
      <c r="AE23" s="52" t="n">
        <v>0</v>
      </c>
      <c r="AF23" s="52" t="n">
        <v>2</v>
      </c>
      <c r="AG23" s="52" t="n">
        <v>1</v>
      </c>
      <c r="AH23" s="53" t="n"/>
      <c r="AI23" s="3" t="inlineStr">
        <is>
          <t>Achei o vídeo meio merda, ele fala bem, mas achei q falou umas coisas nada a ver</t>
        </is>
      </c>
    </row>
    <row r="24" ht="18.75" customHeight="1" s="65">
      <c r="A24" s="53" t="n"/>
      <c r="B24" s="36" t="inlineStr">
        <is>
          <t>r302729@dac.unicamp.br</t>
        </is>
      </c>
      <c r="C24" s="3" t="inlineStr">
        <is>
          <t>Rafael Rodrigues Moreira</t>
        </is>
      </c>
      <c r="D24" s="3" t="inlineStr">
        <is>
          <t>Ferro</t>
        </is>
      </c>
      <c r="E24" s="32">
        <f>IF(COUNT(K24:AG24)=0,"",ROUND((F24+G24+H24+I24+J24)/10,2))</f>
        <v/>
      </c>
      <c r="F24" s="33">
        <f>IF(COUNT(K24:AG24)=0,"",(K24*10+L24*8+M24*7+N24*5)/3)</f>
        <v/>
      </c>
      <c r="G24" s="33">
        <f>IF(COUNT(K24:AG24)=0,"",(P24*8+Q24*7+R24*5+S24*5)/3)</f>
        <v/>
      </c>
      <c r="H24" s="33">
        <f>IF(COUNT(K24:AG24)=0,"",(U24*6+V24*6+W24*4+X24*3+Y24*3+Z24*3)/3)</f>
        <v/>
      </c>
      <c r="I24" s="33">
        <f>IF(COUNT(K24:AG24)=0,"",AB24*3+AC24*2+AD24*2+AE24*1)</f>
        <v/>
      </c>
      <c r="J24" s="33">
        <f>IF(COUNT(K24:AG24)=0,"",(AF24*5+AG24*5)/3)</f>
        <v/>
      </c>
      <c r="K24" s="52" t="n">
        <v>2</v>
      </c>
      <c r="L24" s="52" t="n">
        <v>3</v>
      </c>
      <c r="M24" s="52" t="n">
        <v>2</v>
      </c>
      <c r="N24" s="52" t="n">
        <v>3</v>
      </c>
      <c r="O24" s="3" t="inlineStr">
        <is>
          <t>Fez vídeo, diferencial ótimo, e falou bem no vídeo</t>
        </is>
      </c>
      <c r="P24" s="52" t="n">
        <v>3</v>
      </c>
      <c r="Q24" s="52" t="n">
        <v>2</v>
      </c>
      <c r="R24" s="52" t="n">
        <v>2</v>
      </c>
      <c r="S24" s="52" t="n">
        <v>2</v>
      </c>
      <c r="T24" s="53" t="n"/>
      <c r="U24" s="52" t="n">
        <v>2</v>
      </c>
      <c r="V24" s="52" t="n">
        <v>3</v>
      </c>
      <c r="W24" s="52" t="n">
        <v>2</v>
      </c>
      <c r="X24" s="52" t="n">
        <v>2</v>
      </c>
      <c r="Y24" s="52" t="n">
        <v>1</v>
      </c>
      <c r="Z24" s="52" t="n"/>
      <c r="AA24" s="3" t="inlineStr">
        <is>
          <t>Faltou risco e próximos passos mesmo</t>
        </is>
      </c>
      <c r="AB24" s="52" t="n">
        <v>0</v>
      </c>
      <c r="AC24" s="52" t="n">
        <v>1</v>
      </c>
      <c r="AD24" s="52" t="n">
        <v>1</v>
      </c>
      <c r="AE24" s="52" t="n">
        <v>3</v>
      </c>
      <c r="AF24" s="52" t="n">
        <v>2</v>
      </c>
      <c r="AG24" s="52" t="n">
        <v>3</v>
      </c>
      <c r="AH24" s="3" t="inlineStr">
        <is>
          <t>Slide com IA, mas fez vídeo, estudou pro case</t>
        </is>
      </c>
      <c r="AI24" s="3" t="inlineStr">
        <is>
          <t>(BIXO) Mas falou bem, tava lendo, mas sempre cola nas palestras</t>
        </is>
      </c>
    </row>
    <row r="25" ht="18.75" customHeight="1" s="65">
      <c r="A25" s="53" t="n"/>
      <c r="B25" s="36" t="inlineStr">
        <is>
          <t>c258388@dac.unicamp.br</t>
        </is>
      </c>
      <c r="C25" s="3" t="inlineStr">
        <is>
          <t>Caio Augusto Saab</t>
        </is>
      </c>
      <c r="D25" s="3" t="inlineStr">
        <is>
          <t>luis</t>
        </is>
      </c>
      <c r="E25" s="32">
        <f>IF(COUNT(K25:AG25)=0,"",ROUND((F25+G25+H25+I25+J25)/10,2))</f>
        <v/>
      </c>
      <c r="F25" s="33">
        <f>IF(COUNT(K25:AG25)=0,"",(K25*10+L25*8+M25*7+N25*5)/3)</f>
        <v/>
      </c>
      <c r="G25" s="33">
        <f>IF(COUNT(K25:AG25)=0,"",(P25*8+Q25*7+R25*5+S25*5)/3)</f>
        <v/>
      </c>
      <c r="H25" s="33">
        <f>IF(COUNT(K25:AG25)=0,"",(U25*6+V25*6+W25*4+X25*3+Y25*3+Z25*3)/3)</f>
        <v/>
      </c>
      <c r="I25" s="33">
        <f>IF(COUNT(K25:AG25)=0,"",AB25*3+AC25*2+AD25*2+AE25*1)</f>
        <v/>
      </c>
      <c r="J25" s="33">
        <f>IF(COUNT(K25:AG25)=0,"",(AF25*5+AG25*5)/3)</f>
        <v/>
      </c>
      <c r="K25" s="52" t="n">
        <v>1</v>
      </c>
      <c r="L25" s="52" t="n">
        <v>1</v>
      </c>
      <c r="M25" s="52" t="n">
        <v>1</v>
      </c>
      <c r="N25" s="52" t="n">
        <v>0</v>
      </c>
      <c r="O25" s="53" t="n"/>
      <c r="P25" s="52" t="n">
        <v>1</v>
      </c>
      <c r="Q25" s="52" t="n">
        <v>0</v>
      </c>
      <c r="R25" s="52" t="n">
        <v>0</v>
      </c>
      <c r="S25" s="52" t="n">
        <v>0</v>
      </c>
      <c r="T25" s="53" t="n"/>
      <c r="U25" s="52" t="n">
        <v>3</v>
      </c>
      <c r="V25" s="52" t="n">
        <v>3</v>
      </c>
      <c r="W25" s="52" t="n">
        <v>1</v>
      </c>
      <c r="X25" s="52" t="n">
        <v>0</v>
      </c>
      <c r="Y25" s="52" t="n">
        <v>0</v>
      </c>
      <c r="Z25" s="52" t="n"/>
      <c r="AA25" s="53" t="n"/>
      <c r="AB25" s="52" t="n">
        <v>0</v>
      </c>
      <c r="AC25" s="52" t="n">
        <v>1</v>
      </c>
      <c r="AD25" s="52" t="n">
        <v>0</v>
      </c>
      <c r="AE25" s="52" t="n">
        <v>0</v>
      </c>
      <c r="AF25" s="52" t="n">
        <v>2</v>
      </c>
      <c r="AG25" s="52" t="n">
        <v>2</v>
      </c>
      <c r="AH25" s="53" t="n"/>
      <c r="AI25" s="3" t="inlineStr">
        <is>
          <t>fala com pouca naturalidade e sem motivo concreto</t>
        </is>
      </c>
    </row>
    <row r="26" ht="18.75" customHeight="1" s="65">
      <c r="A26" s="54" t="n"/>
      <c r="B26" s="47" t="inlineStr">
        <is>
          <t>j260826@dac.unicamp.br</t>
        </is>
      </c>
      <c r="C26" s="54" t="inlineStr">
        <is>
          <t>José Vitor Dias Tutu</t>
        </is>
      </c>
      <c r="D26" s="54" t="inlineStr">
        <is>
          <t>luis</t>
        </is>
      </c>
      <c r="E26" s="48">
        <f>IF(COUNT(K26:AG26)=0,"",ROUND((F26+G26+H26+I26+J26)/10,2))</f>
        <v/>
      </c>
      <c r="F26" s="42">
        <f>IF(COUNT(K26:AG26)=0,"",(K26*10+L26*8+M26*7+N26*5)/3)</f>
        <v/>
      </c>
      <c r="G26" s="42">
        <f>IF(COUNT(K26:AG26)=0,"",(P26*8+Q26*7+R26*5+S26*5)/3)</f>
        <v/>
      </c>
      <c r="H26" s="42">
        <f>IF(COUNT(K26:AG26)=0,"",(U26*6+V26*6+W26*4+X26*3+Y26*3+Z26*3)/3)</f>
        <v/>
      </c>
      <c r="I26" s="42">
        <f>IF(COUNT(K26:AG26)=0,"",AB26*3+AC26*2+AD26*2+AE26*1)</f>
        <v/>
      </c>
      <c r="J26" s="42">
        <f>IF(COUNT(K26:AG26)=0,"",(AF26*5+AG26*5)/3)</f>
        <v/>
      </c>
      <c r="K26" s="43" t="n">
        <v>1</v>
      </c>
      <c r="L26" s="43" t="n">
        <v>1</v>
      </c>
      <c r="M26" s="43" t="n">
        <v>1</v>
      </c>
      <c r="N26" s="43" t="n">
        <v>1</v>
      </c>
      <c r="O26" s="54" t="inlineStr">
        <is>
          <t>Esse cara nem se deu o trabalho de mudar o que a ia fez já ta reprovado</t>
        </is>
      </c>
      <c r="P26" s="43" t="n">
        <v>1</v>
      </c>
      <c r="Q26" s="43" t="n">
        <v>1</v>
      </c>
      <c r="R26" s="43" t="n">
        <v>1</v>
      </c>
      <c r="S26" s="43" t="n">
        <v>1</v>
      </c>
      <c r="T26" s="54" t="n"/>
      <c r="U26" s="43" t="n">
        <v>1</v>
      </c>
      <c r="V26" s="43" t="n">
        <v>1</v>
      </c>
      <c r="W26" s="43" t="n">
        <v>1</v>
      </c>
      <c r="X26" s="43" t="n">
        <v>1</v>
      </c>
      <c r="Y26" s="43" t="n">
        <v>1</v>
      </c>
      <c r="Z26" s="43" t="n">
        <v>1</v>
      </c>
      <c r="AA26" s="54" t="n"/>
      <c r="AB26" s="43" t="n">
        <v>0</v>
      </c>
      <c r="AC26" s="43" t="n">
        <v>1</v>
      </c>
      <c r="AD26" s="43" t="n">
        <v>0</v>
      </c>
      <c r="AE26" s="43" t="n">
        <v>1</v>
      </c>
      <c r="AF26" s="43" t="n">
        <v>3</v>
      </c>
      <c r="AG26" s="43" t="n">
        <v>2</v>
      </c>
      <c r="AH26" s="54" t="n"/>
      <c r="AI26" s="54" t="inlineStr">
        <is>
          <t>n falou nada do CCU</t>
        </is>
      </c>
    </row>
    <row r="27" ht="18.75" customHeight="1" s="65">
      <c r="A27" s="53" t="n"/>
      <c r="B27" s="36" t="inlineStr">
        <is>
          <t xml:space="preserve">i253464@dac.unicamp.br
</t>
        </is>
      </c>
      <c r="C27" s="3" t="inlineStr">
        <is>
          <t>Isadora Kluge Dorigan</t>
        </is>
      </c>
      <c r="D27" s="3" t="inlineStr">
        <is>
          <t>Proc</t>
        </is>
      </c>
      <c r="E27" s="32">
        <f>IF(COUNT(K27:AG27)=0,"",ROUND((F27+G27+H27+I27+J27)/10,2))</f>
        <v/>
      </c>
      <c r="F27" s="33">
        <f>IF(COUNT(K27:AG27)=0,"",(K27*10+L27*8+M27*7+N27*5)/3)</f>
        <v/>
      </c>
      <c r="G27" s="33">
        <f>IF(COUNT(K27:AG27)=0,"",(P27*8+Q27*7+R27*5+S27*5)/3)</f>
        <v/>
      </c>
      <c r="H27" s="33">
        <f>IF(COUNT(K27:AG27)=0,"",(U27*6+V27*6+W27*4+X27*3+Y27*3+Z27*3)/3)</f>
        <v/>
      </c>
      <c r="I27" s="33">
        <f>IF(COUNT(K27:AG27)=0,"",AB27*3+AC27*2+AD27*2+AE27*1)</f>
        <v/>
      </c>
      <c r="J27" s="33">
        <f>IF(COUNT(K27:AG27)=0,"",(AF27*5+AG27*5)/3)</f>
        <v/>
      </c>
      <c r="K27" s="52" t="n">
        <v>1</v>
      </c>
      <c r="L27" s="52" t="n">
        <v>3</v>
      </c>
      <c r="M27" s="52" t="n">
        <v>2</v>
      </c>
      <c r="N27" s="52" t="n">
        <v>2</v>
      </c>
      <c r="O27" s="3" t="inlineStr">
        <is>
          <t>Gravou vídeo também, falou bem, slide IA, acho</t>
        </is>
      </c>
      <c r="P27" s="52" t="n">
        <v>3</v>
      </c>
      <c r="Q27" s="52" t="n">
        <v>2</v>
      </c>
      <c r="R27" s="52" t="n">
        <v>2</v>
      </c>
      <c r="S27" s="52" t="n">
        <v>2</v>
      </c>
      <c r="T27" s="53" t="n"/>
      <c r="U27" s="52" t="n">
        <v>3</v>
      </c>
      <c r="V27" s="52" t="n">
        <v>3</v>
      </c>
      <c r="W27" s="52" t="n">
        <v>2</v>
      </c>
      <c r="X27" s="52" t="n">
        <v>2</v>
      </c>
      <c r="Y27" s="52" t="n">
        <v>3</v>
      </c>
      <c r="Z27" s="52" t="n"/>
      <c r="AA27" s="53" t="n"/>
      <c r="AB27" s="52" t="n">
        <v>0</v>
      </c>
      <c r="AC27" s="52" t="n">
        <v>0</v>
      </c>
      <c r="AD27" s="52" t="n">
        <v>1</v>
      </c>
      <c r="AE27" s="52" t="n">
        <v>2</v>
      </c>
      <c r="AF27" s="52" t="n">
        <v>2</v>
      </c>
      <c r="AG27" s="52" t="n">
        <v>3</v>
      </c>
      <c r="AH27" s="53" t="n"/>
      <c r="AI27" s="3" t="inlineStr">
        <is>
          <t>43% do GMAT. Senti que lia. Falou bem. Trajetória sólida.</t>
        </is>
      </c>
    </row>
    <row r="28" ht="14.25" customHeight="1" s="65">
      <c r="A28" s="53" t="n"/>
      <c r="B28" s="49" t="inlineStr">
        <is>
          <t>SEGUNDO AVALIADOR</t>
        </is>
      </c>
      <c r="C28" s="50" t="inlineStr">
        <is>
          <t>SEGUNDO AVALIADOR</t>
        </is>
      </c>
      <c r="D28" s="53" t="n"/>
      <c r="E28" s="32">
        <f>IF(COUNT(K28:AG28)=0,"",ROUND((F28+G28+H28+I28+J28)/10,2))</f>
        <v/>
      </c>
      <c r="F28" s="33">
        <f>IF(COUNT(K28:AG28)=0,"",(K28*10+L28*8+M28*7+N28*5)/3)</f>
        <v/>
      </c>
      <c r="G28" s="33">
        <f>IF(COUNT(K28:AG28)=0,"",(P28*8+Q28*7+R28*5+S28*5)/3)</f>
        <v/>
      </c>
      <c r="H28" s="33">
        <f>IF(COUNT(K28:AG28)=0,"",(U28*6+V28*6+W28*4+X28*3+Y28*3+Z28*3)/3)</f>
        <v/>
      </c>
      <c r="I28" s="33">
        <f>IF(COUNT(K28:AG28)=0,"",AB28*3+AC28*2+AD28*2+AE28*1)</f>
        <v/>
      </c>
      <c r="J28" s="33">
        <f>IF(COUNT(K28:AG28)=0,"",(AF28*5+AG28*5)/3)</f>
        <v/>
      </c>
      <c r="K28" s="52" t="n"/>
      <c r="L28" s="52" t="n"/>
      <c r="M28" s="52" t="n"/>
      <c r="N28" s="52" t="n"/>
      <c r="O28" s="53" t="n"/>
      <c r="P28" s="52" t="n"/>
      <c r="Q28" s="52" t="n"/>
      <c r="R28" s="52" t="n"/>
      <c r="S28" s="52" t="n"/>
      <c r="T28" s="53" t="n"/>
      <c r="U28" s="52" t="n"/>
      <c r="V28" s="52" t="n"/>
      <c r="W28" s="52" t="n"/>
      <c r="X28" s="52" t="n"/>
      <c r="Y28" s="52" t="n"/>
      <c r="Z28" s="52" t="n"/>
      <c r="AA28" s="53" t="n"/>
      <c r="AB28" s="52" t="n"/>
      <c r="AC28" s="52" t="n"/>
      <c r="AD28" s="52" t="n"/>
      <c r="AE28" s="52" t="n"/>
      <c r="AF28" s="52" t="n"/>
      <c r="AG28" s="52" t="n"/>
      <c r="AH28" s="53" t="n"/>
      <c r="AI28" s="53" t="n"/>
    </row>
    <row r="29" ht="14.25" customHeight="1" s="65">
      <c r="A29" s="53" t="n"/>
      <c r="B29" s="54" t="inlineStr">
        <is>
          <t>g278083@dac.unicamp.br</t>
        </is>
      </c>
      <c r="C29" s="54" t="inlineStr">
        <is>
          <t>Gabrielle Cristofani do Rosario</t>
        </is>
      </c>
      <c r="D29" s="3" t="inlineStr">
        <is>
          <t>Fred</t>
        </is>
      </c>
      <c r="E29" s="32">
        <f>IF(COUNT(K29:AG29)=0,"",ROUND((F29+G29+H29+I29+J29)/10,2))</f>
        <v/>
      </c>
      <c r="F29" s="33">
        <f>IF(COUNT(K29:AG29)=0,"",(K29*10+L29*8+M29*7+N29*5)/3)</f>
        <v/>
      </c>
      <c r="G29" s="33">
        <f>IF(COUNT(K29:AG29)=0,"",(P29*8+Q29*7+R29*5+S29*5)/3)</f>
        <v/>
      </c>
      <c r="H29" s="33">
        <f>IF(COUNT(K29:AG29)=0,"",(U29*6+V29*6+W29*4+X29*3+Y29*3+Z29*3)/3)</f>
        <v/>
      </c>
      <c r="I29" s="33">
        <f>IF(COUNT(K29:AG29)=0,"",AB29*3+AC29*2+AD29*2+AE29*1)</f>
        <v/>
      </c>
      <c r="J29" s="33">
        <f>IF(COUNT(K29:AG29)=0,"",(AF29*5+AG29*5)/3)</f>
        <v/>
      </c>
      <c r="K29" s="52" t="n">
        <v>2</v>
      </c>
      <c r="L29" s="52" t="n">
        <v>2</v>
      </c>
      <c r="M29" s="52" t="n">
        <v>2</v>
      </c>
      <c r="N29" s="52" t="n">
        <v>2</v>
      </c>
      <c r="O29" s="53" t="n"/>
      <c r="P29" s="52" t="n">
        <v>3</v>
      </c>
      <c r="Q29" s="52" t="n">
        <v>2</v>
      </c>
      <c r="R29" s="52" t="n">
        <v>1</v>
      </c>
      <c r="S29" s="52" t="n">
        <v>1</v>
      </c>
      <c r="T29" s="53" t="n"/>
      <c r="U29" s="52" t="n">
        <v>3</v>
      </c>
      <c r="V29" s="52" t="n">
        <v>3</v>
      </c>
      <c r="W29" s="52" t="n">
        <v>2</v>
      </c>
      <c r="X29" s="52" t="n">
        <v>2</v>
      </c>
      <c r="Y29" s="52" t="n">
        <v>2</v>
      </c>
      <c r="Z29" s="52" t="n"/>
      <c r="AA29" s="53" t="n"/>
      <c r="AB29" s="52" t="n">
        <v>1</v>
      </c>
      <c r="AC29" s="52" t="n">
        <v>1</v>
      </c>
      <c r="AD29" s="52" t="n">
        <v>0</v>
      </c>
      <c r="AE29" s="52" t="n">
        <v>3</v>
      </c>
      <c r="AF29" s="52" t="n">
        <v>3</v>
      </c>
      <c r="AG29" s="52" t="n">
        <v>2</v>
      </c>
      <c r="AH29" s="53" t="n"/>
      <c r="AI29" s="3" t="inlineStr">
        <is>
          <t>feagri 3° ano de curso, falou bem, mas foi generica em falar de consultoria</t>
        </is>
      </c>
    </row>
    <row r="30" ht="14.25" customHeight="1" s="65">
      <c r="A30" s="54" t="n"/>
      <c r="B30" s="54" t="inlineStr">
        <is>
          <t>b309603@dac.unicamp.br</t>
        </is>
      </c>
      <c r="C30" s="54" t="inlineStr">
        <is>
          <t>Bruno Heberth Oliveira Bastos</t>
        </is>
      </c>
      <c r="D30" s="54" t="inlineStr">
        <is>
          <t>Fred</t>
        </is>
      </c>
      <c r="E30" s="51">
        <f>IF(COUNT(K30:AG30)=0,"",ROUND((F30+G30+H30+I30+J30)/10,2))</f>
        <v/>
      </c>
      <c r="F30" s="42">
        <f>IF(COUNT(K30:AG30)=0,"",(K30*10+L30*8+M30*7+N30*5)/3)</f>
        <v/>
      </c>
      <c r="G30" s="42">
        <f>IF(COUNT(K30:AG30)=0,"",(P30*8+Q30*7+R30*5+S30*5)/3)</f>
        <v/>
      </c>
      <c r="H30" s="42">
        <f>IF(COUNT(K30:AG30)=0,"",(U30*6+V30*6+W30*4+X30*3+Y30*3+Z30*3)/3)</f>
        <v/>
      </c>
      <c r="I30" s="42">
        <f>IF(COUNT(K30:AG30)=0,"",AB30*3+AC30*2+AD30*2+AE30*1)</f>
        <v/>
      </c>
      <c r="J30" s="42">
        <f>IF(COUNT(K30:AG30)=0,"",(AF30*5+AG30*5)/3)</f>
        <v/>
      </c>
      <c r="K30" s="43" t="n">
        <v>3</v>
      </c>
      <c r="L30" s="43" t="n">
        <v>2</v>
      </c>
      <c r="M30" s="43" t="n">
        <v>1</v>
      </c>
      <c r="N30" s="43" t="n">
        <v>1</v>
      </c>
      <c r="O30" s="54" t="inlineStr">
        <is>
          <t xml:space="preserve">Bagulho inteiro de ia </t>
        </is>
      </c>
      <c r="P30" s="43" t="n">
        <v>2</v>
      </c>
      <c r="Q30" s="43" t="n">
        <v>1</v>
      </c>
      <c r="R30" s="43" t="n">
        <v>1</v>
      </c>
      <c r="S30" s="43" t="n">
        <v>1</v>
      </c>
      <c r="T30" s="54" t="n"/>
      <c r="U30" s="43" t="n">
        <v>3</v>
      </c>
      <c r="V30" s="43" t="n">
        <v>3</v>
      </c>
      <c r="W30" s="43" t="n">
        <v>2</v>
      </c>
      <c r="X30" s="43" t="n">
        <v>2</v>
      </c>
      <c r="Y30" s="43" t="n">
        <v>0</v>
      </c>
      <c r="Z30" s="54" t="n"/>
      <c r="AA30" s="54" t="n"/>
      <c r="AB30" s="43" t="n">
        <v>1</v>
      </c>
      <c r="AC30" s="43" t="n">
        <v>0</v>
      </c>
      <c r="AD30" s="43" t="n">
        <v>0</v>
      </c>
      <c r="AE30" s="43" t="n">
        <v>0</v>
      </c>
      <c r="AF30" s="43" t="n">
        <v>3</v>
      </c>
      <c r="AG30" s="43" t="n">
        <v>1</v>
      </c>
      <c r="AH30" s="54" t="n"/>
      <c r="AI30" s="54" t="n"/>
    </row>
    <row r="31" ht="15.75" customHeight="1" s="65">
      <c r="A31" s="53" t="n"/>
      <c r="B31" s="54" t="inlineStr">
        <is>
          <t>j309764@dac.unicamp.br</t>
        </is>
      </c>
      <c r="C31" s="54" t="inlineStr">
        <is>
          <t>JOÃO PEDRO STAMA</t>
        </is>
      </c>
      <c r="D31" s="3" t="inlineStr">
        <is>
          <t>Fred</t>
        </is>
      </c>
      <c r="E31" s="32">
        <f>IF(COUNT(K31:AG31)=0,"",ROUND((F31+G31+H31+I31+J31)/10,2))</f>
        <v/>
      </c>
      <c r="F31" s="33">
        <f>IF(COUNT(K31:AG31)=0,"",(K31*10+L31*8+M31*7+N31*5)/3)</f>
        <v/>
      </c>
      <c r="G31" s="33">
        <f>IF(COUNT(K31:AG31)=0,"",(P31*8+Q31*7+R31*5+S31*5)/3)</f>
        <v/>
      </c>
      <c r="H31" s="33">
        <f>IF(COUNT(K31:AG31)=0,"",(U31*6+V31*6+W31*4+X31*3+Y31*3+Z31*3)/3)</f>
        <v/>
      </c>
      <c r="I31" s="33">
        <f>IF(COUNT(K31:AG31)=0,"",AB31*3+AC31*2+AD31*2+AE31*1)</f>
        <v/>
      </c>
      <c r="J31" s="33">
        <f>IF(COUNT(K31:AG31)=0,"",(AF31*5+AG31*5)/3)</f>
        <v/>
      </c>
      <c r="K31" s="52" t="n"/>
      <c r="L31" s="52" t="n"/>
      <c r="M31" s="52" t="n"/>
      <c r="N31" s="52" t="n"/>
      <c r="O31" s="53" t="n"/>
      <c r="P31" s="52" t="n"/>
      <c r="Q31" s="52" t="n"/>
      <c r="R31" s="52" t="n"/>
      <c r="S31" s="52" t="n"/>
      <c r="T31" s="53" t="n"/>
      <c r="U31" s="52" t="n"/>
      <c r="V31" s="52" t="n"/>
      <c r="W31" s="52" t="n"/>
      <c r="X31" s="52" t="n"/>
      <c r="Y31" s="52" t="n"/>
      <c r="Z31" s="52" t="n"/>
      <c r="AA31" s="53" t="n"/>
      <c r="AB31" s="52" t="n"/>
      <c r="AC31" s="52" t="n"/>
      <c r="AD31" s="52" t="n"/>
      <c r="AE31" s="52" t="n"/>
      <c r="AF31" s="52" t="n">
        <v>1</v>
      </c>
      <c r="AG31" s="52" t="n">
        <v>2</v>
      </c>
      <c r="AH31" s="53" t="n"/>
      <c r="AI31" s="3" t="inlineStr">
        <is>
          <t>colou no gmat</t>
        </is>
      </c>
    </row>
    <row r="32" ht="14.25" customHeight="1" s="65">
      <c r="A32" s="53" t="n"/>
      <c r="B32" s="54" t="inlineStr">
        <is>
          <t>r238449@dac.unicamp.br</t>
        </is>
      </c>
      <c r="C32" s="54" t="inlineStr">
        <is>
          <t>Rafael Ponciano Rodrigues dos Santos</t>
        </is>
      </c>
      <c r="D32" s="3" t="inlineStr">
        <is>
          <t>Fred</t>
        </is>
      </c>
      <c r="E32" s="32">
        <f>IF(COUNT(K32:AG32)=0,"",ROUND((F32+G32+H32+I32+J32)/10,2))</f>
        <v/>
      </c>
      <c r="F32" s="33">
        <f>IF(COUNT(K32:AG32)=0,"",(K32*10+L32*8+M32*7+N32*5)/3)</f>
        <v/>
      </c>
      <c r="G32" s="33">
        <f>IF(COUNT(K32:AG32)=0,"",(P32*8+Q32*7+R32*5+S32*5)/3)</f>
        <v/>
      </c>
      <c r="H32" s="33">
        <f>IF(COUNT(K32:AG32)=0,"",(U32*6+V32*6+W32*4+X32*3+Y32*3+Z32*3)/3)</f>
        <v/>
      </c>
      <c r="I32" s="33">
        <f>IF(COUNT(K32:AG32)=0,"",AB32*3+AC32*2+AD32*2+AE32*1)</f>
        <v/>
      </c>
      <c r="J32" s="33">
        <f>IF(COUNT(K32:AG32)=0,"",(AF32*5+AG32*5)/3)</f>
        <v/>
      </c>
      <c r="K32" s="52" t="n">
        <v>3</v>
      </c>
      <c r="L32" s="52" t="n">
        <v>2</v>
      </c>
      <c r="M32" s="52" t="n">
        <v>2</v>
      </c>
      <c r="N32" s="52" t="n">
        <v>2</v>
      </c>
      <c r="O32" s="53" t="inlineStr">
        <is>
          <t>slides feitos por IA, mas no geral foi bem feito. falou bem no video e foi claro, o melhor dos que eu corrigi</t>
        </is>
      </c>
      <c r="P32" s="52" t="n">
        <v>3</v>
      </c>
      <c r="Q32" s="52" t="n">
        <v>3</v>
      </c>
      <c r="R32" s="52" t="n">
        <v>3</v>
      </c>
      <c r="S32" s="52" t="n">
        <v>3</v>
      </c>
      <c r="T32" s="53" t="n"/>
      <c r="U32" s="52" t="n">
        <v>3</v>
      </c>
      <c r="V32" s="52" t="n">
        <v>3</v>
      </c>
      <c r="W32" s="52" t="n">
        <v>2</v>
      </c>
      <c r="X32" s="52" t="n">
        <v>3</v>
      </c>
      <c r="Y32" s="52" t="n">
        <v>2</v>
      </c>
      <c r="Z32" s="52" t="n"/>
      <c r="AA32" s="53" t="n"/>
      <c r="AB32" s="52" t="n">
        <v>1</v>
      </c>
      <c r="AC32" s="52" t="n">
        <v>1</v>
      </c>
      <c r="AD32" s="52" t="n">
        <v>1</v>
      </c>
      <c r="AE32" s="52" t="n">
        <v>2</v>
      </c>
      <c r="AF32" s="52" t="n">
        <v>3</v>
      </c>
      <c r="AG32" s="52" t="n">
        <v>2</v>
      </c>
      <c r="AH32" s="53" t="n"/>
      <c r="AI32" s="3" t="inlineStr">
        <is>
          <t>Falou bem no vídeo (levemente robótico) e mandou bem no gmat</t>
        </is>
      </c>
    </row>
    <row r="33" ht="14.25" customHeight="1" s="65">
      <c r="A33" s="53" t="n"/>
      <c r="B33" s="54" t="inlineStr">
        <is>
          <t>enzo.gag17@gmail.com</t>
        </is>
      </c>
      <c r="C33" s="54" t="inlineStr">
        <is>
          <t>Enzo Chofakian Gagliardi</t>
        </is>
      </c>
      <c r="D33" s="3" t="inlineStr">
        <is>
          <t>Ferro</t>
        </is>
      </c>
      <c r="E33" s="32">
        <f>IF(COUNT(K33:AG33)=0,"",ROUND((F33+G33+H33+I33+J33)/10,2))</f>
        <v/>
      </c>
      <c r="F33" s="33">
        <f>IF(COUNT(K33:AG33)=0,"",(K33*10+L33*8+M33*7+N33*5)/3)</f>
        <v/>
      </c>
      <c r="G33" s="33">
        <f>IF(COUNT(K33:AG33)=0,"",(P33*8+Q33*7+R33*5+S33*5)/3)</f>
        <v/>
      </c>
      <c r="H33" s="33">
        <f>IF(COUNT(K33:AG33)=0,"",(U33*6+V33*6+W33*4+X33*3+Y33*3+Z33*3)/3)</f>
        <v/>
      </c>
      <c r="I33" s="33">
        <f>IF(COUNT(K33:AG33)=0,"",AB33*3+AC33*2+AD33*2+AE33*1)</f>
        <v/>
      </c>
      <c r="J33" s="33">
        <f>IF(COUNT(K33:AG33)=0,"",(AF33*5+AG33*5)/3)</f>
        <v/>
      </c>
      <c r="K33" s="52" t="n">
        <v>3</v>
      </c>
      <c r="L33" s="52" t="n">
        <v>2</v>
      </c>
      <c r="M33" s="52" t="n">
        <v>2</v>
      </c>
      <c r="N33" s="52" t="n">
        <v>2</v>
      </c>
      <c r="O33" s="3" t="inlineStr">
        <is>
          <t>Slide feito por IA</t>
        </is>
      </c>
      <c r="P33" s="52" t="n">
        <v>2</v>
      </c>
      <c r="Q33" s="52" t="n">
        <v>2</v>
      </c>
      <c r="R33" s="52" t="n">
        <v>2</v>
      </c>
      <c r="S33" s="52" t="n">
        <v>1</v>
      </c>
      <c r="T33" s="3" t="inlineStr">
        <is>
          <t>Excel feito por IA também</t>
        </is>
      </c>
      <c r="U33" s="52" t="n">
        <v>3</v>
      </c>
      <c r="V33" s="52" t="n">
        <v>3</v>
      </c>
      <c r="W33" s="52" t="n">
        <v>2</v>
      </c>
      <c r="X33" s="52" t="n">
        <v>1</v>
      </c>
      <c r="Y33" s="52" t="n">
        <v>2</v>
      </c>
      <c r="Z33" s="52" t="n"/>
      <c r="AA33" s="53" t="n"/>
      <c r="AB33" s="52" t="n">
        <v>1</v>
      </c>
      <c r="AC33" s="52" t="n">
        <v>1</v>
      </c>
      <c r="AD33" s="52" t="n">
        <v>0</v>
      </c>
      <c r="AE33" s="52" t="n">
        <v>3</v>
      </c>
      <c r="AF33" s="52" t="n">
        <v>2</v>
      </c>
      <c r="AG33" s="52" t="n">
        <v>2</v>
      </c>
      <c r="AH33" s="53" t="n"/>
      <c r="AI33" s="3" t="inlineStr">
        <is>
          <t>Acho q da pra passar, foi bem até</t>
        </is>
      </c>
    </row>
    <row r="34" ht="14.25" customHeight="1" s="65">
      <c r="A34" s="53" t="n"/>
      <c r="B34" s="54" t="inlineStr">
        <is>
          <t>e278588@dac.unicamp.br</t>
        </is>
      </c>
      <c r="C34" s="54" t="inlineStr">
        <is>
          <t>Enrico Tristão e Mello de Oliveira</t>
        </is>
      </c>
      <c r="D34" s="3" t="inlineStr">
        <is>
          <t>Matteo</t>
        </is>
      </c>
      <c r="E34" s="32" t="n">
        <v>8.83</v>
      </c>
      <c r="F34" s="33" t="n">
        <v>27.33</v>
      </c>
      <c r="G34" s="33" t="n">
        <v>25</v>
      </c>
      <c r="H34" s="33" t="n">
        <v>21</v>
      </c>
      <c r="I34" s="33" t="n">
        <v>10</v>
      </c>
      <c r="J34" s="33" t="n">
        <v>5</v>
      </c>
      <c r="K34" s="52" t="n">
        <v>3</v>
      </c>
      <c r="L34" s="52" t="n">
        <v>2</v>
      </c>
      <c r="M34" s="52" t="n">
        <v>3</v>
      </c>
      <c r="N34" s="52" t="n">
        <v>3</v>
      </c>
      <c r="O34" s="73" t="inlineStr">
        <is>
          <t>Recomendação no slide 2 com R$ 27,84 mi. O arco fecha lendo só os títulos. Arquivo enviado como Enrico hhh.pptx e numeração das seções trocada entre os slides 7 e 8.</t>
        </is>
      </c>
      <c r="P34" s="52" t="n">
        <v>3</v>
      </c>
      <c r="Q34" s="52" t="n">
        <v>3</v>
      </c>
      <c r="R34" s="52" t="n">
        <v>3</v>
      </c>
      <c r="S34" s="52" t="n">
        <v>3</v>
      </c>
      <c r="T34" s="73" t="inlineStr">
        <is>
          <t>Calculou de quanto o banco teria de cair para os armários empatarem: R$ 24 mil na Estação e R$ 56 mil em Noite Alta. Viu que o case não modela custo de coordenação e calculou que R$ 1,15 mil por posição zeraria a vantagem dos parceiros, virando gate do piloto.</t>
        </is>
      </c>
      <c r="U34" s="52" t="n">
        <v>3</v>
      </c>
      <c r="V34" s="52" t="n">
        <v>3</v>
      </c>
      <c r="W34" s="52" t="n">
        <v>3</v>
      </c>
      <c r="X34" s="52" t="n">
        <v>3</v>
      </c>
      <c r="Y34" s="52" t="n">
        <v>2</v>
      </c>
      <c r="Z34" s="52" t="n"/>
      <c r="AA34" s="73" t="inlineStr">
        <is>
          <t>Oito cenários conferem com o gabarito. Planilha com ROUNDUP, IF de complexidade e uma coluna de reconciliação que ele montou para conferir a própria economia. Cinco riscos com mitigação e KPI, sem prazo.</t>
        </is>
      </c>
      <c r="AB34" s="52" t="n">
        <v>1</v>
      </c>
      <c r="AC34" s="52" t="n">
        <v>1</v>
      </c>
      <c r="AD34" s="52" t="n">
        <v>1</v>
      </c>
      <c r="AE34" s="52" t="n">
        <v>3</v>
      </c>
      <c r="AF34" s="52" t="n">
        <v>2</v>
      </c>
      <c r="AG34" s="52" t="n">
        <v>1</v>
      </c>
      <c r="AH34" s="53" t="n"/>
      <c r="AI34" s="74" t="inlineStr">
        <is>
          <t>Tecnicamente a mais completa, e o que separa é o que ele faz depois da conta. Publicou o breakeven do banco nos quatro bairros e, melhor, percebeu que o case não modela custo de coordenação e calculou quanto de overhead zeraria a vantagem dos parceiros, virando gate do piloto. Os riscos são os melhores do grupo. Os reparos são de acabamento: nome do arquivo e numeração trocada. Na entrevista eu pergunto de onde vem o 23 no denominador do breakeven da Arena. O vídeo de entrega está na pasta do Drive, então E3 vale 1.</t>
        </is>
      </c>
    </row>
    <row r="35" ht="14.25" customHeight="1" s="65">
      <c r="A35" s="53" t="n"/>
      <c r="B35" s="54" t="inlineStr">
        <is>
          <t>e221509@dac.unicamp.br</t>
        </is>
      </c>
      <c r="C35" s="54" t="inlineStr">
        <is>
          <t>Eduardo Alves Henrique</t>
        </is>
      </c>
      <c r="D35" s="3" t="inlineStr">
        <is>
          <t>Proc</t>
        </is>
      </c>
      <c r="E35" s="32">
        <f>IF(COUNT(K35:AG35)=0,"",ROUND((F35+G35+H35+I35+J35)/10,2))</f>
        <v/>
      </c>
      <c r="F35" s="33">
        <f>IF(COUNT(K35:AG35)=0,"",(K35*10+L35*8+M35*7+N35*5)/3)</f>
        <v/>
      </c>
      <c r="G35" s="33">
        <f>IF(COUNT(K35:AG35)=0,"",(P35*8+Q35*7+R35*5+S35*5)/3)</f>
        <v/>
      </c>
      <c r="H35" s="33">
        <f>IF(COUNT(K35:AG35)=0,"",(U35*6+V35*6+W35*4+X35*3+Y35*3+Z35*3)/3)</f>
        <v/>
      </c>
      <c r="I35" s="33">
        <f>IF(COUNT(K35:AG35)=0,"",AB35*3+AC35*2+AD35*2+AE35*1)</f>
        <v/>
      </c>
      <c r="J35" s="33">
        <f>IF(COUNT(K35:AG35)=0,"",(AF35*5+AG35*5)/3)</f>
        <v/>
      </c>
      <c r="K35" s="52" t="n">
        <v>2</v>
      </c>
      <c r="L35" s="52" t="n">
        <v>2</v>
      </c>
      <c r="M35" s="52" t="n">
        <v>1</v>
      </c>
      <c r="N35" s="52" t="n">
        <v>2</v>
      </c>
      <c r="O35" s="53" t="inlineStr">
        <is>
          <t>só gravou vídeo com contas a mao enviadas uma por uma e a apresentação nao ficou tao boa</t>
        </is>
      </c>
      <c r="P35" s="52" t="n">
        <v>2</v>
      </c>
      <c r="Q35" s="52" t="n">
        <v>3</v>
      </c>
      <c r="R35" s="52" t="n">
        <v>0</v>
      </c>
      <c r="S35" s="52" t="n">
        <v>1</v>
      </c>
      <c r="T35" s="53" t="n"/>
      <c r="U35" s="52" t="n">
        <v>2</v>
      </c>
      <c r="V35" s="52" t="n">
        <v>3</v>
      </c>
      <c r="W35" s="52" t="n">
        <v>2</v>
      </c>
      <c r="X35" s="52" t="n">
        <v>2</v>
      </c>
      <c r="Y35" s="52" t="n">
        <v>1</v>
      </c>
      <c r="Z35" s="52" t="n"/>
      <c r="AA35" s="53" t="n"/>
      <c r="AB35" s="52" t="n">
        <v>0</v>
      </c>
      <c r="AC35" s="52" t="n">
        <v>1</v>
      </c>
      <c r="AD35" s="52" t="n">
        <v>1</v>
      </c>
      <c r="AE35" s="52" t="n">
        <v>1</v>
      </c>
      <c r="AF35" s="52" t="n">
        <v>2</v>
      </c>
      <c r="AG35" s="52" t="n">
        <v>1</v>
      </c>
      <c r="AH35" s="53" t="n"/>
      <c r="AI35" s="3" t="inlineStr">
        <is>
          <t>80% no GMAT. Ao mesmo tempo fala que pode não se interessar pelo CCU, como pode se tornar liderança (???).</t>
        </is>
      </c>
    </row>
    <row r="36" ht="14.25" customHeight="1" s="65">
      <c r="A36" s="54" t="n"/>
      <c r="B36" s="54" t="inlineStr">
        <is>
          <t>l304532@dac.unicamp.br</t>
        </is>
      </c>
      <c r="C36" s="54" t="inlineStr">
        <is>
          <t>Leandra Cunha de Souza</t>
        </is>
      </c>
      <c r="D36" s="54" t="inlineStr">
        <is>
          <t>Proc</t>
        </is>
      </c>
      <c r="E36" s="48">
        <f>IF(COUNT(K36:AG36)=0,"",ROUND((F36+G36+H36+I36+J36)/10,2))</f>
        <v/>
      </c>
      <c r="F36" s="42">
        <f>IF(COUNT(K36:AG36)=0,"",(K36*10+L36*8+M36*7+N36*5)/3)</f>
        <v/>
      </c>
      <c r="G36" s="42">
        <f>IF(COUNT(K36:AG36)=0,"",(P36*8+Q36*7+R36*5+S36*5)/3)</f>
        <v/>
      </c>
      <c r="H36" s="42">
        <f>IF(COUNT(K36:AG36)=0,"",(U36*6+V36*6+W36*4+X36*3+Y36*3+Z36*3)/3)</f>
        <v/>
      </c>
      <c r="I36" s="42">
        <f>IF(COUNT(K36:AG36)=0,"",AB36*3+AC36*2+AD36*2+AE36*1)</f>
        <v/>
      </c>
      <c r="J36" s="42">
        <f>IF(COUNT(K36:AG36)=0,"",(AF36*5+AG36*5)/3)</f>
        <v/>
      </c>
      <c r="K36" s="43" t="n">
        <v>2</v>
      </c>
      <c r="L36" s="43" t="n">
        <v>1</v>
      </c>
      <c r="M36" s="43" t="n">
        <v>1</v>
      </c>
      <c r="N36" s="43" t="n">
        <v>1</v>
      </c>
      <c r="O36" s="54" t="inlineStr">
        <is>
          <t>muito básico e entregou apenas uma apresentação em slides</t>
        </is>
      </c>
      <c r="P36" s="43" t="n">
        <v>2</v>
      </c>
      <c r="Q36" s="43" t="n">
        <v>1</v>
      </c>
      <c r="R36" s="43" t="n">
        <v>1</v>
      </c>
      <c r="S36" s="43" t="n">
        <v>1</v>
      </c>
      <c r="T36" s="54" t="n"/>
      <c r="U36" s="54" t="n">
        <v>2</v>
      </c>
      <c r="V36" s="54" t="n">
        <v>2</v>
      </c>
      <c r="W36" s="54" t="n">
        <v>2</v>
      </c>
      <c r="X36" s="54" t="n">
        <v>2</v>
      </c>
      <c r="Y36" s="54" t="n">
        <v>1</v>
      </c>
      <c r="Z36" s="54" t="n"/>
      <c r="AA36" s="54" t="n"/>
      <c r="AB36" s="54" t="n">
        <v>0</v>
      </c>
      <c r="AC36" s="54" t="n">
        <v>1</v>
      </c>
      <c r="AD36" s="54" t="n">
        <v>0</v>
      </c>
      <c r="AE36" s="54" t="n">
        <v>1</v>
      </c>
      <c r="AF36" s="43" t="n">
        <v>2</v>
      </c>
      <c r="AG36" s="43" t="n">
        <v>2</v>
      </c>
      <c r="AH36" s="54" t="n"/>
      <c r="AI36" s="54" t="inlineStr">
        <is>
          <t>GMAT inconclusivo se ela colou. Nada de especial.</t>
        </is>
      </c>
    </row>
    <row r="37" ht="14.25" customHeight="1" s="65">
      <c r="A37" s="53" t="n"/>
      <c r="B37" s="54" t="inlineStr">
        <is>
          <t>v188630@dac.unicamp.br</t>
        </is>
      </c>
      <c r="C37" s="54" t="inlineStr">
        <is>
          <t>Vagner Ássimos Gomes Carlos Filho</t>
        </is>
      </c>
      <c r="D37" s="3" t="inlineStr">
        <is>
          <t>Proc</t>
        </is>
      </c>
      <c r="E37" s="32">
        <f>IF(COUNT(K37:AG37)=0,"",ROUND((F37+G37+H37+I37+J37)/10,2))</f>
        <v/>
      </c>
      <c r="F37" s="33">
        <f>IF(COUNT(K37:AG37)=0,"",(K37*10+L37*8+M37*7+N37*5)/3)</f>
        <v/>
      </c>
      <c r="G37" s="33">
        <f>IF(COUNT(K37:AG37)=0,"",(P37*8+Q37*7+R37*5+S37*5)/3)</f>
        <v/>
      </c>
      <c r="H37" s="33">
        <f>IF(COUNT(K37:AG37)=0,"",(U37*6+V37*6+W37*4+X37*3+Y37*3+Z37*3)/3)</f>
        <v/>
      </c>
      <c r="I37" s="33">
        <f>IF(COUNT(K37:AG37)=0,"",AB37*3+AC37*2+AD37*2+AE37*1)</f>
        <v/>
      </c>
      <c r="J37" s="33">
        <f>IF(COUNT(K37:AG37)=0,"",(AF37*5+AG37*5)/3)</f>
        <v/>
      </c>
      <c r="K37" s="52" t="n">
        <v>2</v>
      </c>
      <c r="L37" s="52" t="n">
        <v>2</v>
      </c>
      <c r="M37" s="52" t="n">
        <v>1</v>
      </c>
      <c r="N37" s="52" t="n">
        <v>1</v>
      </c>
      <c r="O37" s="53" t="inlineStr">
        <is>
          <t>Totalmente feito por IA</t>
        </is>
      </c>
      <c r="P37" s="52" t="n">
        <v>2</v>
      </c>
      <c r="Q37" s="52" t="n">
        <v>3</v>
      </c>
      <c r="R37" s="52" t="n">
        <v>1</v>
      </c>
      <c r="S37" s="52" t="n">
        <v>2</v>
      </c>
      <c r="T37" s="53" t="inlineStr">
        <is>
          <t>meio controverso</t>
        </is>
      </c>
      <c r="U37" s="52" t="n">
        <v>2</v>
      </c>
      <c r="V37" s="52" t="n">
        <v>2</v>
      </c>
      <c r="W37" s="52" t="n">
        <v>2</v>
      </c>
      <c r="X37" s="52" t="n">
        <v>3</v>
      </c>
      <c r="Y37" s="52" t="n">
        <v>2</v>
      </c>
      <c r="Z37" s="52" t="n"/>
      <c r="AA37" s="53" t="n"/>
      <c r="AB37" s="52" t="n">
        <v>0</v>
      </c>
      <c r="AC37" s="52" t="n">
        <v>1</v>
      </c>
      <c r="AD37" s="52" t="n">
        <v>0</v>
      </c>
      <c r="AE37" s="52" t="n">
        <v>2</v>
      </c>
      <c r="AF37" s="52" t="n">
        <v>3</v>
      </c>
      <c r="AG37" s="52" t="n">
        <v>1</v>
      </c>
      <c r="AH37" s="53" t="n"/>
      <c r="AI37" s="3" t="inlineStr">
        <is>
          <t>Mais de 80% no GMAT. Falou quer CCU e ia nas palestras mas NÃO falou sobre ele, haviam mais 30s para falar.</t>
        </is>
      </c>
    </row>
    <row r="38" ht="14.25" customHeight="1" s="65">
      <c r="A38" s="53" t="n"/>
      <c r="B38" s="54" t="inlineStr">
        <is>
          <t>m277865@dac.unicamp.br</t>
        </is>
      </c>
      <c r="C38" s="54" t="inlineStr">
        <is>
          <t>Mariana Nunes Galvão Sant'Anna</t>
        </is>
      </c>
      <c r="D38" s="3" t="inlineStr">
        <is>
          <t>Matteo</t>
        </is>
      </c>
      <c r="E38" s="32" t="n">
        <v>8.67</v>
      </c>
      <c r="F38" s="33" t="n">
        <v>25</v>
      </c>
      <c r="G38" s="33" t="n">
        <v>23.33</v>
      </c>
      <c r="H38" s="33" t="n">
        <v>22</v>
      </c>
      <c r="I38" s="33" t="n">
        <v>8</v>
      </c>
      <c r="J38" s="33" t="n">
        <v>8.33</v>
      </c>
      <c r="K38" s="52" t="n">
        <v>3</v>
      </c>
      <c r="L38" s="52" t="n">
        <v>2</v>
      </c>
      <c r="M38" s="52" t="n">
        <v>2</v>
      </c>
      <c r="N38" s="52" t="n">
        <v>3</v>
      </c>
      <c r="O38" s="73" t="inlineStr">
        <is>
          <t>O deck abre pela recomendação, no slide 4, com o número. Três slides seguidos têm título e subtítulo idênticos.</t>
        </is>
      </c>
      <c r="P38" s="52" t="n">
        <v>3</v>
      </c>
      <c r="Q38" s="52" t="n">
        <v>3</v>
      </c>
      <c r="R38" s="52" t="n">
        <v>3</v>
      </c>
      <c r="S38" s="52" t="n">
        <v>2</v>
      </c>
      <c r="T38" s="73" t="inlineStr">
        <is>
          <t>Única a usar o mapa do Anexo A: contou as cinco fronteiras da Estação e virou critério. A matriz do slide 13 ordena as oito combinações certo por lucro. Usou a vantagem percentual por bairro para mostrar que o fosso entre os modelos é estreito.</t>
        </is>
      </c>
      <c r="U38" s="52" t="n">
        <v>3</v>
      </c>
      <c r="V38" s="52" t="n">
        <v>3</v>
      </c>
      <c r="W38" s="52" t="n">
        <v>3</v>
      </c>
      <c r="X38" s="52" t="n">
        <v>3</v>
      </c>
      <c r="Y38" s="52" t="n">
        <v>3</v>
      </c>
      <c r="Z38" s="52" t="n"/>
      <c r="AA38" s="73" t="inlineStr">
        <is>
          <t>Oito cenários conferem com o gabarito, bancos certos incluindo a Arena com 23. Piloto com prazo de três meses. Erra ao propor aproveitar as horas ociosas como ganho, quando o case diz que a demanda já está dada.</t>
        </is>
      </c>
      <c r="AB38" s="52" t="n">
        <v>1</v>
      </c>
      <c r="AC38" s="52" t="n">
        <v>1</v>
      </c>
      <c r="AD38" s="52" t="n">
        <v>0</v>
      </c>
      <c r="AE38" s="52" t="n">
        <v>3</v>
      </c>
      <c r="AF38" s="52" t="n">
        <v>2</v>
      </c>
      <c r="AG38" s="52" t="n">
        <v>3</v>
      </c>
      <c r="AH38" s="53" t="n"/>
      <c r="AI38" s="74" t="inlineStr">
        <is>
          <t>Entrega muito boa, e o que distingue é ter lido o que todos ignoraram. Foi a única a usar o mapa do anexo, contando as fronteiras da Estação e virando isso em critério. A matriz ordena as oito combinações certo e marca a incerteza de Noite Alta em vez de simular precisão. O erro que eu cobraria é propor aproveitar as horas ociosas como ganho, quando a demanda já está dada. Na entrevista eu pergunto como as horas vazias virariam lucro.</t>
        </is>
      </c>
    </row>
    <row r="39" ht="14.25" customHeight="1" s="65">
      <c r="A39" s="53" t="n"/>
      <c r="B39" s="54" t="inlineStr">
        <is>
          <t>a266739@dac.unicamp.br</t>
        </is>
      </c>
      <c r="C39" s="54" t="inlineStr">
        <is>
          <t>Aslan Rodrigues Maia</t>
        </is>
      </c>
      <c r="D39" s="3" t="inlineStr">
        <is>
          <t>Matteo</t>
        </is>
      </c>
      <c r="E39" s="32" t="n">
        <v>8.470000000000001</v>
      </c>
      <c r="F39" s="33" t="n">
        <v>27.33</v>
      </c>
      <c r="G39" s="33" t="n">
        <v>23.33</v>
      </c>
      <c r="H39" s="33" t="n">
        <v>18.67</v>
      </c>
      <c r="I39" s="33" t="n">
        <v>7</v>
      </c>
      <c r="J39" s="33" t="n">
        <v>8.33</v>
      </c>
      <c r="K39" s="52" t="n">
        <v>3</v>
      </c>
      <c r="L39" s="52" t="n">
        <v>2</v>
      </c>
      <c r="M39" s="52" t="n">
        <v>3</v>
      </c>
      <c r="N39" s="52" t="n">
        <v>3</v>
      </c>
      <c r="O39" s="73" t="inlineStr">
        <is>
          <t>Recomendação na pág. 2, uma frase com o número. Dois documentos fechados, com capa e rodapé numerado. Lendo só os títulos a história fecha.</t>
        </is>
      </c>
      <c r="P39" s="52" t="n">
        <v>3</v>
      </c>
      <c r="Q39" s="52" t="n">
        <v>3</v>
      </c>
      <c r="R39" s="52" t="n">
        <v>2</v>
      </c>
      <c r="S39" s="52" t="n">
        <v>3</v>
      </c>
      <c r="T39" s="73" t="inlineStr">
        <is>
          <t>Pág. 5 compara Estação e Centro em cinco métricas e a pág. 7 diz por escrito por que descartou o Centro. Provou que parceiros ganham sempre: o banco rateado dá R$ 1.750 por posição e o prêmio do parceiro nunca passa de R$ 1.400.</t>
        </is>
      </c>
      <c r="U39" s="52" t="n">
        <v>3</v>
      </c>
      <c r="V39" s="52" t="n">
        <v>3</v>
      </c>
      <c r="W39" s="52" t="n">
        <v>2</v>
      </c>
      <c r="X39" s="52" t="n">
        <v>2</v>
      </c>
      <c r="Y39" s="52" t="n">
        <v>2</v>
      </c>
      <c r="Z39" s="52" t="n"/>
      <c r="AA39" s="73" t="inlineStr">
        <is>
          <t>Oito cenários conferem com o gabarito. Bancos 60, 25, 23 e 45, com a Arena certa. Memória de cálculo no anexo, com a Estação feita por extenso. Riscos têm mitigação mas nenhum tem prazo.</t>
        </is>
      </c>
      <c r="AB39" s="52" t="n">
        <v>1</v>
      </c>
      <c r="AC39" s="52" t="n">
        <v>1</v>
      </c>
      <c r="AD39" s="52" t="n">
        <v>0</v>
      </c>
      <c r="AE39" s="52" t="n">
        <v>2</v>
      </c>
      <c r="AF39" s="52" t="n">
        <v>2</v>
      </c>
      <c r="AG39" s="52" t="n">
        <v>3</v>
      </c>
      <c r="AH39" s="53" t="n"/>
      <c r="AI39" s="74" t="inlineStr">
        <is>
          <t>Melhor entrega do grupo, e o que separa é ter provado por que parceiros ganham em vez de só reportar. O banco rateado dá R$ 1.750 por posição e o prêmio do parceiro vai de R$ 400 a R$ 1.400, então a escolha do modelo não depende do bairro. Achou a tensão do case e resolveu. Falta prazo nos riscos e não fez sensibilidade numérica. Na entrevista eu pergunto: se o banco custasse R$ 50.000, o que muda? Quem montou a seção 5.1 responde em um minuto.</t>
        </is>
      </c>
    </row>
    <row r="40" ht="14.25" customHeight="1" s="65">
      <c r="A40" s="53" t="n"/>
      <c r="B40" s="54" t="inlineStr">
        <is>
          <t>j278641@dac.unicamp.br</t>
        </is>
      </c>
      <c r="C40" s="54" t="inlineStr">
        <is>
          <t>João Gabriel de Oliveira Morcelli</t>
        </is>
      </c>
      <c r="D40" s="3" t="inlineStr">
        <is>
          <t>victor</t>
        </is>
      </c>
      <c r="E40" s="32">
        <f>IF(COUNT(K40:AG40)=0,"",ROUND((F40+G40+H40+I40+J40)/10,2))</f>
        <v/>
      </c>
      <c r="F40" s="33">
        <f>IF(COUNT(K40:AG40)=0,"",(K40*10+L40*8+M40*7+N40*5)/3)</f>
        <v/>
      </c>
      <c r="G40" s="33">
        <f>IF(COUNT(K40:AG40)=0,"",(P40*8+Q40*7+R40*5+S40*5)/3)</f>
        <v/>
      </c>
      <c r="H40" s="33">
        <f>IF(COUNT(K40:AG40)=0,"",(U40*6+V40*6+W40*4+X40*3+Y40*3+Z40*3)/3)</f>
        <v/>
      </c>
      <c r="I40" s="33">
        <f>IF(COUNT(K40:AG40)=0,"",AB40*3+AC40*2+AD40*2+AE40*1)</f>
        <v/>
      </c>
      <c r="J40" s="33">
        <f>IF(COUNT(K40:AG40)=0,"",(AF40*5+AG40*5)/3)</f>
        <v/>
      </c>
      <c r="K40" s="52" t="n">
        <v>3</v>
      </c>
      <c r="L40" s="52" t="n">
        <v>2</v>
      </c>
      <c r="M40" s="52" t="n">
        <v>3</v>
      </c>
      <c r="N40" s="52" t="n">
        <v>2</v>
      </c>
      <c r="O40" s="53" t="n"/>
      <c r="P40" s="52" t="n">
        <v>3</v>
      </c>
      <c r="Q40" s="52" t="n">
        <v>3</v>
      </c>
      <c r="R40" s="52" t="n">
        <v>2</v>
      </c>
      <c r="S40" s="52" t="n">
        <v>2</v>
      </c>
      <c r="T40" s="53" t="n"/>
      <c r="U40" s="52" t="n">
        <v>2</v>
      </c>
      <c r="V40" s="52" t="n">
        <v>2</v>
      </c>
      <c r="W40" s="52" t="n">
        <v>3</v>
      </c>
      <c r="X40" s="52" t="n">
        <v>2</v>
      </c>
      <c r="Y40" s="52" t="n">
        <v>2</v>
      </c>
      <c r="Z40" s="52" t="n"/>
      <c r="AA40" s="53" t="n"/>
      <c r="AB40" s="52" t="n">
        <v>1</v>
      </c>
      <c r="AC40" s="52" t="n">
        <v>1</v>
      </c>
      <c r="AD40" s="52" t="n">
        <v>0</v>
      </c>
      <c r="AE40" s="52" t="n">
        <v>3</v>
      </c>
      <c r="AF40" s="52" t="n">
        <v>2</v>
      </c>
      <c r="AG40" s="52" t="n">
        <v>2</v>
      </c>
      <c r="AH40" s="53" t="n"/>
      <c r="AI40" s="3" t="inlineStr">
        <is>
          <t xml:space="preserve">motivos bons mas não falou do clube, tinha roteiro claramente no vídeo </t>
        </is>
      </c>
    </row>
    <row r="41" ht="14.25" customHeight="1" s="65">
      <c r="A41" s="53" t="n"/>
      <c r="B41" s="54" t="inlineStr">
        <is>
          <t>r278709@dac.unicamp.br</t>
        </is>
      </c>
      <c r="C41" s="54" t="inlineStr">
        <is>
          <t>Raphael Negrini Saggioro</t>
        </is>
      </c>
      <c r="D41" s="3" t="inlineStr">
        <is>
          <t>Matteo</t>
        </is>
      </c>
      <c r="E41" s="32" t="n">
        <v>3.67</v>
      </c>
      <c r="F41" s="33" t="n">
        <v>7.33</v>
      </c>
      <c r="G41" s="33" t="n">
        <v>4</v>
      </c>
      <c r="H41" s="33" t="n">
        <v>14</v>
      </c>
      <c r="I41" s="33" t="n">
        <v>3</v>
      </c>
      <c r="J41" s="33" t="n">
        <v>8.33</v>
      </c>
      <c r="K41" s="52" t="n">
        <v>1</v>
      </c>
      <c r="L41" s="52" t="n">
        <v>0</v>
      </c>
      <c r="M41" s="52" t="n">
        <v>1</v>
      </c>
      <c r="N41" s="52" t="n">
        <v>1</v>
      </c>
      <c r="O41" s="73" t="inlineStr">
        <is>
          <t>Não há recomendação. Oito páginas manuscritas digitalizadas e um arquivo chamado rascunho. Sem tabela e sem gráfico.</t>
        </is>
      </c>
      <c r="P41" s="52" t="n">
        <v>0</v>
      </c>
      <c r="Q41" s="52" t="n">
        <v>1</v>
      </c>
      <c r="R41" s="52" t="n">
        <v>0</v>
      </c>
      <c r="S41" s="52" t="n">
        <v>1</v>
      </c>
      <c r="T41" s="73" t="inlineStr">
        <is>
          <t>Comparou os dois modelos com lista de prós e contras, incluindo uma observação própria: nos pontos parceiros o cliente pode ter dificuldade de achar o serviço. Não comparou bairros e não escolheu nada.</t>
        </is>
      </c>
      <c r="U41" s="52" t="n">
        <v>3</v>
      </c>
      <c r="V41" s="52" t="n">
        <v>3</v>
      </c>
      <c r="W41" s="52" t="n">
        <v>0</v>
      </c>
      <c r="X41" s="52" t="n">
        <v>1</v>
      </c>
      <c r="Y41" s="52" t="n">
        <v>1</v>
      </c>
      <c r="Z41" s="52" t="n"/>
      <c r="AA41" s="73" t="inlineStr">
        <is>
          <t>Oito cenários conferem com o gabarito. Na Arena riscou o primeiro resultado e anotou arredondando para 23, ou seja, corrigiu sozinho na página. Das quatro tarefas do enunciado, só a rentabilidade foi entregue.</t>
        </is>
      </c>
      <c r="AB41" s="52" t="n">
        <v>1</v>
      </c>
      <c r="AC41" s="52" t="n">
        <v>0</v>
      </c>
      <c r="AD41" s="52" t="n">
        <v>0</v>
      </c>
      <c r="AE41" s="52" t="n">
        <v>0</v>
      </c>
      <c r="AF41" s="52" t="n">
        <v>3</v>
      </c>
      <c r="AG41" s="52" t="n">
        <v>2</v>
      </c>
      <c r="AH41" s="53" t="n"/>
      <c r="AI41" s="74" t="inlineStr">
        <is>
          <t>O cálculo está perfeito e é quase tudo o que existe. A Arena está não só certa como autocorrigida na página, com o valor riscado e o arredondamento anotado ao lado, que é a melhor prova de domínio que eu vi. Mas a entrega para aí: das quatro tarefas, uma foi entregue, e um dos arquivos se chama rascunho. O que há de qualitativo está no rascunho e é melhor do que parece. Na entrevista a pergunta é direta: qual bairro e qual modelo você recomenda?</t>
        </is>
      </c>
    </row>
    <row r="42" ht="14.25" customHeight="1" s="65">
      <c r="A42" s="53" t="n"/>
      <c r="B42" s="54" t="inlineStr">
        <is>
          <t>g278107@dac.unicamp.br</t>
        </is>
      </c>
      <c r="C42" s="54" t="inlineStr">
        <is>
          <t>Gustavo Daher Pereira</t>
        </is>
      </c>
      <c r="D42" s="3" t="inlineStr">
        <is>
          <t>victor</t>
        </is>
      </c>
      <c r="E42" s="32">
        <f>IF(COUNT(K42:AG42)=0,"",ROUND((F42+G42+H42+I42+J42)/10,2))</f>
        <v/>
      </c>
      <c r="F42" s="33">
        <f>IF(COUNT(K42:AG42)=0,"",(K42*10+L42*8+M42*7+N42*5)/3)</f>
        <v/>
      </c>
      <c r="G42" s="33">
        <f>IF(COUNT(K42:AG42)=0,"",(P42*8+Q42*7+R42*5+S42*5)/3)</f>
        <v/>
      </c>
      <c r="H42" s="33">
        <f>IF(COUNT(K42:AG42)=0,"",(U42*6+V42*6+W42*4+X42*3+Y42*3+Z42*3)/3)</f>
        <v/>
      </c>
      <c r="I42" s="33">
        <f>IF(COUNT(K42:AG42)=0,"",AB42*3+AC42*2+AD42*2+AE42*1)</f>
        <v/>
      </c>
      <c r="J42" s="33">
        <f>IF(COUNT(K42:AG42)=0,"",(AF42*5+AG42*5)/3)</f>
        <v/>
      </c>
      <c r="K42" s="52" t="n"/>
      <c r="L42" s="52" t="n"/>
      <c r="M42" s="52" t="n"/>
      <c r="N42" s="52" t="n"/>
      <c r="O42" s="53" t="n"/>
      <c r="P42" s="52" t="n"/>
      <c r="Q42" s="52" t="n"/>
      <c r="R42" s="52" t="n"/>
      <c r="S42" s="52" t="n"/>
      <c r="T42" s="53" t="n"/>
      <c r="U42" s="52" t="n"/>
      <c r="V42" s="52" t="n"/>
      <c r="W42" s="52" t="n"/>
      <c r="X42" s="52" t="n"/>
      <c r="Y42" s="52" t="n"/>
      <c r="Z42" s="52" t="n"/>
      <c r="AA42" s="53" t="n"/>
      <c r="AB42" s="52" t="n"/>
      <c r="AC42" s="52" t="n"/>
      <c r="AD42" s="52" t="n"/>
      <c r="AE42" s="52" t="n"/>
      <c r="AF42" s="52" t="n">
        <v>2</v>
      </c>
      <c r="AG42" s="52" t="n">
        <v>2</v>
      </c>
      <c r="AH42" s="53" t="n"/>
      <c r="AI42" s="3" t="inlineStr">
        <is>
          <t>Falou de palestras, achei prolixo e video demorado</t>
        </is>
      </c>
    </row>
    <row r="43" ht="14.25" customHeight="1" s="65">
      <c r="A43" s="53" t="n"/>
      <c r="B43" s="54" t="inlineStr">
        <is>
          <t>rickfilho2007@gmail.com</t>
        </is>
      </c>
      <c r="C43" s="54" t="inlineStr">
        <is>
          <t>Ricardo Augusto Schmitt Filho</t>
        </is>
      </c>
      <c r="D43" s="3" t="inlineStr">
        <is>
          <t>victor</t>
        </is>
      </c>
      <c r="E43" s="32">
        <f>IF(COUNT(K43:AG43)=0,"",ROUND((F43+G43+H43+I43+J43)/10,2))</f>
        <v/>
      </c>
      <c r="F43" s="33">
        <f>IF(COUNT(K43:AG43)=0,"",(K43*10+L43*8+M43*7+N43*5)/3)</f>
        <v/>
      </c>
      <c r="G43" s="33">
        <f>IF(COUNT(K43:AG43)=0,"",(P43*8+Q43*7+R43*5+S43*5)/3)</f>
        <v/>
      </c>
      <c r="H43" s="33">
        <f>IF(COUNT(K43:AG43)=0,"",(U43*6+V43*6+W43*4+X43*3+Y43*3+Z43*3)/3)</f>
        <v/>
      </c>
      <c r="I43" s="33">
        <f>IF(COUNT(K43:AG43)=0,"",AB43*3+AC43*2+AD43*2+AE43*1)</f>
        <v/>
      </c>
      <c r="J43" s="33">
        <f>IF(COUNT(K43:AG43)=0,"",(AF43*5+AG43*5)/3)</f>
        <v/>
      </c>
      <c r="K43" s="52" t="n">
        <v>3</v>
      </c>
      <c r="L43" s="52" t="n">
        <v>3</v>
      </c>
      <c r="M43" s="52" t="n">
        <v>3</v>
      </c>
      <c r="N43" s="52" t="n">
        <v>3</v>
      </c>
      <c r="O43" s="53" t="inlineStr">
        <is>
          <t>Esse cara fez na moral e fez muito bem</t>
        </is>
      </c>
      <c r="P43" s="52" t="n">
        <v>3</v>
      </c>
      <c r="Q43" s="52" t="n">
        <v>3</v>
      </c>
      <c r="R43" s="52" t="n">
        <v>2</v>
      </c>
      <c r="S43" s="52" t="n">
        <v>3</v>
      </c>
      <c r="T43" s="53" t="n"/>
      <c r="U43" s="52" t="n">
        <v>3</v>
      </c>
      <c r="V43" s="52" t="n">
        <v>3</v>
      </c>
      <c r="W43" s="52" t="n">
        <v>3</v>
      </c>
      <c r="X43" s="52" t="n">
        <v>3</v>
      </c>
      <c r="Y43" s="52" t="n">
        <v>3</v>
      </c>
      <c r="Z43" s="52" t="n"/>
      <c r="AA43" s="53" t="n"/>
      <c r="AB43" s="52" t="n">
        <v>1</v>
      </c>
      <c r="AC43" s="52" t="n">
        <v>1</v>
      </c>
      <c r="AD43" s="52" t="n">
        <v>1</v>
      </c>
      <c r="AE43" s="52" t="n">
        <v>3</v>
      </c>
      <c r="AF43" s="52" t="n">
        <v>2</v>
      </c>
      <c r="AG43" s="52" t="n">
        <v>2</v>
      </c>
      <c r="AH43" s="53" t="n"/>
      <c r="AI43" s="3" t="inlineStr">
        <is>
          <t>Fez u  desafio foda mas n falou nada do ccu</t>
        </is>
      </c>
    </row>
    <row r="44" ht="14.25" customHeight="1" s="65">
      <c r="A44" s="53" t="n"/>
      <c r="B44" s="54" t="inlineStr">
        <is>
          <t>m306365@dac.unicamp.br</t>
        </is>
      </c>
      <c r="C44" s="54" t="inlineStr">
        <is>
          <t>Matheus Dias Freitas</t>
        </is>
      </c>
      <c r="D44" s="3" t="inlineStr">
        <is>
          <t>victor</t>
        </is>
      </c>
      <c r="E44" s="32">
        <f>IF(COUNT(K44:AG44)=0,"",ROUND((F44+G44+H44+I44+J44)/10,2))</f>
        <v/>
      </c>
      <c r="F44" s="33">
        <f>IF(COUNT(K44:AG44)=0,"",(K44*10+L44*8+M44*7+N44*5)/3)</f>
        <v/>
      </c>
      <c r="G44" s="33">
        <f>IF(COUNT(K44:AG44)=0,"",(P44*8+Q44*7+R44*5+S44*5)/3)</f>
        <v/>
      </c>
      <c r="H44" s="33">
        <f>IF(COUNT(K44:AG44)=0,"",(U44*6+V44*6+W44*4+X44*3+Y44*3+Z44*3)/3)</f>
        <v/>
      </c>
      <c r="I44" s="33">
        <f>IF(COUNT(K44:AG44)=0,"",AB44*3+AC44*2+AD44*2+AE44*1)</f>
        <v/>
      </c>
      <c r="J44" s="33">
        <f>IF(COUNT(K44:AG44)=0,"",(AF44*5+AG44*5)/3)</f>
        <v/>
      </c>
      <c r="K44" s="52" t="n"/>
      <c r="L44" s="52" t="n"/>
      <c r="M44" s="52" t="n"/>
      <c r="N44" s="52" t="n"/>
      <c r="O44" s="53" t="n"/>
      <c r="P44" s="52" t="n"/>
      <c r="Q44" s="52" t="n"/>
      <c r="R44" s="52" t="n"/>
      <c r="S44" s="52" t="n"/>
      <c r="T44" s="53" t="n"/>
      <c r="U44" s="52" t="n"/>
      <c r="V44" s="52" t="n"/>
      <c r="W44" s="52" t="n"/>
      <c r="X44" s="52" t="n"/>
      <c r="Y44" s="52" t="n"/>
      <c r="Z44" s="52" t="n"/>
      <c r="AA44" s="53" t="n"/>
      <c r="AB44" s="52" t="n"/>
      <c r="AC44" s="52" t="n"/>
      <c r="AD44" s="52" t="n"/>
      <c r="AE44" s="52" t="n"/>
      <c r="AF44" s="52" t="n">
        <v>2</v>
      </c>
      <c r="AG44" s="52" t="n">
        <v>1</v>
      </c>
      <c r="AH44" s="53" t="n"/>
      <c r="AI44" s="3" t="inlineStr">
        <is>
          <t>fez o video de touca, falou tudo muito genérico</t>
        </is>
      </c>
    </row>
    <row r="45" ht="14.25" customHeight="1" s="65">
      <c r="A45" s="53" t="n"/>
      <c r="B45" s="54" t="inlineStr">
        <is>
          <t>k267983@dac.unicamp.br</t>
        </is>
      </c>
      <c r="C45" s="54" t="inlineStr">
        <is>
          <t>Klaus Augusto Santos da Silva</t>
        </is>
      </c>
      <c r="D45" s="3" t="inlineStr">
        <is>
          <t>victor</t>
        </is>
      </c>
      <c r="E45" s="32">
        <f>IF(COUNT(K45:AG45)=0,"",ROUND((F45+G45+H45+I45+J45)/10,2))</f>
        <v/>
      </c>
      <c r="F45" s="33">
        <f>IF(COUNT(K45:AG45)=0,"",(K45*10+L45*8+M45*7+N45*5)/3)</f>
        <v/>
      </c>
      <c r="G45" s="33">
        <f>IF(COUNT(K45:AG45)=0,"",(P45*8+Q45*7+R45*5+S45*5)/3)</f>
        <v/>
      </c>
      <c r="H45" s="33">
        <f>IF(COUNT(K45:AG45)=0,"",(U45*6+V45*6+W45*4+X45*3+Y45*3+Z45*3)/3)</f>
        <v/>
      </c>
      <c r="I45" s="33">
        <f>IF(COUNT(K45:AG45)=0,"",AB45*3+AC45*2+AD45*2+AE45*1)</f>
        <v/>
      </c>
      <c r="J45" s="33">
        <f>IF(COUNT(K45:AG45)=0,"",(AF45*5+AG45*5)/3)</f>
        <v/>
      </c>
      <c r="K45" s="52" t="n">
        <v>2</v>
      </c>
      <c r="L45" s="52" t="n">
        <v>1</v>
      </c>
      <c r="M45" s="52" t="n">
        <v>2</v>
      </c>
      <c r="N45" s="52" t="n">
        <v>1</v>
      </c>
      <c r="O45" s="53" t="n"/>
      <c r="P45" s="52" t="n">
        <v>2</v>
      </c>
      <c r="Q45" s="52" t="n">
        <v>1</v>
      </c>
      <c r="R45" s="52" t="n">
        <v>1</v>
      </c>
      <c r="S45" s="52" t="n">
        <v>1</v>
      </c>
      <c r="T45" s="53" t="n"/>
      <c r="U45" s="52" t="n">
        <v>1</v>
      </c>
      <c r="V45" s="52" t="n">
        <v>2</v>
      </c>
      <c r="W45" s="52" t="n">
        <v>2</v>
      </c>
      <c r="X45" s="52" t="n">
        <v>1</v>
      </c>
      <c r="Y45" s="52" t="n">
        <v>1</v>
      </c>
      <c r="Z45" s="52" t="n"/>
      <c r="AA45" s="53" t="n"/>
      <c r="AB45" s="52" t="n">
        <v>1</v>
      </c>
      <c r="AC45" s="52" t="n">
        <v>1</v>
      </c>
      <c r="AD45" s="52" t="n">
        <v>0</v>
      </c>
      <c r="AE45" s="52" t="n">
        <v>0</v>
      </c>
      <c r="AF45" s="52" t="n">
        <v>2</v>
      </c>
      <c r="AG45" s="52" t="n">
        <v>1</v>
      </c>
      <c r="AH45" s="53" t="n"/>
      <c r="AI45" s="3" t="inlineStr">
        <is>
          <t xml:space="preserve">Foi um dos unicos que falou q queria entrar pra ajudar o clube e falou q queria fazer amigo kkkkkkk, mas n achei q sabe muito de consultoria ou o q quer com o clube </t>
        </is>
      </c>
    </row>
    <row r="46" ht="14.25" customHeight="1" s="65">
      <c r="A46" s="53" t="n"/>
      <c r="B46" s="54" t="inlineStr">
        <is>
          <t>r302729@dac.unicamp.br</t>
        </is>
      </c>
      <c r="C46" s="54" t="inlineStr">
        <is>
          <t>Rafael Rodrigues Moreira</t>
        </is>
      </c>
      <c r="D46" s="3" t="inlineStr">
        <is>
          <t>Proc</t>
        </is>
      </c>
      <c r="E46" s="32">
        <f>IF(COUNT(K46:AG46)=0,"",ROUND((F46+G46+H46+I46+J46)/10,2))</f>
        <v/>
      </c>
      <c r="F46" s="33">
        <f>IF(COUNT(K46:AG46)=0,"",(K46*10+L46*8+M46*7+N46*5)/3)</f>
        <v/>
      </c>
      <c r="G46" s="33">
        <f>IF(COUNT(K46:AG46)=0,"",(P46*8+Q46*7+R46*5+S46*5)/3)</f>
        <v/>
      </c>
      <c r="H46" s="33">
        <f>IF(COUNT(K46:AG46)=0,"",(U46*6+V46*6+W46*4+X46*3+Y46*3+Z46*3)/3)</f>
        <v/>
      </c>
      <c r="I46" s="33">
        <f>IF(COUNT(K46:AG46)=0,"",AB46*3+AC46*2+AD46*2+AE46*1)</f>
        <v/>
      </c>
      <c r="J46" s="33">
        <f>IF(COUNT(K46:AG46)=0,"",(AF46*5+AG46*5)/3)</f>
        <v/>
      </c>
      <c r="K46" s="52" t="n"/>
      <c r="L46" s="52" t="n"/>
      <c r="M46" s="52" t="n"/>
      <c r="N46" s="52" t="n"/>
      <c r="O46" s="53" t="n"/>
      <c r="P46" s="52" t="n"/>
      <c r="Q46" s="52" t="n"/>
      <c r="R46" s="52" t="n"/>
      <c r="S46" s="52" t="n"/>
      <c r="T46" s="53" t="n"/>
      <c r="U46" s="52" t="n"/>
      <c r="V46" s="52" t="n"/>
      <c r="W46" s="52" t="n"/>
      <c r="X46" s="52" t="n"/>
      <c r="Y46" s="52" t="n"/>
      <c r="Z46" s="52" t="n"/>
      <c r="AA46" s="53" t="n"/>
      <c r="AB46" s="52" t="n"/>
      <c r="AC46" s="52" t="n"/>
      <c r="AD46" s="52" t="n"/>
      <c r="AE46" s="52" t="n"/>
      <c r="AF46" s="52" t="n">
        <v>0</v>
      </c>
      <c r="AG46" s="52" t="n">
        <v>1</v>
      </c>
      <c r="AH46" s="53" t="n"/>
      <c r="AI46" s="3" t="inlineStr">
        <is>
          <t>60% no GMAT; falou bem do nosso instagram, falou pouco sobre ele. 1min30 de vídeo.</t>
        </is>
      </c>
    </row>
    <row r="47" ht="14.25" customHeight="1" s="65">
      <c r="A47" s="53" t="n"/>
      <c r="B47" s="54" t="inlineStr">
        <is>
          <t>c258388@dac.unicamp.br</t>
        </is>
      </c>
      <c r="C47" s="54" t="inlineStr">
        <is>
          <t>Caio Augusto Saab</t>
        </is>
      </c>
      <c r="D47" s="3" t="inlineStr">
        <is>
          <t>victor</t>
        </is>
      </c>
      <c r="E47" s="32">
        <f>IF(COUNT(K47:AG47)=0,"",ROUND((F47+G47+H47+I47+J47)/10,2))</f>
        <v/>
      </c>
      <c r="F47" s="33">
        <f>IF(COUNT(K47:AG47)=0,"",(K47*10+L47*8+M47*7+N47*5)/3)</f>
        <v/>
      </c>
      <c r="G47" s="33">
        <f>IF(COUNT(K47:AG47)=0,"",(P47*8+Q47*7+R47*5+S47*5)/3)</f>
        <v/>
      </c>
      <c r="H47" s="33">
        <f>IF(COUNT(K47:AG47)=0,"",(U47*6+V47*6+W47*4+X47*3+Y47*3+Z47*3)/3)</f>
        <v/>
      </c>
      <c r="I47" s="33">
        <f>IF(COUNT(K47:AG47)=0,"",AB47*3+AC47*2+AD47*2+AE47*1)</f>
        <v/>
      </c>
      <c r="J47" s="33">
        <f>IF(COUNT(K47:AG47)=0,"",(AF47*5+AG47*5)/3)</f>
        <v/>
      </c>
      <c r="K47" s="52" t="n">
        <v>1</v>
      </c>
      <c r="L47" s="52" t="n">
        <v>1</v>
      </c>
      <c r="M47" s="52" t="n">
        <v>1</v>
      </c>
      <c r="N47" s="52" t="n">
        <v>0</v>
      </c>
      <c r="O47" s="53" t="inlineStr">
        <is>
          <t>só um documento com nenhuma análise aprofundada</t>
        </is>
      </c>
      <c r="P47" s="52" t="n">
        <v>2</v>
      </c>
      <c r="Q47" s="52" t="n">
        <v>0</v>
      </c>
      <c r="R47" s="52" t="n">
        <v>1</v>
      </c>
      <c r="S47" s="52" t="n">
        <v>0</v>
      </c>
      <c r="T47" s="53" t="n"/>
      <c r="U47" s="52" t="n">
        <v>3</v>
      </c>
      <c r="V47" s="52" t="n">
        <v>3</v>
      </c>
      <c r="W47" s="52" t="n">
        <v>1</v>
      </c>
      <c r="X47" s="52" t="n">
        <v>0</v>
      </c>
      <c r="Y47" s="52" t="n">
        <v>0</v>
      </c>
      <c r="Z47" s="52" t="n"/>
      <c r="AA47" s="53" t="n"/>
      <c r="AB47" s="52" t="n">
        <v>0</v>
      </c>
      <c r="AC47" s="52" t="n">
        <v>0</v>
      </c>
      <c r="AD47" s="52" t="n">
        <v>0</v>
      </c>
      <c r="AE47" s="52" t="n">
        <v>0</v>
      </c>
      <c r="AF47" s="52" t="n">
        <v>2</v>
      </c>
      <c r="AG47" s="52" t="n">
        <v>1</v>
      </c>
      <c r="AH47" s="53" t="n"/>
      <c r="AI47" s="3" t="inlineStr">
        <is>
          <t xml:space="preserve">muito generico </t>
        </is>
      </c>
    </row>
    <row r="48" ht="14.25" customHeight="1" s="65">
      <c r="A48" s="53" t="n"/>
      <c r="B48" s="54" t="inlineStr">
        <is>
          <t>j260826@dac.unicamp.br</t>
        </is>
      </c>
      <c r="C48" s="54" t="inlineStr">
        <is>
          <t>José Vitor Dias Tutu</t>
        </is>
      </c>
      <c r="D48" s="3" t="inlineStr">
        <is>
          <t>Proc</t>
        </is>
      </c>
      <c r="E48" s="32">
        <f>IF(COUNT(K48:AG48)=0,"",ROUND((F48+G48+H48+I48+J48)/10,2))</f>
        <v/>
      </c>
      <c r="F48" s="33">
        <f>IF(COUNT(K48:AG48)=0,"",(K48*10+L48*8+M48*7+N48*5)/3)</f>
        <v/>
      </c>
      <c r="G48" s="33">
        <f>IF(COUNT(K48:AG48)=0,"",(P48*8+Q48*7+R48*5+S48*5)/3)</f>
        <v/>
      </c>
      <c r="H48" s="33">
        <f>IF(COUNT(K48:AG48)=0,"",(U48*6+V48*6+W48*4+X48*3+Y48*3+Z48*3)/3)</f>
        <v/>
      </c>
      <c r="I48" s="33">
        <f>IF(COUNT(K48:AG48)=0,"",AB48*3+AC48*2+AD48*2+AE48*1)</f>
        <v/>
      </c>
      <c r="J48" s="33">
        <f>IF(COUNT(K48:AG48)=0,"",(AF48*5+AG48*5)/3)</f>
        <v/>
      </c>
      <c r="K48" s="52" t="n">
        <v>1</v>
      </c>
      <c r="L48" s="52" t="n">
        <v>1</v>
      </c>
      <c r="M48" s="52" t="n">
        <v>1</v>
      </c>
      <c r="N48" s="52" t="n">
        <v>1</v>
      </c>
      <c r="O48" s="53" t="inlineStr">
        <is>
          <t>Como ja dito pelo outro, ja está reprovado, ruim.</t>
        </is>
      </c>
      <c r="P48" s="52" t="n">
        <v>1</v>
      </c>
      <c r="Q48" s="52" t="n">
        <v>1</v>
      </c>
      <c r="R48" s="52" t="n">
        <v>1</v>
      </c>
      <c r="S48" s="52" t="n">
        <v>1</v>
      </c>
      <c r="T48" s="53" t="n"/>
      <c r="U48" s="52" t="n">
        <v>1</v>
      </c>
      <c r="V48" s="52" t="n">
        <v>1</v>
      </c>
      <c r="W48" s="52" t="n">
        <v>1</v>
      </c>
      <c r="X48" s="52" t="n">
        <v>1</v>
      </c>
      <c r="Y48" s="52" t="n">
        <v>1</v>
      </c>
      <c r="Z48" s="52" t="n"/>
      <c r="AA48" s="53" t="n"/>
      <c r="AB48" s="52" t="n">
        <v>0</v>
      </c>
      <c r="AC48" s="52" t="n">
        <v>0</v>
      </c>
      <c r="AD48" s="52" t="n">
        <v>0</v>
      </c>
      <c r="AE48" s="52" t="n">
        <v>0</v>
      </c>
      <c r="AF48" s="52" t="n">
        <v>2</v>
      </c>
      <c r="AG48" s="52" t="n">
        <v>1</v>
      </c>
      <c r="AH48" s="53" t="n"/>
      <c r="AI48" s="3" t="inlineStr">
        <is>
          <t>Tentou traduzir a página e foi mal no GMAT. Vídeo ruim. Motivos ruins.</t>
        </is>
      </c>
    </row>
    <row r="49" ht="14.25" customHeight="1" s="65">
      <c r="A49" s="53" t="n"/>
      <c r="B49" s="54" t="inlineStr">
        <is>
          <t xml:space="preserve">i253464@dac.unicamp.br
</t>
        </is>
      </c>
      <c r="C49" s="54" t="inlineStr">
        <is>
          <t>Isadora Kluge Dorigan</t>
        </is>
      </c>
      <c r="D49" s="3" t="inlineStr">
        <is>
          <t>Fred</t>
        </is>
      </c>
      <c r="E49" s="32">
        <f>IF(COUNT(K49:AG49)=0,"",ROUND((F49+G49+H49+I49+J49)/10,2))</f>
        <v/>
      </c>
      <c r="F49" s="33">
        <f>IF(COUNT(K49:AG49)=0,"",(K49*10+L49*8+M49*7+N49*5)/3)</f>
        <v/>
      </c>
      <c r="G49" s="33">
        <f>IF(COUNT(K49:AG49)=0,"",(P49*8+Q49*7+R49*5+S49*5)/3)</f>
        <v/>
      </c>
      <c r="H49" s="33">
        <f>IF(COUNT(K49:AG49)=0,"",(U49*6+V49*6+W49*4+X49*3+Y49*3+Z49*3)/3)</f>
        <v/>
      </c>
      <c r="I49" s="33">
        <f>IF(COUNT(K49:AG49)=0,"",AB49*3+AC49*2+AD49*2+AE49*1)</f>
        <v/>
      </c>
      <c r="J49" s="33">
        <f>IF(COUNT(K49:AG49)=0,"",(AF49*5+AG49*5)/3)</f>
        <v/>
      </c>
      <c r="K49" s="52" t="n">
        <v>1</v>
      </c>
      <c r="L49" s="52" t="n">
        <v>3</v>
      </c>
      <c r="M49" s="52" t="n">
        <v>3</v>
      </c>
      <c r="N49" s="52" t="n">
        <v>3</v>
      </c>
      <c r="O49" s="53" t="n"/>
      <c r="P49" s="52" t="n">
        <v>3</v>
      </c>
      <c r="Q49" s="52" t="n">
        <v>3</v>
      </c>
      <c r="R49" s="52" t="n">
        <v>2</v>
      </c>
      <c r="S49" s="52" t="n">
        <v>2</v>
      </c>
      <c r="T49" s="53" t="n"/>
      <c r="U49" s="52" t="n">
        <v>3</v>
      </c>
      <c r="V49" s="52" t="n">
        <v>3</v>
      </c>
      <c r="W49" s="52" t="n">
        <v>2</v>
      </c>
      <c r="X49" s="52" t="n">
        <v>2</v>
      </c>
      <c r="Y49" s="52" t="n">
        <v>3</v>
      </c>
      <c r="Z49" s="52" t="n"/>
      <c r="AA49" s="53" t="n"/>
      <c r="AB49" s="52" t="n">
        <v>0</v>
      </c>
      <c r="AC49" s="52" t="n">
        <v>1</v>
      </c>
      <c r="AD49" s="52" t="n">
        <v>1</v>
      </c>
      <c r="AE49" s="52" t="n">
        <v>3</v>
      </c>
      <c r="AF49" s="52" t="n">
        <v>3</v>
      </c>
      <c r="AG49" s="52" t="n">
        <v>3</v>
      </c>
      <c r="AH49" s="53" t="n"/>
      <c r="AI49" s="3" t="inlineStr">
        <is>
          <t>Mandou bem no vídeo e vai ser a próxima ana bia + verena</t>
        </is>
      </c>
    </row>
    <row r="50" ht="14.25" customHeight="1" s="65">
      <c r="A50" s="53" t="n"/>
      <c r="B50" s="75" t="inlineStr">
        <is>
          <t>TERCEIRO AVALIADOR</t>
        </is>
      </c>
      <c r="C50" s="76" t="inlineStr">
        <is>
          <t>TERCEIRO AVALIADOR</t>
        </is>
      </c>
      <c r="D50" s="53" t="n"/>
      <c r="E50" s="32">
        <f>IF(COUNT(K50:AG50)=0,"",ROUND((F50+G50+H50+I50+J50)/10,2))</f>
        <v/>
      </c>
      <c r="F50" s="33">
        <f>IF(COUNT(K50:AG50)=0,"",(K50*10+L50*8+M50*7+N50*5)/3)</f>
        <v/>
      </c>
      <c r="G50" s="33">
        <f>IF(COUNT(K50:AG50)=0,"",(P50*8+Q50*7+R50*5+S50*5)/3)</f>
        <v/>
      </c>
      <c r="H50" s="33">
        <f>IF(COUNT(K50:AG50)=0,"",(U50*6+V50*6+W50*4+X50*3+Y50*3+Z50*3)/3)</f>
        <v/>
      </c>
      <c r="I50" s="33">
        <f>IF(COUNT(K50:AG50)=0,"",AB50*3+AC50*2+AD50*2+AE50*1)</f>
        <v/>
      </c>
      <c r="J50" s="33">
        <f>IF(COUNT(K50:AG50)=0,"",(AF50*5+AG50*5)/3)</f>
        <v/>
      </c>
      <c r="K50" s="52" t="n"/>
      <c r="L50" s="52" t="n"/>
      <c r="M50" s="52" t="n"/>
      <c r="N50" s="52" t="n"/>
      <c r="O50" s="53" t="n"/>
      <c r="P50" s="52" t="n"/>
      <c r="Q50" s="52" t="n"/>
      <c r="R50" s="52" t="n"/>
      <c r="S50" s="52" t="n"/>
      <c r="T50" s="53" t="n"/>
      <c r="U50" s="52" t="n"/>
      <c r="V50" s="52" t="n"/>
      <c r="W50" s="52" t="n"/>
      <c r="X50" s="52" t="n"/>
      <c r="Y50" s="52" t="n"/>
      <c r="Z50" s="52" t="n"/>
      <c r="AA50" s="53" t="n"/>
      <c r="AB50" s="52" t="n"/>
      <c r="AC50" s="52" t="n"/>
      <c r="AD50" s="52" t="n"/>
      <c r="AE50" s="52" t="n"/>
      <c r="AF50" s="52" t="n"/>
      <c r="AG50" s="52" t="n"/>
      <c r="AH50" s="53" t="n"/>
      <c r="AI50" s="53" t="n"/>
    </row>
    <row r="51" ht="14.25" customHeight="1" s="65">
      <c r="A51" s="53" t="n"/>
      <c r="B51" s="79" t="inlineStr">
        <is>
          <t>g278083@dac.unicamp.br</t>
        </is>
      </c>
      <c r="C51" s="3" t="inlineStr">
        <is>
          <t>Gabrielle Cristofani do Rosario</t>
        </is>
      </c>
      <c r="D51" s="3" t="inlineStr">
        <is>
          <t>Matteo</t>
        </is>
      </c>
      <c r="E51" s="32" t="n">
        <v>7.45</v>
      </c>
      <c r="F51" s="33" t="n">
        <v>20</v>
      </c>
      <c r="G51" s="33" t="n">
        <v>19.33</v>
      </c>
      <c r="H51" s="33" t="n">
        <v>18.67</v>
      </c>
      <c r="I51" s="33" t="n">
        <v>9</v>
      </c>
      <c r="J51" s="33" t="n">
        <v>7.5</v>
      </c>
      <c r="K51" s="52" t="n">
        <v>2</v>
      </c>
      <c r="L51" s="52" t="n">
        <v>2</v>
      </c>
      <c r="M51" s="52" t="n">
        <v>2</v>
      </c>
      <c r="N51" s="52" t="n">
        <v>2</v>
      </c>
      <c r="O51" s="74" t="inlineStr">
        <is>
          <t>Recomendação só no slide 8 de 10. O slide 4 traz a complexidade do Centro e de Noite Alta invertida. O slide 9 cita um relatório escrito que não está na pasta.</t>
        </is>
      </c>
      <c r="P51" s="52" t="n">
        <v>3</v>
      </c>
      <c r="Q51" s="52" t="n">
        <v>2</v>
      </c>
      <c r="R51" s="52" t="n">
        <v>2</v>
      </c>
      <c r="S51" s="52" t="n">
        <v>2</v>
      </c>
      <c r="T51" s="73" t="inlineStr">
        <is>
          <t>Achou sozinha por que parceiros ganham: o banco rateado dá R$ 1.750 por posição e supera a economia de operação. Reconhece que o Centro tem margem maior e o coloca como segunda onda.</t>
        </is>
      </c>
      <c r="U51" s="52" t="n">
        <v>3</v>
      </c>
      <c r="V51" s="52" t="n">
        <v>3</v>
      </c>
      <c r="W51" s="52" t="n">
        <v>2</v>
      </c>
      <c r="X51" s="52" t="n">
        <v>2</v>
      </c>
      <c r="Y51" s="52" t="n">
        <v>2</v>
      </c>
      <c r="Z51" s="52" t="n"/>
      <c r="AA51" s="73" t="inlineStr">
        <is>
          <t>Resultados conferem com o gabarito. Memória de cálculo manuscrita, com o arredondamento escrito como 22,5 vira 23. As contas usam a complexidade certa, então o erro do slide 4 é de transcrição. Os riscos não têm mitigação que os enderece.</t>
        </is>
      </c>
      <c r="AB51" s="52" t="n">
        <v>1</v>
      </c>
      <c r="AC51" s="52" t="n">
        <v>1</v>
      </c>
      <c r="AD51" s="52" t="n">
        <v>1</v>
      </c>
      <c r="AE51" s="52" t="n">
        <v>2</v>
      </c>
      <c r="AF51" s="52" t="n">
        <v>2.5</v>
      </c>
      <c r="AG51" s="52" t="n">
        <v>2</v>
      </c>
      <c r="AH51" s="53" t="n"/>
      <c r="AI51" s="74" t="inlineStr">
        <is>
          <t>Entrega sólida, com a conta certa e memória de cálculo verificável à mão, inclusive o arredondamento da Arena. Achou sozinha a causa de os parceiros ganharem e tratou a tensão do case de frente. Três reparos, todos de execução: a complexidade invertida no slide 4, a recomendação chegando só no slide 8 e a promessa de um relatório que não está na pasta. Na entrevista eu pergunto qual é a complexidade certa do Centro, já que o slide e as contas divergem. O vídeo de entrega está na pasta do Drive, então E3 vale 1.</t>
        </is>
      </c>
    </row>
    <row r="52" ht="14.25" customHeight="1" s="65">
      <c r="A52" s="53" t="n"/>
      <c r="B52" s="79" t="inlineStr">
        <is>
          <t>b309603@dac.unicamp.br</t>
        </is>
      </c>
      <c r="C52" s="3" t="inlineStr">
        <is>
          <t>Bruno Heberth Oliveira Bastos</t>
        </is>
      </c>
      <c r="D52" s="3" t="inlineStr">
        <is>
          <t>Matteo</t>
        </is>
      </c>
      <c r="E52" s="32" t="n">
        <v>6.83</v>
      </c>
      <c r="F52" s="33" t="n">
        <v>21</v>
      </c>
      <c r="G52" s="33" t="n">
        <v>15</v>
      </c>
      <c r="H52" s="33" t="n">
        <v>17.67</v>
      </c>
      <c r="I52" s="33" t="n">
        <v>8</v>
      </c>
      <c r="J52" s="33" t="n">
        <v>6.67</v>
      </c>
      <c r="K52" s="52" t="n">
        <v>3</v>
      </c>
      <c r="L52" s="52" t="n">
        <v>2</v>
      </c>
      <c r="M52" s="52" t="n">
        <v>1</v>
      </c>
      <c r="N52" s="52" t="n">
        <v>2</v>
      </c>
      <c r="O52" s="74" t="inlineStr">
        <is>
          <t>Recomendação na pág. 1 com o número. Os títulos são rótulos de seção, então quem folheia não acha a resposta. Texto em primeira pessoa com ressalva a cada parágrafo.</t>
        </is>
      </c>
      <c r="P52" s="52" t="n">
        <v>2</v>
      </c>
      <c r="Q52" s="52" t="n">
        <v>2</v>
      </c>
      <c r="R52" s="52" t="n">
        <v>1</v>
      </c>
      <c r="S52" s="52" t="n">
        <v>2</v>
      </c>
      <c r="T52" s="73" t="inlineStr">
        <is>
          <t>Compara os oito cenários e descarta Arena e Noite Alta por escrito. Não quis generalizar a vantagem dos parceiros, disse que dependia dos custos do case, e a generalização era possível.</t>
        </is>
      </c>
      <c r="U52" s="52" t="n">
        <v>3</v>
      </c>
      <c r="V52" s="52" t="n">
        <v>3</v>
      </c>
      <c r="W52" s="52" t="n">
        <v>2</v>
      </c>
      <c r="X52" s="52" t="n">
        <v>2</v>
      </c>
      <c r="Y52" s="52" t="n">
        <v>1</v>
      </c>
      <c r="Z52" s="52" t="n"/>
      <c r="AA52" s="73" t="inlineStr">
        <is>
          <t>Oito cenários conferem com o gabarito. Melhor memória de cálculo do grupo: planilha com ROUNDUP e fórmulas ligadas entre abas. Riscos sem mitigação e sem prazo.</t>
        </is>
      </c>
      <c r="AB52" s="52" t="n">
        <v>1</v>
      </c>
      <c r="AC52" s="52" t="n">
        <v>1</v>
      </c>
      <c r="AD52" s="52" t="n">
        <v>0</v>
      </c>
      <c r="AE52" s="52" t="n">
        <v>3</v>
      </c>
      <c r="AF52" s="52" t="n">
        <v>3</v>
      </c>
      <c r="AG52" s="52" t="n">
        <v>1</v>
      </c>
      <c r="AH52" s="53" t="n"/>
      <c r="AI52" s="74" t="inlineStr">
        <is>
          <t>Entrega honesta, com o melhor artefato do grupo: planilha que funciona de verdade, com fórmulas ligadas entre abas. Gostei de ele separar o que a conta mostra do que a conta não mostra, e de apontar lacuna em vez de inventar estimativa. Onde deixou valor na mesa foi ao se recusar a generalizar a vantagem dos parceiros. O custo maior é de forma: títulos sem mensagem e texto com ressalva a cada parágrafo. Na entrevista eu peço a conta que ele não quis fazer: a partir de que custo de banco os armários ganham na Estação?</t>
        </is>
      </c>
    </row>
    <row r="53" ht="14.25" customHeight="1" s="65">
      <c r="A53" s="53" t="n"/>
      <c r="B53" s="16" t="inlineStr">
        <is>
          <t>j260826@dac.unicamp.br</t>
        </is>
      </c>
      <c r="C53" s="3" t="inlineStr">
        <is>
          <t>José Vitor Dias Tutu</t>
        </is>
      </c>
      <c r="D53" s="3" t="inlineStr">
        <is>
          <t>Matteo</t>
        </is>
      </c>
      <c r="E53" s="32" t="n">
        <v>8.43</v>
      </c>
      <c r="F53" s="33" t="n">
        <v>27.33</v>
      </c>
      <c r="G53" s="33" t="n">
        <v>23.33</v>
      </c>
      <c r="H53" s="33" t="n">
        <v>22</v>
      </c>
      <c r="I53" s="33" t="n">
        <v>5</v>
      </c>
      <c r="J53" s="33" t="n">
        <v>6.67</v>
      </c>
      <c r="K53" s="52" t="n">
        <v>3</v>
      </c>
      <c r="L53" s="52" t="n">
        <v>2</v>
      </c>
      <c r="M53" s="52" t="n">
        <v>3</v>
      </c>
      <c r="N53" s="52" t="n">
        <v>3</v>
      </c>
      <c r="O53" s="74" t="inlineStr">
        <is>
          <t>Recomendação na primeira página e no slide 2, já com o número. O slide 7 mostra seis dos oito cenários, faltam Noite Alta e Arena nos armários. Padrão visual igual nos dois arquivos.</t>
        </is>
      </c>
      <c r="P53" s="52" t="n">
        <v>3</v>
      </c>
      <c r="Q53" s="52" t="n">
        <v>3</v>
      </c>
      <c r="R53" s="52" t="n">
        <v>2</v>
      </c>
      <c r="S53" s="52" t="n">
        <v>3</v>
      </c>
      <c r="T53" s="73" t="inlineStr">
        <is>
          <t>Compara os quatro bairros nos dois modelos e justifica por escrito o descarte do Centro. Trouxe giro por posição, mas não fez sensibilidade nem payback.</t>
        </is>
      </c>
      <c r="U53" s="52" t="n">
        <v>3</v>
      </c>
      <c r="V53" s="52" t="n">
        <v>3</v>
      </c>
      <c r="W53" s="52" t="n">
        <v>3</v>
      </c>
      <c r="X53" s="52" t="n">
        <v>3</v>
      </c>
      <c r="Y53" s="52" t="n">
        <v>3</v>
      </c>
      <c r="Z53" s="52" t="n"/>
      <c r="AA53" s="73" t="inlineStr">
        <is>
          <t>Oito cenários conferem com o gabarito, Arena com 23 bancos. Memória de cálculo na pág. 2, com as cinco equações. Quatro riscos com mitigação e piloto de 30 dias.</t>
        </is>
      </c>
      <c r="AB53" s="52" t="n">
        <v>0</v>
      </c>
      <c r="AC53" s="52" t="n">
        <v>1</v>
      </c>
      <c r="AD53" s="52" t="n">
        <v>0</v>
      </c>
      <c r="AE53" s="52" t="n">
        <v>3</v>
      </c>
      <c r="AF53" s="52" t="n">
        <v>2.5</v>
      </c>
      <c r="AG53" s="52" t="n">
        <v>1.5</v>
      </c>
      <c r="AH53" s="53" t="n"/>
      <c r="AI53" s="74" t="inlineStr">
        <is>
          <t>REPROVADO POR USO DE IA. Entrega boa e bem conferida. Os oito cenários fecham, inclusive o arredondamento da Arena. O que me incomodou foi o critério do rollout mudar no meio: começa priorizando caixa, na fase 2 muda para margem e depois volta. Não fez sensibilidade. O deck inteiro é imagem e o relatório é HTML exportado, o que me fez desconfiar de IA. Na entrevista eu perguntaria por que Noite Alta vem antes da Arena se a margem da Arena é maior.</t>
        </is>
      </c>
    </row>
    <row r="54" ht="14.25" customHeight="1" s="65">
      <c r="A54" s="53" t="n"/>
      <c r="B54" s="79" t="inlineStr">
        <is>
          <t>enzo.gag17@gmail.com</t>
        </is>
      </c>
      <c r="C54" s="3" t="inlineStr">
        <is>
          <t>Enzo Chofakian Gagliardi</t>
        </is>
      </c>
      <c r="D54" s="3" t="inlineStr">
        <is>
          <t>Matteo</t>
        </is>
      </c>
      <c r="E54" s="32" t="n">
        <v>7.47</v>
      </c>
      <c r="F54" s="33" t="n">
        <v>23.33</v>
      </c>
      <c r="G54" s="33" t="n">
        <v>16.67</v>
      </c>
      <c r="H54" s="33" t="n">
        <v>20</v>
      </c>
      <c r="I54" s="33" t="n">
        <v>8</v>
      </c>
      <c r="J54" s="33" t="n">
        <v>6.67</v>
      </c>
      <c r="K54" s="52" t="n">
        <v>3</v>
      </c>
      <c r="L54" s="52" t="n">
        <v>2</v>
      </c>
      <c r="M54" s="52" t="n">
        <v>2</v>
      </c>
      <c r="N54" s="52" t="n">
        <v>2</v>
      </c>
      <c r="O54" s="74" t="inlineStr">
        <is>
          <t>Recomendação no título do slide 2, com o número. Os títulos são frases completas e a história fecha só com eles. Apêndice com os oito cenários abertos.</t>
        </is>
      </c>
      <c r="P54" s="52" t="n">
        <v>2</v>
      </c>
      <c r="Q54" s="52" t="n">
        <v>2</v>
      </c>
      <c r="R54" s="52" t="n">
        <v>2</v>
      </c>
      <c r="S54" s="52" t="n">
        <v>2</v>
      </c>
      <c r="T54" s="73" t="inlineStr">
        <is>
          <t>O slide 6 compara Estação e Centro com os números do trade-off e diz por que o Centro é o segundo. O slide 7 mede duas robustezas: 77% de queda até zerar o resultado e 9,3% até perder a liderança.</t>
        </is>
      </c>
      <c r="U54" s="52" t="n">
        <v>3</v>
      </c>
      <c r="V54" s="52" t="n">
        <v>3</v>
      </c>
      <c r="W54" s="52" t="n">
        <v>3</v>
      </c>
      <c r="X54" s="52" t="n">
        <v>1</v>
      </c>
      <c r="Y54" s="52" t="n">
        <v>3</v>
      </c>
      <c r="Z54" s="52" t="n"/>
      <c r="AA54" s="73" t="inlineStr">
        <is>
          <t>Oito cenários conferem com o gabarito. Planilha com bloco de conferências que tem de dar zero e validador de capacidade. Único a registrar por escrito que o banco é custo anual e não investimento.</t>
        </is>
      </c>
      <c r="AB54" s="52" t="n">
        <v>1</v>
      </c>
      <c r="AC54" s="52" t="n">
        <v>1</v>
      </c>
      <c r="AD54" s="52" t="n">
        <v>0</v>
      </c>
      <c r="AE54" s="52" t="n">
        <v>3</v>
      </c>
      <c r="AF54" s="52" t="n">
        <v>2</v>
      </c>
      <c r="AG54" s="52" t="n">
        <v>2</v>
      </c>
      <c r="AH54" s="53" t="n"/>
      <c r="AI54" s="74" t="inlineStr">
        <is>
          <t>Melhor nota, e o que decide é disciplina de modelagem somada à pergunta certa. A planilha tem autoconferência e validador de capacidade, e ele é o único que modela a sobra do arredondamento e que antecipa por escrito que o banco é custo anual. O slide 7 mede duas robustezas, e a segunda, os 9,3% até perder a liderança, é a pergunta que importa. Discordo de ele chamar isso de risco baixo, é margem estreita. Na entrevista eu pergunto por que a queda até zerar dá exatamente a margem operacional.</t>
        </is>
      </c>
    </row>
    <row r="55" ht="14.25" customHeight="1" s="65">
      <c r="A55" s="53" t="n"/>
      <c r="B55" s="79" t="inlineStr">
        <is>
          <t>e221509@dac.unicamp.br</t>
        </is>
      </c>
      <c r="C55" s="3" t="inlineStr">
        <is>
          <t>Eduardo Alves Henrique</t>
        </is>
      </c>
      <c r="D55" s="3" t="inlineStr">
        <is>
          <t>Matteo</t>
        </is>
      </c>
      <c r="E55" s="32" t="n">
        <v>6.55</v>
      </c>
      <c r="F55" s="33" t="n">
        <v>20</v>
      </c>
      <c r="G55" s="33" t="n">
        <v>16.67</v>
      </c>
      <c r="H55" s="33" t="n">
        <v>17.67</v>
      </c>
      <c r="I55" s="33" t="n">
        <v>7</v>
      </c>
      <c r="J55" s="33" t="n">
        <v>4.17</v>
      </c>
      <c r="K55" s="52" t="n">
        <v>2</v>
      </c>
      <c r="L55" s="52" t="n">
        <v>2</v>
      </c>
      <c r="M55" s="52" t="n">
        <v>2</v>
      </c>
      <c r="N55" s="52" t="n">
        <v>2</v>
      </c>
      <c r="O55" s="74" t="inlineStr">
        <is>
          <t>Decisão no slide 2, mas sem número na frase. O bairro Noite Alta aparece como Alta Noite em todas as tabelas. Dois slides são o anexo do próprio case colado.</t>
        </is>
      </c>
      <c r="P55" s="52" t="n">
        <v>2</v>
      </c>
      <c r="Q55" s="52" t="n">
        <v>2</v>
      </c>
      <c r="R55" s="52" t="n">
        <v>2</v>
      </c>
      <c r="S55" s="52" t="n">
        <v>2</v>
      </c>
      <c r="T55" s="73" t="inlineStr">
        <is>
          <t>Escolheu o Centro Histórico, que é o segundo maior lucro, e assumiu isso por escrito. O breakeven do slide 12 está certo nos quatro bairros, mas trata o banco como investimento de primeiro ano e o Anexo E diz que é custo anual. Não justificou o descarte da Estação.</t>
        </is>
      </c>
      <c r="U55" s="52" t="n">
        <v>3</v>
      </c>
      <c r="V55" s="52" t="n">
        <v>3</v>
      </c>
      <c r="W55" s="52" t="n">
        <v>2</v>
      </c>
      <c r="X55" s="52" t="n">
        <v>2</v>
      </c>
      <c r="Y55" s="52" t="n">
        <v>1</v>
      </c>
      <c r="Z55" s="52" t="n"/>
      <c r="AA55" s="73" t="inlineStr">
        <is>
          <t>Oito cenários conferem com o gabarito. Memória de cálculo em nove fotos de caderno, com a conta de Noite Alta passo a passo. Não há seção de riscos.</t>
        </is>
      </c>
      <c r="AB55" s="52" t="n">
        <v>1</v>
      </c>
      <c r="AC55" s="52" t="n">
        <v>1</v>
      </c>
      <c r="AD55" s="52" t="n">
        <v>0</v>
      </c>
      <c r="AE55" s="52" t="n">
        <v>2</v>
      </c>
      <c r="AF55" s="52" t="n">
        <v>2</v>
      </c>
      <c r="AG55" s="52" t="n">
        <v>0.5</v>
      </c>
      <c r="AH55" s="53" t="n"/>
      <c r="AI55" s="74" t="inlineStr">
        <is>
          <t>Conta impecável e decisão deliberadamente contra o número, o que torna interessante de corrigir. Escolheu o segundo maior lucro e assumiu, com argumento de complexidade e eficiência de capital. O problema é a premissa do breakeven: trata o banco como investimento e o Anexo E diz que é anual, e isso não aparece em nenhum slide. Não há riscos e o descarte da Estação não é justificado. Na entrevista eu pergunto por que o banco vale só no primeiro ano.</t>
        </is>
      </c>
    </row>
    <row r="56" ht="14.25" customHeight="1" s="65">
      <c r="A56" s="53" t="n"/>
      <c r="B56" s="16" t="inlineStr">
        <is>
          <t>l304532@dac.unicamp.br</t>
        </is>
      </c>
      <c r="C56" s="3" t="inlineStr">
        <is>
          <t>Leandra Cunha de Souza</t>
        </is>
      </c>
      <c r="D56" s="3" t="inlineStr">
        <is>
          <t>Matteo</t>
        </is>
      </c>
      <c r="E56" s="32" t="n">
        <v>5</v>
      </c>
      <c r="F56" s="33" t="n">
        <v>13.33</v>
      </c>
      <c r="G56" s="33" t="n">
        <v>13.33</v>
      </c>
      <c r="H56" s="33" t="n">
        <v>13.67</v>
      </c>
      <c r="I56" s="33" t="n">
        <v>3</v>
      </c>
      <c r="J56" s="33" t="n">
        <v>6.67</v>
      </c>
      <c r="K56" s="52" t="n">
        <v>2</v>
      </c>
      <c r="L56" s="52" t="n">
        <v>1</v>
      </c>
      <c r="M56" s="52" t="n">
        <v>1</v>
      </c>
      <c r="N56" s="52" t="n">
        <v>1</v>
      </c>
      <c r="O56" s="74" t="inlineStr">
        <is>
          <t>Recomendação no slide 11 de 13. Nome da empresa errado na capa, Bag Huby. Utilização de Noite Alta e Arena trocada no slide 3, contra o slide 12. Texto de template esquecido no slide 4. Com esse volume de erros não é arquivo que se manda ao cliente.</t>
        </is>
      </c>
      <c r="P56" s="52" t="n">
        <v>2</v>
      </c>
      <c r="Q56" s="52" t="n">
        <v>2</v>
      </c>
      <c r="R56" s="52" t="n">
        <v>1</v>
      </c>
      <c r="S56" s="52" t="n">
        <v>1</v>
      </c>
      <c r="T56" s="73" t="inlineStr">
        <is>
          <t>Enfrenta o contra-argumento por escrito: diz que a Estação tem o maior resultado e explica por que escolhe o Centro. O slide 12 justifica uma a uma as posições do ranking. Mas lê os 54% de utilização como prova de demanda consistente, e o case diz que a capacidade foi dimensionada para picos, então a leitura do indicador para em cima.</t>
        </is>
      </c>
      <c r="U56" s="52" t="n">
        <v>2</v>
      </c>
      <c r="V56" s="52" t="n">
        <v>2</v>
      </c>
      <c r="W56" s="52" t="n">
        <v>2</v>
      </c>
      <c r="X56" s="52" t="n">
        <v>2</v>
      </c>
      <c r="Y56" s="52" t="n">
        <v>1</v>
      </c>
      <c r="Z56" s="52" t="n"/>
      <c r="AA56" s="73" t="inlineStr">
        <is>
          <t>Oito cenários conferem com o gabarito e as margens fecham. As tabelas dos slides 6 a 9 decompõem cada linha de custo, mas a do slide 3 carrega a utilização trocada. Os dois riscos não têm mitigação.</t>
        </is>
      </c>
      <c r="AB56" s="52" t="n">
        <v>0</v>
      </c>
      <c r="AC56" s="52" t="n">
        <v>1</v>
      </c>
      <c r="AD56" s="52" t="n">
        <v>0</v>
      </c>
      <c r="AE56" s="52" t="n">
        <v>1</v>
      </c>
      <c r="AF56" s="52" t="n">
        <v>2</v>
      </c>
      <c r="AG56" s="52" t="n">
        <v>2</v>
      </c>
      <c r="AH56" s="53" t="n"/>
      <c r="AI56" s="74" t="inlineStr">
        <is>
          <t>REPROVADA. A análise está certa e a comunicação derruba a nota, o que é uma pena porque os dois problemas são baratos. Os oito cenários fecham e as tabelas de custo são um modelo de memória de cálculo. Ela também faz a coisa certa de enfrentar o contra-argumento em vez de esconder. O que custa é o acabamento: nome da empresa errado na capa, utilização trocada, texto de template esquecido, e a recomendação no slide 11 de 13. Na entrevista eu pergunto se a utilização da Arena é 31% ou 33%.</t>
        </is>
      </c>
    </row>
    <row r="57" ht="14.25" customHeight="1" s="65">
      <c r="A57" s="53" t="n"/>
      <c r="B57" s="79" t="inlineStr">
        <is>
          <t>v188630@dac.unicamp.br</t>
        </is>
      </c>
      <c r="C57" s="3" t="inlineStr">
        <is>
          <t>Vagner Ássimos Gomes Carlos Filho</t>
        </is>
      </c>
      <c r="D57" s="3" t="inlineStr">
        <is>
          <t>Matteo</t>
        </is>
      </c>
      <c r="E57" s="32" t="n">
        <v>6.62</v>
      </c>
      <c r="F57" s="33" t="n">
        <v>20</v>
      </c>
      <c r="G57" s="33" t="n">
        <v>19</v>
      </c>
      <c r="H57" s="33" t="n">
        <v>14.67</v>
      </c>
      <c r="I57" s="33" t="n">
        <v>5</v>
      </c>
      <c r="J57" s="33" t="n">
        <v>7.5</v>
      </c>
      <c r="K57" s="52" t="n">
        <v>2</v>
      </c>
      <c r="L57" s="52" t="n">
        <v>2</v>
      </c>
      <c r="M57" s="52" t="n">
        <v>2</v>
      </c>
      <c r="N57" s="52" t="n">
        <v>2</v>
      </c>
      <c r="O57" s="74" t="inlineStr">
        <is>
          <t>Recomendação no slide 9 de 13. Tem capa, estrutura e anexo com as premissas declaradas uma a uma. Três slides são parágrafo corrido. A numeração da expansão recomeça no slide 10.</t>
        </is>
      </c>
      <c r="P57" s="52" t="n">
        <v>2</v>
      </c>
      <c r="Q57" s="52" t="n">
        <v>3</v>
      </c>
      <c r="R57" s="52" t="n">
        <v>2</v>
      </c>
      <c r="S57" s="52" t="n">
        <v>2</v>
      </c>
      <c r="T57" s="73" t="inlineStr">
        <is>
          <t>Questiona a própria demanda do case: observa que quem vai a bar não carrega mala, o que põe em dúvida as 20 mil transações de Noite Alta. Recomenda parceiros e lista o que se perde com isso.</t>
        </is>
      </c>
      <c r="U57" s="52" t="n">
        <v>2</v>
      </c>
      <c r="V57" s="52" t="n">
        <v>2</v>
      </c>
      <c r="W57" s="52" t="n">
        <v>2</v>
      </c>
      <c r="X57" s="52" t="n">
        <v>2</v>
      </c>
      <c r="Y57" s="52" t="n">
        <v>2</v>
      </c>
      <c r="Z57" s="52" t="n"/>
      <c r="AA57" s="73" t="inlineStr">
        <is>
          <t>Oito cenários conferem com o gabarito, com a Arena em 23 bancos. Fórmulas nos slides 6 e 7 e premissas no anexo. Dois riscos, com as mitigações mais concretas do grupo, mas sem prazo.</t>
        </is>
      </c>
      <c r="AB57" s="52" t="n">
        <v>0</v>
      </c>
      <c r="AC57" s="52" t="n">
        <v>1</v>
      </c>
      <c r="AD57" s="52" t="n">
        <v>0</v>
      </c>
      <c r="AE57" s="52" t="n">
        <v>3</v>
      </c>
      <c r="AF57" s="52" t="n">
        <v>2.5</v>
      </c>
      <c r="AG57" s="52" t="n">
        <v>2</v>
      </c>
      <c r="AH57" s="53" t="n"/>
      <c r="AI57" s="74" t="inlineStr">
        <is>
          <t>Entrega madura, e o que distingue é fazer a pergunta que o case não faz. Questiona a própria demanda projetada, observando que quem vai a bar não carrega mala, o que derruba Noite Alta apesar do volume. E recomenda parceiros listando o que se perde com isso, que é sinal de maturidade. As mitigações são as mais concretas do grupo. Os reparos são a recomendação chegar no slide 9 e três slides de prosa corrida. Na entrevista eu pergunto o que ele faz com as 20 mil transações de Noite Alta.</t>
        </is>
      </c>
    </row>
    <row r="58" ht="14.25" customHeight="1" s="65">
      <c r="A58" s="53" t="n"/>
      <c r="B58" s="79" t="inlineStr">
        <is>
          <t>j278641@dac.unicamp.br</t>
        </is>
      </c>
      <c r="C58" s="3" t="inlineStr">
        <is>
          <t>João Gabriel de Oliveira Morcelli</t>
        </is>
      </c>
      <c r="D58" s="3" t="inlineStr">
        <is>
          <t>Matteo</t>
        </is>
      </c>
      <c r="E58" s="32" t="n">
        <v>8.68</v>
      </c>
      <c r="F58" s="33" t="n">
        <v>30</v>
      </c>
      <c r="G58" s="33" t="n">
        <v>21.67</v>
      </c>
      <c r="H58" s="33" t="n">
        <v>19.67</v>
      </c>
      <c r="I58" s="33" t="n">
        <v>8</v>
      </c>
      <c r="J58" s="33" t="n">
        <v>7.5</v>
      </c>
      <c r="K58" s="52" t="n">
        <v>3</v>
      </c>
      <c r="L58" s="52" t="n">
        <v>3</v>
      </c>
      <c r="M58" s="52" t="n">
        <v>3</v>
      </c>
      <c r="N58" s="52" t="n">
        <v>3</v>
      </c>
      <c r="O58" s="74" t="inlineStr">
        <is>
          <t>Recomendação na capa e no slide 2, com score, margem e resultado. Os títulos são frases que carregam a mensagem, inclusive o contra-argumento no slide 4.</t>
        </is>
      </c>
      <c r="P58" s="52" t="n">
        <v>3</v>
      </c>
      <c r="Q58" s="52" t="n">
        <v>3</v>
      </c>
      <c r="R58" s="52" t="n">
        <v>2</v>
      </c>
      <c r="S58" s="52" t="n">
        <v>2</v>
      </c>
      <c r="T58" s="73" t="inlineStr">
        <is>
          <t>Score com pesos publicados comparando as oito alternativas na mesma régua. Descobriu que o ranking se inverte no Ano 2 e montou um roadmap em duas fases em cima disso.</t>
        </is>
      </c>
      <c r="U58" s="52" t="n">
        <v>3</v>
      </c>
      <c r="V58" s="52" t="n">
        <v>3</v>
      </c>
      <c r="W58" s="52" t="n">
        <v>2</v>
      </c>
      <c r="X58" s="52" t="n">
        <v>3</v>
      </c>
      <c r="Y58" s="52" t="n">
        <v>2</v>
      </c>
      <c r="Z58" s="52" t="n"/>
      <c r="AA58" s="73" t="inlineStr">
        <is>
          <t>Oito cenários do Ano 1 conferem com o gabarito. Na Arena fixou 23 bancos à mão, contra a fórmula que daria 22,5. Do Ano 2 em diante remove o custo do banco, e o Anexo E diz que é anual, o que derruba a projeção de cinco anos.</t>
        </is>
      </c>
      <c r="AB58" s="52" t="n">
        <v>1</v>
      </c>
      <c r="AC58" s="52" t="n">
        <v>1</v>
      </c>
      <c r="AD58" s="52" t="n">
        <v>0</v>
      </c>
      <c r="AE58" s="52" t="n">
        <v>3</v>
      </c>
      <c r="AF58" s="52" t="n">
        <v>2.5</v>
      </c>
      <c r="AG58" s="52" t="n">
        <v>2</v>
      </c>
      <c r="AH58" s="53" t="n"/>
      <c r="AI58" s="74" t="inlineStr">
        <is>
          <t>Alto nível com um erro que atravessa metade da entrega. O score é o método mais transparente do grupo, com pesos publicados, e os action titles são exemplares. Mas do slide 8 em diante tudo se apoia em remover o custo do banco no Ano 2, e o Anexo E diz que é anual. Sob a premissa certa, cai o roadmap inteiro, que é a parte mais original. Na entrevista eu faço uma pergunta só: por que o custo do banco desaparece a partir do Ano 2?</t>
        </is>
      </c>
    </row>
    <row r="59" ht="14.25" customHeight="1" s="65">
      <c r="A59" s="53" t="n"/>
      <c r="B59" s="80" t="inlineStr">
        <is>
          <t>k267983@dac.unicamp.br</t>
        </is>
      </c>
      <c r="C59" s="3" t="inlineStr">
        <is>
          <t>Klaus Augusto Santos da Silva</t>
        </is>
      </c>
      <c r="D59" s="3" t="inlineStr">
        <is>
          <t>Matteo</t>
        </is>
      </c>
      <c r="E59" s="32" t="n">
        <v>4.8</v>
      </c>
      <c r="F59" s="33" t="n">
        <v>13.33</v>
      </c>
      <c r="G59" s="33" t="n">
        <v>11</v>
      </c>
      <c r="H59" s="33" t="n">
        <v>16.67</v>
      </c>
      <c r="I59" s="33" t="n">
        <v>2</v>
      </c>
      <c r="J59" s="33" t="n">
        <v>5</v>
      </c>
      <c r="K59" s="52" t="n">
        <v>2</v>
      </c>
      <c r="L59" s="52" t="n">
        <v>1</v>
      </c>
      <c r="M59" s="52" t="n">
        <v>1</v>
      </c>
      <c r="N59" s="52" t="n">
        <v>1</v>
      </c>
      <c r="O59" s="74" t="inlineStr">
        <is>
          <t>Relatório final bem estruturado, com sete seções e nota de procedência. Recomendação na seção 6 de 7. Enviou o rascunho junto, com separadores de hashtag.</t>
        </is>
      </c>
      <c r="P59" s="52" t="n">
        <v>2</v>
      </c>
      <c r="Q59" s="52" t="n">
        <v>1</v>
      </c>
      <c r="R59" s="52" t="n">
        <v>1</v>
      </c>
      <c r="S59" s="52" t="n">
        <v>1</v>
      </c>
      <c r="T59" s="73" t="inlineStr">
        <is>
          <t>Precifica o que abdica: R$ 3,39 mi por ano ao trocar rentabilidade por mitigação de risco. Mas soma os quatro bairros como se abrissem juntos, e na decisão real da Estação a abdicação é R$ 2,76 mi. Listou só os riscos da opção que descartou.</t>
        </is>
      </c>
      <c r="U59" s="52" t="n">
        <v>3</v>
      </c>
      <c r="V59" s="52" t="n">
        <v>3</v>
      </c>
      <c r="W59" s="52" t="n">
        <v>2</v>
      </c>
      <c r="X59" s="52" t="n">
        <v>1</v>
      </c>
      <c r="Y59" s="52" t="n">
        <v>1</v>
      </c>
      <c r="Z59" s="52" t="n"/>
      <c r="AA59" s="73" t="inlineStr">
        <is>
          <t>Oito cenários conferem com o gabarito, com a Arena marcada como cerca de 23 bancos. Memória de cálculo completa nas quatro tabelas de custo. Não há próximos passos.</t>
        </is>
      </c>
      <c r="AB59" s="52" t="n">
        <v>0</v>
      </c>
      <c r="AC59" s="52" t="n">
        <v>1</v>
      </c>
      <c r="AD59" s="52" t="n">
        <v>0</v>
      </c>
      <c r="AE59" s="52" t="n">
        <v>0</v>
      </c>
      <c r="AF59" s="52" t="n">
        <v>2</v>
      </c>
      <c r="AG59" s="52" t="n">
        <v>1</v>
      </c>
      <c r="AH59" s="53" t="n"/>
      <c r="AI59" s="74" t="inlineStr">
        <is>
          <t>A melhor ideia do grupo está na seção 7: em vez de justificar a escolha com adjetivos, ele precifica o que está abdicando. Isso transforma julgamento em algo que a diretoria aceita ou recusa com número na mão. Dois reparos de peso: somou os quatro bairros como se abrissem juntos, e listou só os riscos da opção que descartou. Faltam próximos passos. Na entrevista eu pergunto quanto ele abdica de fato se a decisão é só sobre a Estação.</t>
        </is>
      </c>
    </row>
    <row r="60" ht="14.25" customHeight="1" s="65">
      <c r="A60" s="53" t="n"/>
      <c r="B60" s="79" t="inlineStr">
        <is>
          <t>r302729@dac.unicamp.br</t>
        </is>
      </c>
      <c r="C60" s="3" t="inlineStr">
        <is>
          <t>Rafael Rodrigues Moreira</t>
        </is>
      </c>
      <c r="D60" s="3" t="inlineStr">
        <is>
          <t>Matteo</t>
        </is>
      </c>
      <c r="E60" s="32" t="n">
        <v>6.37</v>
      </c>
      <c r="F60" s="33" t="n">
        <v>17.67</v>
      </c>
      <c r="G60" s="33" t="n">
        <v>20.67</v>
      </c>
      <c r="H60" s="33" t="n">
        <v>14.33</v>
      </c>
      <c r="I60" s="33" t="n">
        <v>6</v>
      </c>
      <c r="J60" s="33" t="n">
        <v>5</v>
      </c>
      <c r="K60" s="52" t="n">
        <v>2</v>
      </c>
      <c r="L60" s="52" t="n">
        <v>2</v>
      </c>
      <c r="M60" s="52" t="n">
        <v>1</v>
      </c>
      <c r="N60" s="52" t="n">
        <v>2</v>
      </c>
      <c r="O60" s="74" t="inlineStr">
        <is>
          <t>Não escolhe bairro nem modelo. O índice promete uma seção de recomendação que não existe. Slides 7 e 8 repetem título e numeração, e o mesmo acontece em 10 e 11.</t>
        </is>
      </c>
      <c r="P60" s="52" t="n">
        <v>2</v>
      </c>
      <c r="Q60" s="52" t="n">
        <v>3</v>
      </c>
      <c r="R60" s="52" t="n">
        <v>2</v>
      </c>
      <c r="S60" s="52" t="n">
        <v>3</v>
      </c>
      <c r="T60" s="73" t="inlineStr">
        <is>
          <t>Quatro critérios declarados e todos operacionalizados, com regra de robustez em limiares numéricos. Classifica os bairros em origem, corredor e destino pela jornada do cliente. Mas a tabela dele mostra o Centro ganhando em três dos quatro critérios e a contradição fica sem resposta.</t>
        </is>
      </c>
      <c r="U60" s="52" t="n">
        <v>2</v>
      </c>
      <c r="V60" s="52" t="n">
        <v>3</v>
      </c>
      <c r="W60" s="52" t="n">
        <v>1</v>
      </c>
      <c r="X60" s="52" t="n">
        <v>2</v>
      </c>
      <c r="Y60" s="52" t="n">
        <v>1</v>
      </c>
      <c r="Z60" s="52" t="n"/>
      <c r="AA60" s="73" t="inlineStr">
        <is>
          <t>Sete cenários conferem com o gabarito. Tirou o tempo de permanência das malas da utilização, cerca de 7 horas na Estação, e o valor confere. Na Arena aplicou o custo por posição a 920 posições em vez de 900, contra o Anexo E, e usou 900 na coluna ao lado.</t>
        </is>
      </c>
      <c r="AB60" s="52" t="n">
        <v>0</v>
      </c>
      <c r="AC60" s="52" t="n">
        <v>1</v>
      </c>
      <c r="AD60" s="52" t="n">
        <v>1</v>
      </c>
      <c r="AE60" s="52" t="n">
        <v>2</v>
      </c>
      <c r="AF60" s="52" t="n">
        <v>1</v>
      </c>
      <c r="AG60" s="52" t="n">
        <v>2</v>
      </c>
      <c r="AH60" s="53" t="n"/>
      <c r="AI60" s="74" t="inlineStr">
        <is>
          <t>Tem a melhor análise e a pior conclusão, e isso foi difícil de pontuar. Tirou o tempo de permanência das malas da utilização, cerca de 7 horas na Estação, o que ninguém mais fez, e a regra de robustez dele é a mais rigorosa do grupo. E então não recomenda nada, com o índice prometendo uma seção que não existe. Pior: a tabela dele mostra o Centro ganhando em três dos quatro critérios e a contradição fica em aberto. Na entrevista eu pergunto como ele chegou nas 7 horas e qual bairro recomenda.</t>
        </is>
      </c>
    </row>
    <row r="61" ht="14.25" customHeight="1" s="65">
      <c r="A61" s="53" t="n"/>
      <c r="B61" s="80" t="inlineStr">
        <is>
          <t>c258388@dac.unicamp.br</t>
        </is>
      </c>
      <c r="C61" s="3" t="inlineStr">
        <is>
          <t>Caio Augusto Saab</t>
        </is>
      </c>
      <c r="D61" s="3" t="inlineStr">
        <is>
          <t>Matteo</t>
        </is>
      </c>
      <c r="E61" s="32" t="n">
        <v>3.45</v>
      </c>
      <c r="F61" s="33" t="n">
        <v>13.33</v>
      </c>
      <c r="G61" s="33" t="n">
        <v>6.33</v>
      </c>
      <c r="H61" s="33" t="n">
        <v>7</v>
      </c>
      <c r="I61" s="33" t="n">
        <v>2</v>
      </c>
      <c r="J61" s="33" t="n">
        <v>5.83</v>
      </c>
      <c r="K61" s="52" t="n">
        <v>2</v>
      </c>
      <c r="L61" s="52" t="n">
        <v>1</v>
      </c>
      <c r="M61" s="52" t="n">
        <v>1</v>
      </c>
      <c r="N61" s="52" t="n">
        <v>1</v>
      </c>
      <c r="O61" s="74" t="inlineStr">
        <is>
          <t>Recomendação só na última frase da pág. 5. Texto corrido, sem capa, sem numeração e sem uma única tabela em cinco páginas.</t>
        </is>
      </c>
      <c r="P61" s="52" t="n">
        <v>0</v>
      </c>
      <c r="Q61" s="52" t="n">
        <v>2</v>
      </c>
      <c r="R61" s="52" t="n">
        <v>0</v>
      </c>
      <c r="S61" s="52" t="n">
        <v>1</v>
      </c>
      <c r="T61" s="73" t="inlineStr">
        <is>
          <t>Contradiz o próprio critério: disse que a métrica é margem e escolheu armários com 85,7% em vez de parceiros com 90,7% no mesmo bairro. Descarta a Estação por complexidade alta depois de escrever que era moderada na pág. 1. Não fez riscos nem próximos passos.</t>
        </is>
      </c>
      <c r="U61" s="52" t="n">
        <v>2</v>
      </c>
      <c r="V61" s="52" t="n">
        <v>1</v>
      </c>
      <c r="W61" s="52" t="n">
        <v>0</v>
      </c>
      <c r="X61" s="52" t="n">
        <v>1</v>
      </c>
      <c r="Y61" s="52" t="n">
        <v>0</v>
      </c>
      <c r="Z61" s="52" t="n"/>
      <c r="AA61" s="73" t="inlineStr">
        <is>
          <t>Sete dos oito cenários conferem. Na Arena usou 22,5 bancos em vez de arredondar para 23. Os custos aparecem só como total, sem decomposição, então a memória de cálculo não fica visível.</t>
        </is>
      </c>
      <c r="AB61" s="52" t="n">
        <v>0</v>
      </c>
      <c r="AC61" s="52" t="n">
        <v>1</v>
      </c>
      <c r="AD61" s="52" t="n">
        <v>0</v>
      </c>
      <c r="AE61" s="52" t="n">
        <v>0</v>
      </c>
      <c r="AF61" s="52" t="n">
        <v>2</v>
      </c>
      <c r="AG61" s="52" t="n">
        <v>1.5</v>
      </c>
      <c r="AH61" s="53" t="n"/>
      <c r="AI61" s="74" t="inlineStr">
        <is>
          <t>O problema não é a conta, é a decisão. Sete dos oito cenários estão certos, mas a conclusão vai contra os números: disse que a métrica é margem e escolheu a pior opção pela própria régua. Tem duas contradições factuais sobre complexidade e margem da Arena. Faltam riscos e próximos passos, e não há uma tabela em cinco páginas. Na entrevista eu pergunto por que armários a 85,7% e não parceiros a 90,7% no mesmo bairro.</t>
        </is>
      </c>
    </row>
    <row r="62" ht="14.25" customHeight="1" s="65">
      <c r="A62" s="53" t="n"/>
      <c r="B62" s="53" t="n"/>
      <c r="C62" s="53" t="n"/>
      <c r="D62" s="53" t="n"/>
      <c r="E62" s="32">
        <f>IF(COUNT(K62:AG62)=0,"",ROUND((F62+G62+H62+I62+J62)/10,2))</f>
        <v/>
      </c>
      <c r="F62" s="33">
        <f>IF(COUNT(K62:AG62)=0,"",(K62*10+L62*8+M62*7+N62*5)/3)</f>
        <v/>
      </c>
      <c r="G62" s="33">
        <f>IF(COUNT(K62:AG62)=0,"",(P62*8+Q62*7+R62*5+S62*5)/3)</f>
        <v/>
      </c>
      <c r="H62" s="33">
        <f>IF(COUNT(K62:AG62)=0,"",(U62*6+V62*6+W62*4+X62*3+Y62*3+Z62*3)/3)</f>
        <v/>
      </c>
      <c r="I62" s="33">
        <f>IF(COUNT(K62:AG62)=0,"",AB62*3+AC62*2+AD62*2+AE62*1)</f>
        <v/>
      </c>
      <c r="J62" s="33">
        <f>IF(COUNT(K62:AG62)=0,"",(AF62*5+AG62*5)/3)</f>
        <v/>
      </c>
      <c r="K62" s="52" t="n"/>
      <c r="L62" s="52" t="n"/>
      <c r="M62" s="52" t="n"/>
      <c r="N62" s="52" t="n"/>
      <c r="O62" s="53" t="n"/>
      <c r="P62" s="52" t="n"/>
      <c r="Q62" s="52" t="n"/>
      <c r="R62" s="52" t="n"/>
      <c r="S62" s="52" t="n"/>
      <c r="T62" s="53" t="n"/>
      <c r="U62" s="52" t="n"/>
      <c r="V62" s="52" t="n"/>
      <c r="W62" s="52" t="n"/>
      <c r="X62" s="52" t="n"/>
      <c r="Y62" s="52" t="n"/>
      <c r="Z62" s="52" t="n"/>
      <c r="AA62" s="53" t="n"/>
      <c r="AB62" s="52" t="n"/>
      <c r="AC62" s="52" t="n"/>
      <c r="AD62" s="52" t="n"/>
      <c r="AE62" s="52" t="n"/>
      <c r="AF62" s="52" t="n"/>
      <c r="AG62" s="52" t="n"/>
      <c r="AH62" s="53" t="n"/>
      <c r="AI62" s="53" t="n"/>
    </row>
    <row r="63" ht="14.25" customHeight="1" s="65">
      <c r="A63" s="53" t="n"/>
      <c r="B63" s="53" t="n"/>
      <c r="C63" s="53" t="n"/>
      <c r="D63" s="53" t="n"/>
      <c r="E63" s="32">
        <f>IF(COUNT(K63:AG63)=0,"",ROUND((F63+G63+H63+I63+J63)/10,2))</f>
        <v/>
      </c>
      <c r="F63" s="33">
        <f>IF(COUNT(K63:AG63)=0,"",(K63*10+L63*8+M63*7+N63*5)/3)</f>
        <v/>
      </c>
      <c r="G63" s="33">
        <f>IF(COUNT(K63:AG63)=0,"",(P63*8+Q63*7+R63*5+S63*5)/3)</f>
        <v/>
      </c>
      <c r="H63" s="33">
        <f>IF(COUNT(K63:AG63)=0,"",(U63*6+V63*6+W63*4+X63*3+Y63*3+Z63*3)/3)</f>
        <v/>
      </c>
      <c r="I63" s="33">
        <f>IF(COUNT(K63:AG63)=0,"",AB63*3+AC63*2+AD63*2+AE63*1)</f>
        <v/>
      </c>
      <c r="J63" s="33">
        <f>IF(COUNT(K63:AG63)=0,"",(AF63*5+AG63*5)/3)</f>
        <v/>
      </c>
      <c r="K63" s="52" t="n"/>
      <c r="L63" s="52" t="n"/>
      <c r="M63" s="52" t="n"/>
      <c r="N63" s="52" t="n"/>
      <c r="O63" s="53" t="n"/>
      <c r="P63" s="52" t="n"/>
      <c r="Q63" s="52" t="n"/>
      <c r="R63" s="52" t="n"/>
      <c r="S63" s="52" t="n"/>
      <c r="T63" s="53" t="n"/>
      <c r="U63" s="52" t="n"/>
      <c r="V63" s="52" t="n"/>
      <c r="W63" s="52" t="n"/>
      <c r="X63" s="52" t="n"/>
      <c r="Y63" s="52" t="n"/>
      <c r="Z63" s="52" t="n"/>
      <c r="AA63" s="53" t="n"/>
      <c r="AB63" s="52" t="n"/>
      <c r="AC63" s="52" t="n"/>
      <c r="AD63" s="52" t="n"/>
      <c r="AE63" s="52" t="n"/>
      <c r="AF63" s="52" t="n"/>
      <c r="AG63" s="52" t="n"/>
      <c r="AH63" s="53" t="n"/>
      <c r="AI63" s="53" t="n"/>
    </row>
    <row r="64" ht="14.25" customHeight="1" s="65">
      <c r="A64" s="53" t="n"/>
      <c r="B64" s="53" t="n"/>
      <c r="C64" s="53" t="n"/>
      <c r="D64" s="53" t="n"/>
      <c r="E64" s="32">
        <f>IF(COUNT(K64:AG64)=0,"",ROUND((F64+G64+H64+I64+J64)/10,2))</f>
        <v/>
      </c>
      <c r="F64" s="33">
        <f>IF(COUNT(K64:AG64)=0,"",(K64*10+L64*8+M64*7+N64*5)/3)</f>
        <v/>
      </c>
      <c r="G64" s="33">
        <f>IF(COUNT(K64:AG64)=0,"",(P64*8+Q64*7+R64*5+S64*5)/3)</f>
        <v/>
      </c>
      <c r="H64" s="33">
        <f>IF(COUNT(K64:AG64)=0,"",(U64*6+V64*6+W64*4+X64*3+Y64*3+Z64*3)/3)</f>
        <v/>
      </c>
      <c r="I64" s="33">
        <f>IF(COUNT(K64:AG64)=0,"",AB64*3+AC64*2+AD64*2+AE64*1)</f>
        <v/>
      </c>
      <c r="J64" s="33">
        <f>IF(COUNT(K64:AG64)=0,"",(AF64*5+AG64*5)/3)</f>
        <v/>
      </c>
      <c r="K64" s="52" t="n"/>
      <c r="L64" s="52" t="n"/>
      <c r="M64" s="52" t="n"/>
      <c r="N64" s="52" t="n"/>
      <c r="O64" s="53" t="n"/>
      <c r="P64" s="52" t="n"/>
      <c r="Q64" s="52" t="n"/>
      <c r="R64" s="52" t="n"/>
      <c r="S64" s="52" t="n"/>
      <c r="T64" s="53" t="n"/>
      <c r="U64" s="52" t="n"/>
      <c r="V64" s="52" t="n"/>
      <c r="W64" s="52" t="n"/>
      <c r="X64" s="52" t="n"/>
      <c r="Y64" s="52" t="n"/>
      <c r="Z64" s="52" t="n"/>
      <c r="AA64" s="53" t="n"/>
      <c r="AB64" s="52" t="n"/>
      <c r="AC64" s="52" t="n"/>
      <c r="AD64" s="52" t="n"/>
      <c r="AE64" s="52" t="n"/>
      <c r="AF64" s="52" t="n"/>
      <c r="AG64" s="52" t="n"/>
      <c r="AH64" s="53" t="n"/>
      <c r="AI64" s="53" t="n"/>
    </row>
    <row r="65" ht="14.25" customHeight="1" s="65">
      <c r="A65" s="53" t="n"/>
      <c r="B65" s="53" t="n"/>
      <c r="C65" s="53" t="n"/>
      <c r="D65" s="53" t="n"/>
      <c r="E65" s="32">
        <f>IF(COUNT(K65:AG65)=0,"",ROUND((F65+G65+H65+I65+J65)/10,2))</f>
        <v/>
      </c>
      <c r="F65" s="33">
        <f>IF(COUNT(K65:AG65)=0,"",(K65*10+L65*8+M65*7+N65*5)/3)</f>
        <v/>
      </c>
      <c r="G65" s="33">
        <f>IF(COUNT(K65:AG65)=0,"",(P65*8+Q65*7+R65*5+S65*5)/3)</f>
        <v/>
      </c>
      <c r="H65" s="33">
        <f>IF(COUNT(K65:AG65)=0,"",(U65*6+V65*6+W65*4+X65*3+Y65*3+Z65*3)/3)</f>
        <v/>
      </c>
      <c r="I65" s="33">
        <f>IF(COUNT(K65:AG65)=0,"",AB65*3+AC65*2+AD65*2+AE65*1)</f>
        <v/>
      </c>
      <c r="J65" s="33">
        <f>IF(COUNT(K65:AG65)=0,"",(AF65*5+AG65*5)/3)</f>
        <v/>
      </c>
      <c r="K65" s="52" t="n"/>
      <c r="L65" s="52" t="n"/>
      <c r="M65" s="52" t="n"/>
      <c r="N65" s="52" t="n"/>
      <c r="O65" s="53" t="n"/>
      <c r="P65" s="52" t="n"/>
      <c r="Q65" s="52" t="n"/>
      <c r="R65" s="52" t="n"/>
      <c r="S65" s="52" t="n"/>
      <c r="T65" s="53" t="n"/>
      <c r="U65" s="52" t="n"/>
      <c r="V65" s="52" t="n"/>
      <c r="W65" s="52" t="n"/>
      <c r="X65" s="52" t="n"/>
      <c r="Y65" s="52" t="n"/>
      <c r="Z65" s="52" t="n"/>
      <c r="AA65" s="53" t="n"/>
      <c r="AB65" s="52" t="n"/>
      <c r="AC65" s="52" t="n"/>
      <c r="AD65" s="52" t="n"/>
      <c r="AE65" s="52" t="n"/>
      <c r="AF65" s="52" t="n"/>
      <c r="AG65" s="52" t="n"/>
      <c r="AH65" s="53" t="n"/>
      <c r="AI65" s="53" t="n"/>
    </row>
    <row r="66" ht="14.25" customHeight="1" s="65">
      <c r="A66" s="53" t="n"/>
      <c r="B66" s="53" t="n"/>
      <c r="C66" s="53" t="n"/>
      <c r="D66" s="53" t="n"/>
      <c r="E66" s="32">
        <f>IF(COUNT(K66:AG66)=0,"",ROUND((F66+G66+H66+I66+J66)/10,2))</f>
        <v/>
      </c>
      <c r="F66" s="33">
        <f>IF(COUNT(K66:AG66)=0,"",(K66*10+L66*8+M66*7+N66*5)/3)</f>
        <v/>
      </c>
      <c r="G66" s="33">
        <f>IF(COUNT(K66:AG66)=0,"",(P66*8+Q66*7+R66*5+S66*5)/3)</f>
        <v/>
      </c>
      <c r="H66" s="33">
        <f>IF(COUNT(K66:AG66)=0,"",(U66*6+V66*6+W66*4+X66*3+Y66*3+Z66*3)/3)</f>
        <v/>
      </c>
      <c r="I66" s="33">
        <f>IF(COUNT(K66:AG66)=0,"",AB66*3+AC66*2+AD66*2+AE66*1)</f>
        <v/>
      </c>
      <c r="J66" s="33">
        <f>IF(COUNT(K66:AG66)=0,"",(AF66*5+AG66*5)/3)</f>
        <v/>
      </c>
      <c r="K66" s="52" t="n"/>
      <c r="L66" s="52" t="n"/>
      <c r="M66" s="52" t="n"/>
      <c r="N66" s="52" t="n"/>
      <c r="O66" s="53" t="n"/>
      <c r="P66" s="52" t="n"/>
      <c r="Q66" s="52" t="n"/>
      <c r="R66" s="52" t="n"/>
      <c r="S66" s="52" t="n"/>
      <c r="T66" s="53" t="n"/>
      <c r="U66" s="52" t="n"/>
      <c r="V66" s="52" t="n"/>
      <c r="W66" s="52" t="n"/>
      <c r="X66" s="52" t="n"/>
      <c r="Y66" s="52" t="n"/>
      <c r="Z66" s="52" t="n"/>
      <c r="AA66" s="53" t="n"/>
      <c r="AB66" s="52" t="n"/>
      <c r="AC66" s="52" t="n"/>
      <c r="AD66" s="52" t="n"/>
      <c r="AE66" s="52" t="n"/>
      <c r="AF66" s="52" t="n"/>
      <c r="AG66" s="52" t="n"/>
      <c r="AH66" s="53" t="n"/>
      <c r="AI66" s="53" t="n"/>
    </row>
    <row r="67" ht="14.25" customHeight="1" s="65">
      <c r="A67" s="53" t="n"/>
      <c r="B67" s="53" t="n"/>
      <c r="C67" s="53" t="n"/>
      <c r="D67" s="53" t="n"/>
      <c r="E67" s="32">
        <f>IF(COUNT(K67:AG67)=0,"",ROUND((F67+G67+H67+I67+J67)/10,2))</f>
        <v/>
      </c>
      <c r="F67" s="33">
        <f>IF(COUNT(K67:AG67)=0,"",(K67*10+L67*8+M67*7+N67*5)/3)</f>
        <v/>
      </c>
      <c r="G67" s="33">
        <f>IF(COUNT(K67:AG67)=0,"",(P67*8+Q67*7+R67*5+S67*5)/3)</f>
        <v/>
      </c>
      <c r="H67" s="33">
        <f>IF(COUNT(K67:AG67)=0,"",(U67*6+V67*6+W67*4+X67*3+Y67*3+Z67*3)/3)</f>
        <v/>
      </c>
      <c r="I67" s="33">
        <f>IF(COUNT(K67:AG67)=0,"",AB67*3+AC67*2+AD67*2+AE67*1)</f>
        <v/>
      </c>
      <c r="J67" s="33">
        <f>IF(COUNT(K67:AG67)=0,"",(AF67*5+AG67*5)/3)</f>
        <v/>
      </c>
      <c r="K67" s="52" t="n"/>
      <c r="L67" s="52" t="n"/>
      <c r="M67" s="52" t="n"/>
      <c r="N67" s="52" t="n"/>
      <c r="O67" s="53" t="n"/>
      <c r="P67" s="52" t="n"/>
      <c r="Q67" s="52" t="n"/>
      <c r="R67" s="52" t="n"/>
      <c r="S67" s="52" t="n"/>
      <c r="T67" s="53" t="n"/>
      <c r="U67" s="52" t="n"/>
      <c r="V67" s="52" t="n"/>
      <c r="W67" s="52" t="n"/>
      <c r="X67" s="52" t="n"/>
      <c r="Y67" s="52" t="n"/>
      <c r="Z67" s="52" t="n"/>
      <c r="AA67" s="53" t="n"/>
      <c r="AB67" s="52" t="n"/>
      <c r="AC67" s="52" t="n"/>
      <c r="AD67" s="52" t="n"/>
      <c r="AE67" s="52" t="n"/>
      <c r="AF67" s="52" t="n"/>
      <c r="AG67" s="52" t="n"/>
      <c r="AH67" s="53" t="n"/>
      <c r="AI67" s="53" t="n"/>
    </row>
    <row r="68" ht="14.25" customHeight="1" s="65">
      <c r="A68" s="53" t="n"/>
      <c r="B68" s="53" t="n"/>
      <c r="C68" s="53" t="n"/>
      <c r="D68" s="53" t="n"/>
      <c r="E68" s="32">
        <f>IF(COUNT(K68:AG68)=0,"",ROUND((F68+G68+H68+I68+J68)/10,2))</f>
        <v/>
      </c>
      <c r="F68" s="33">
        <f>IF(COUNT(K68:AG68)=0,"",(K68*10+L68*8+M68*7+N68*5)/3)</f>
        <v/>
      </c>
      <c r="G68" s="33">
        <f>IF(COUNT(K68:AG68)=0,"",(P68*8+Q68*7+R68*5+S68*5)/3)</f>
        <v/>
      </c>
      <c r="H68" s="33">
        <f>IF(COUNT(K68:AG68)=0,"",(U68*6+V68*6+W68*4+X68*3+Y68*3+Z68*3)/3)</f>
        <v/>
      </c>
      <c r="I68" s="33">
        <f>IF(COUNT(K68:AG68)=0,"",AB68*3+AC68*2+AD68*2+AE68*1)</f>
        <v/>
      </c>
      <c r="J68" s="33">
        <f>IF(COUNT(K68:AG68)=0,"",(AF68*5+AG68*5)/3)</f>
        <v/>
      </c>
      <c r="K68" s="52" t="n"/>
      <c r="L68" s="52" t="n"/>
      <c r="M68" s="52" t="n"/>
      <c r="N68" s="52" t="n"/>
      <c r="O68" s="53" t="n"/>
      <c r="P68" s="52" t="n"/>
      <c r="Q68" s="52" t="n"/>
      <c r="R68" s="52" t="n"/>
      <c r="S68" s="52" t="n"/>
      <c r="T68" s="53" t="n"/>
      <c r="U68" s="52" t="n"/>
      <c r="V68" s="52" t="n"/>
      <c r="W68" s="52" t="n"/>
      <c r="X68" s="52" t="n"/>
      <c r="Y68" s="52" t="n"/>
      <c r="Z68" s="52" t="n"/>
      <c r="AA68" s="53" t="n"/>
      <c r="AB68" s="52" t="n"/>
      <c r="AC68" s="52" t="n"/>
      <c r="AD68" s="52" t="n"/>
      <c r="AE68" s="52" t="n"/>
      <c r="AF68" s="52" t="n"/>
      <c r="AG68" s="52" t="n"/>
      <c r="AH68" s="53" t="n"/>
      <c r="AI68" s="53" t="n"/>
    </row>
    <row r="69" ht="14.25" customHeight="1" s="65">
      <c r="A69" s="53" t="n"/>
      <c r="B69" s="53" t="n"/>
      <c r="C69" s="53" t="n"/>
      <c r="D69" s="53" t="n"/>
      <c r="E69" s="32">
        <f>IF(COUNT(K69:AG69)=0,"",ROUND((F69+G69+H69+I69+J69)/10,2))</f>
        <v/>
      </c>
      <c r="F69" s="33">
        <f>IF(COUNT(K69:AG69)=0,"",(K69*10+L69*8+M69*7+N69*5)/3)</f>
        <v/>
      </c>
      <c r="G69" s="33">
        <f>IF(COUNT(K69:AG69)=0,"",(P69*8+Q69*7+R69*5+S69*5)/3)</f>
        <v/>
      </c>
      <c r="H69" s="33">
        <f>IF(COUNT(K69:AG69)=0,"",(U69*6+V69*6+W69*4+X69*3+Y69*3+Z69*3)/3)</f>
        <v/>
      </c>
      <c r="I69" s="33">
        <f>IF(COUNT(K69:AG69)=0,"",AB69*3+AC69*2+AD69*2+AE69*1)</f>
        <v/>
      </c>
      <c r="J69" s="33">
        <f>IF(COUNT(K69:AG69)=0,"",(AF69*5+AG69*5)/3)</f>
        <v/>
      </c>
      <c r="K69" s="52" t="n"/>
      <c r="L69" s="52" t="n"/>
      <c r="M69" s="52" t="n"/>
      <c r="N69" s="52" t="n"/>
      <c r="O69" s="53" t="n"/>
      <c r="P69" s="52" t="n"/>
      <c r="Q69" s="52" t="n"/>
      <c r="R69" s="52" t="n"/>
      <c r="S69" s="52" t="n"/>
      <c r="T69" s="53" t="n"/>
      <c r="U69" s="52" t="n"/>
      <c r="V69" s="52" t="n"/>
      <c r="W69" s="52" t="n"/>
      <c r="X69" s="52" t="n"/>
      <c r="Y69" s="52" t="n"/>
      <c r="Z69" s="52" t="n"/>
      <c r="AA69" s="53" t="n"/>
      <c r="AB69" s="52" t="n"/>
      <c r="AC69" s="52" t="n"/>
      <c r="AD69" s="52" t="n"/>
      <c r="AE69" s="52" t="n"/>
      <c r="AF69" s="52" t="n"/>
      <c r="AG69" s="52" t="n"/>
      <c r="AH69" s="53" t="n"/>
      <c r="AI69" s="53" t="n"/>
    </row>
    <row r="70" ht="14.25" customHeight="1" s="65">
      <c r="A70" s="53" t="n"/>
      <c r="B70" s="53" t="n"/>
      <c r="C70" s="53" t="n"/>
      <c r="D70" s="53" t="n"/>
      <c r="E70" s="32">
        <f>IF(COUNT(K70:AG70)=0,"",ROUND((F70+G70+H70+I70+J70)/10,2))</f>
        <v/>
      </c>
      <c r="F70" s="33">
        <f>IF(COUNT(K70:AG70)=0,"",(K70*10+L70*8+M70*7+N70*5)/3)</f>
        <v/>
      </c>
      <c r="G70" s="33">
        <f>IF(COUNT(K70:AG70)=0,"",(P70*8+Q70*7+R70*5+S70*5)/3)</f>
        <v/>
      </c>
      <c r="H70" s="33">
        <f>IF(COUNT(K70:AG70)=0,"",(U70*6+V70*6+W70*4+X70*3+Y70*3+Z70*3)/3)</f>
        <v/>
      </c>
      <c r="I70" s="33">
        <f>IF(COUNT(K70:AG70)=0,"",AB70*3+AC70*2+AD70*2+AE70*1)</f>
        <v/>
      </c>
      <c r="J70" s="33">
        <f>IF(COUNT(K70:AG70)=0,"",(AF70*5+AG70*5)/3)</f>
        <v/>
      </c>
      <c r="K70" s="52" t="n"/>
      <c r="L70" s="52" t="n"/>
      <c r="M70" s="52" t="n"/>
      <c r="N70" s="52" t="n"/>
      <c r="O70" s="53" t="n"/>
      <c r="P70" s="52" t="n"/>
      <c r="Q70" s="52" t="n"/>
      <c r="R70" s="52" t="n"/>
      <c r="S70" s="52" t="n"/>
      <c r="T70" s="53" t="n"/>
      <c r="U70" s="52" t="n"/>
      <c r="V70" s="52" t="n"/>
      <c r="W70" s="52" t="n"/>
      <c r="X70" s="52" t="n"/>
      <c r="Y70" s="52" t="n"/>
      <c r="Z70" s="52" t="n"/>
      <c r="AA70" s="53" t="n"/>
      <c r="AB70" s="52" t="n"/>
      <c r="AC70" s="52" t="n"/>
      <c r="AD70" s="52" t="n"/>
      <c r="AE70" s="52" t="n"/>
      <c r="AF70" s="52" t="n"/>
      <c r="AG70" s="52" t="n"/>
      <c r="AH70" s="53" t="n"/>
      <c r="AI70" s="53" t="n"/>
    </row>
    <row r="71" ht="14.25" customHeight="1" s="65">
      <c r="A71" s="53" t="n"/>
      <c r="B71" s="53" t="n"/>
      <c r="C71" s="53" t="n"/>
      <c r="D71" s="53" t="n"/>
      <c r="E71" s="32">
        <f>IF(COUNT(K71:AG71)=0,"",ROUND((F71+G71+H71+I71+J71)/10,2))</f>
        <v/>
      </c>
      <c r="F71" s="33">
        <f>IF(COUNT(K71:AG71)=0,"",(K71*10+L71*8+M71*7+N71*5)/3)</f>
        <v/>
      </c>
      <c r="G71" s="33">
        <f>IF(COUNT(K71:AG71)=0,"",(P71*8+Q71*7+R71*5+S71*5)/3)</f>
        <v/>
      </c>
      <c r="H71" s="33">
        <f>IF(COUNT(K71:AG71)=0,"",(U71*6+V71*6+W71*4+X71*3+Y71*3+Z71*3)/3)</f>
        <v/>
      </c>
      <c r="I71" s="33">
        <f>IF(COUNT(K71:AG71)=0,"",AB71*3+AC71*2+AD71*2+AE71*1)</f>
        <v/>
      </c>
      <c r="J71" s="33">
        <f>IF(COUNT(K71:AG71)=0,"",(AF71*5+AG71*5)/3)</f>
        <v/>
      </c>
      <c r="K71" s="52" t="n"/>
      <c r="L71" s="52" t="n"/>
      <c r="M71" s="52" t="n"/>
      <c r="N71" s="52" t="n"/>
      <c r="O71" s="53" t="n"/>
      <c r="P71" s="52" t="n"/>
      <c r="Q71" s="52" t="n"/>
      <c r="R71" s="52" t="n"/>
      <c r="S71" s="52" t="n"/>
      <c r="T71" s="53" t="n"/>
      <c r="U71" s="52" t="n"/>
      <c r="V71" s="52" t="n"/>
      <c r="W71" s="52" t="n"/>
      <c r="X71" s="52" t="n"/>
      <c r="Y71" s="52" t="n"/>
      <c r="Z71" s="52" t="n"/>
      <c r="AA71" s="53" t="n"/>
      <c r="AB71" s="52" t="n"/>
      <c r="AC71" s="52" t="n"/>
      <c r="AD71" s="52" t="n"/>
      <c r="AE71" s="52" t="n"/>
      <c r="AF71" s="52" t="n"/>
      <c r="AG71" s="52" t="n"/>
      <c r="AH71" s="53" t="n"/>
      <c r="AI71" s="53" t="n"/>
    </row>
    <row r="72" ht="14.25" customHeight="1" s="65">
      <c r="A72" s="53" t="n"/>
      <c r="B72" s="53" t="n"/>
      <c r="C72" s="53" t="n"/>
      <c r="D72" s="53" t="n"/>
      <c r="E72" s="32">
        <f>IF(COUNT(K72:AG72)=0,"",ROUND((F72+G72+H72+I72+J72)/10,2))</f>
        <v/>
      </c>
      <c r="F72" s="33">
        <f>IF(COUNT(K72:AG72)=0,"",(K72*10+L72*8+M72*7+N72*5)/3)</f>
        <v/>
      </c>
      <c r="G72" s="33">
        <f>IF(COUNT(K72:AG72)=0,"",(P72*8+Q72*7+R72*5+S72*5)/3)</f>
        <v/>
      </c>
      <c r="H72" s="33">
        <f>IF(COUNT(K72:AG72)=0,"",(U72*6+V72*6+W72*4+X72*3+Y72*3+Z72*3)/3)</f>
        <v/>
      </c>
      <c r="I72" s="33">
        <f>IF(COUNT(K72:AG72)=0,"",AB72*3+AC72*2+AD72*2+AE72*1)</f>
        <v/>
      </c>
      <c r="J72" s="33">
        <f>IF(COUNT(K72:AG72)=0,"",(AF72*5+AG72*5)/3)</f>
        <v/>
      </c>
      <c r="K72" s="52" t="n"/>
      <c r="L72" s="52" t="n"/>
      <c r="M72" s="52" t="n"/>
      <c r="N72" s="52" t="n"/>
      <c r="O72" s="53" t="n"/>
      <c r="P72" s="52" t="n"/>
      <c r="Q72" s="52" t="n"/>
      <c r="R72" s="52" t="n"/>
      <c r="S72" s="52" t="n"/>
      <c r="T72" s="53" t="n"/>
      <c r="U72" s="52" t="n"/>
      <c r="V72" s="52" t="n"/>
      <c r="W72" s="52" t="n"/>
      <c r="X72" s="52" t="n"/>
      <c r="Y72" s="52" t="n"/>
      <c r="Z72" s="52" t="n"/>
      <c r="AA72" s="53" t="n"/>
      <c r="AB72" s="52" t="n"/>
      <c r="AC72" s="52" t="n"/>
      <c r="AD72" s="52" t="n"/>
      <c r="AE72" s="52" t="n"/>
      <c r="AF72" s="52" t="n"/>
      <c r="AG72" s="52" t="n"/>
      <c r="AH72" s="53" t="n"/>
      <c r="AI72" s="53" t="n"/>
    </row>
    <row r="73" ht="14.25" customHeight="1" s="65">
      <c r="A73" s="53" t="n"/>
      <c r="B73" s="53" t="n"/>
      <c r="C73" s="53" t="n"/>
      <c r="D73" s="53" t="n"/>
      <c r="E73" s="32">
        <f>IF(COUNT(K73:AG73)=0,"",ROUND((F73+G73+H73+I73+J73)/10,2))</f>
        <v/>
      </c>
      <c r="F73" s="33">
        <f>IF(COUNT(K73:AG73)=0,"",(K73*10+L73*8+M73*7+N73*5)/3)</f>
        <v/>
      </c>
      <c r="G73" s="33">
        <f>IF(COUNT(K73:AG73)=0,"",(P73*8+Q73*7+R73*5+S73*5)/3)</f>
        <v/>
      </c>
      <c r="H73" s="33">
        <f>IF(COUNT(K73:AG73)=0,"",(U73*6+V73*6+W73*4+X73*3+Y73*3+Z73*3)/3)</f>
        <v/>
      </c>
      <c r="I73" s="33">
        <f>IF(COUNT(K73:AG73)=0,"",AB73*3+AC73*2+AD73*2+AE73*1)</f>
        <v/>
      </c>
      <c r="J73" s="33">
        <f>IF(COUNT(K73:AG73)=0,"",(AF73*5+AG73*5)/3)</f>
        <v/>
      </c>
      <c r="K73" s="52" t="n"/>
      <c r="L73" s="52" t="n"/>
      <c r="M73" s="52" t="n"/>
      <c r="N73" s="52" t="n"/>
      <c r="O73" s="53" t="n"/>
      <c r="P73" s="52" t="n"/>
      <c r="Q73" s="52" t="n"/>
      <c r="R73" s="52" t="n"/>
      <c r="S73" s="52" t="n"/>
      <c r="T73" s="53" t="n"/>
      <c r="U73" s="52" t="n"/>
      <c r="V73" s="52" t="n"/>
      <c r="W73" s="52" t="n"/>
      <c r="X73" s="52" t="n"/>
      <c r="Y73" s="52" t="n"/>
      <c r="Z73" s="52" t="n"/>
      <c r="AA73" s="53" t="n"/>
      <c r="AB73" s="52" t="n"/>
      <c r="AC73" s="52" t="n"/>
      <c r="AD73" s="52" t="n"/>
      <c r="AE73" s="52" t="n"/>
      <c r="AF73" s="52" t="n"/>
      <c r="AG73" s="52" t="n"/>
      <c r="AH73" s="53" t="n"/>
      <c r="AI73" s="53" t="n"/>
    </row>
    <row r="74" ht="14.25" customHeight="1" s="65">
      <c r="A74" s="53" t="n"/>
      <c r="B74" s="53" t="n"/>
      <c r="C74" s="53" t="n"/>
      <c r="D74" s="53" t="n"/>
      <c r="E74" s="32">
        <f>IF(COUNT(K74:AG74)=0,"",ROUND((F74+G74+H74+I74+J74)/10,2))</f>
        <v/>
      </c>
      <c r="F74" s="33">
        <f>IF(COUNT(K74:AG74)=0,"",(K74*10+L74*8+M74*7+N74*5)/3)</f>
        <v/>
      </c>
      <c r="G74" s="33">
        <f>IF(COUNT(K74:AG74)=0,"",(P74*8+Q74*7+R74*5+S74*5)/3)</f>
        <v/>
      </c>
      <c r="H74" s="33">
        <f>IF(COUNT(K74:AG74)=0,"",(U74*6+V74*6+W74*4+X74*3+Y74*3+Z74*3)/3)</f>
        <v/>
      </c>
      <c r="I74" s="33">
        <f>IF(COUNT(K74:AG74)=0,"",AB74*3+AC74*2+AD74*2+AE74*1)</f>
        <v/>
      </c>
      <c r="J74" s="33">
        <f>IF(COUNT(K74:AG74)=0,"",(AF74*5+AG74*5)/3)</f>
        <v/>
      </c>
      <c r="K74" s="52" t="n"/>
      <c r="L74" s="52" t="n"/>
      <c r="M74" s="52" t="n"/>
      <c r="N74" s="52" t="n"/>
      <c r="O74" s="53" t="n"/>
      <c r="P74" s="52" t="n"/>
      <c r="Q74" s="52" t="n"/>
      <c r="R74" s="52" t="n"/>
      <c r="S74" s="52" t="n"/>
      <c r="T74" s="53" t="n"/>
      <c r="U74" s="52" t="n"/>
      <c r="V74" s="52" t="n"/>
      <c r="W74" s="52" t="n"/>
      <c r="X74" s="52" t="n"/>
      <c r="Y74" s="52" t="n"/>
      <c r="Z74" s="52" t="n"/>
      <c r="AA74" s="53" t="n"/>
      <c r="AB74" s="52" t="n"/>
      <c r="AC74" s="52" t="n"/>
      <c r="AD74" s="52" t="n"/>
      <c r="AE74" s="52" t="n"/>
      <c r="AF74" s="52" t="n"/>
      <c r="AG74" s="52" t="n"/>
      <c r="AH74" s="53" t="n"/>
      <c r="AI74" s="53" t="n"/>
    </row>
    <row r="75" ht="14.25" customHeight="1" s="65">
      <c r="A75" s="53" t="n"/>
      <c r="B75" s="53" t="n"/>
      <c r="C75" s="53" t="n"/>
      <c r="D75" s="53" t="n"/>
      <c r="E75" s="32">
        <f>IF(COUNT(K75:AG75)=0,"",ROUND((F75+G75+H75+I75+J75)/10,2))</f>
        <v/>
      </c>
      <c r="F75" s="33">
        <f>IF(COUNT(K75:AG75)=0,"",(K75*10+L75*8+M75*7+N75*5)/3)</f>
        <v/>
      </c>
      <c r="G75" s="33">
        <f>IF(COUNT(K75:AG75)=0,"",(P75*8+Q75*7+R75*5+S75*5)/3)</f>
        <v/>
      </c>
      <c r="H75" s="33">
        <f>IF(COUNT(K75:AG75)=0,"",(U75*6+V75*6+W75*4+X75*3+Y75*3+Z75*3)/3)</f>
        <v/>
      </c>
      <c r="I75" s="33">
        <f>IF(COUNT(K75:AG75)=0,"",AB75*3+AC75*2+AD75*2+AE75*1)</f>
        <v/>
      </c>
      <c r="J75" s="33">
        <f>IF(COUNT(K75:AG75)=0,"",(AF75*5+AG75*5)/3)</f>
        <v/>
      </c>
      <c r="K75" s="52" t="n"/>
      <c r="L75" s="52" t="n"/>
      <c r="M75" s="52" t="n"/>
      <c r="N75" s="52" t="n"/>
      <c r="O75" s="53" t="n"/>
      <c r="P75" s="52" t="n"/>
      <c r="Q75" s="52" t="n"/>
      <c r="R75" s="52" t="n"/>
      <c r="S75" s="52" t="n"/>
      <c r="T75" s="53" t="n"/>
      <c r="U75" s="52" t="n"/>
      <c r="V75" s="52" t="n"/>
      <c r="W75" s="52" t="n"/>
      <c r="X75" s="52" t="n"/>
      <c r="Y75" s="52" t="n"/>
      <c r="Z75" s="52" t="n"/>
      <c r="AA75" s="53" t="n"/>
      <c r="AB75" s="52" t="n"/>
      <c r="AC75" s="52" t="n"/>
      <c r="AD75" s="52" t="n"/>
      <c r="AE75" s="52" t="n"/>
      <c r="AF75" s="52" t="n"/>
      <c r="AG75" s="52" t="n"/>
      <c r="AH75" s="53" t="n"/>
      <c r="AI75" s="53" t="n"/>
    </row>
    <row r="76" ht="14.25" customHeight="1" s="65">
      <c r="A76" s="53" t="n"/>
      <c r="B76" s="53" t="n"/>
      <c r="C76" s="53" t="n"/>
      <c r="D76" s="53" t="n"/>
      <c r="E76" s="32">
        <f>IF(COUNT(K76:AG76)=0,"",ROUND((F76+G76+H76+I76+J76)/10,2))</f>
        <v/>
      </c>
      <c r="F76" s="33">
        <f>IF(COUNT(K76:AG76)=0,"",(K76*10+L76*8+M76*7+N76*5)/3)</f>
        <v/>
      </c>
      <c r="G76" s="33">
        <f>IF(COUNT(K76:AG76)=0,"",(P76*8+Q76*7+R76*5+S76*5)/3)</f>
        <v/>
      </c>
      <c r="H76" s="33">
        <f>IF(COUNT(K76:AG76)=0,"",(U76*6+V76*6+W76*4+X76*3+Y76*3+Z76*3)/3)</f>
        <v/>
      </c>
      <c r="I76" s="33">
        <f>IF(COUNT(K76:AG76)=0,"",AB76*3+AC76*2+AD76*2+AE76*1)</f>
        <v/>
      </c>
      <c r="J76" s="33">
        <f>IF(COUNT(K76:AG76)=0,"",(AF76*5+AG76*5)/3)</f>
        <v/>
      </c>
      <c r="K76" s="52" t="n"/>
      <c r="L76" s="52" t="n"/>
      <c r="M76" s="52" t="n"/>
      <c r="N76" s="52" t="n"/>
      <c r="O76" s="53" t="n"/>
      <c r="P76" s="52" t="n"/>
      <c r="Q76" s="52" t="n"/>
      <c r="R76" s="52" t="n"/>
      <c r="S76" s="52" t="n"/>
      <c r="T76" s="53" t="n"/>
      <c r="U76" s="52" t="n"/>
      <c r="V76" s="52" t="n"/>
      <c r="W76" s="52" t="n"/>
      <c r="X76" s="52" t="n"/>
      <c r="Y76" s="52" t="n"/>
      <c r="Z76" s="52" t="n"/>
      <c r="AA76" s="53" t="n"/>
      <c r="AB76" s="52" t="n"/>
      <c r="AC76" s="52" t="n"/>
      <c r="AD76" s="52" t="n"/>
      <c r="AE76" s="52" t="n"/>
      <c r="AF76" s="52" t="n"/>
      <c r="AG76" s="52" t="n"/>
      <c r="AH76" s="53" t="n"/>
      <c r="AI76" s="53" t="n"/>
    </row>
    <row r="77" ht="14.25" customHeight="1" s="65">
      <c r="A77" s="53" t="n"/>
      <c r="B77" s="53" t="n"/>
      <c r="C77" s="53" t="n"/>
      <c r="D77" s="53" t="n"/>
      <c r="E77" s="32">
        <f>IF(COUNT(K77:AG77)=0,"",ROUND((F77+G77+H77+I77+J77)/10,2))</f>
        <v/>
      </c>
      <c r="F77" s="33">
        <f>IF(COUNT(K77:AG77)=0,"",(K77*10+L77*8+M77*7+N77*5)/3)</f>
        <v/>
      </c>
      <c r="G77" s="33">
        <f>IF(COUNT(K77:AG77)=0,"",(P77*8+Q77*7+R77*5+S77*5)/3)</f>
        <v/>
      </c>
      <c r="H77" s="33">
        <f>IF(COUNT(K77:AG77)=0,"",(U77*6+V77*6+W77*4+X77*3+Y77*3+Z77*3)/3)</f>
        <v/>
      </c>
      <c r="I77" s="33">
        <f>IF(COUNT(K77:AG77)=0,"",AB77*3+AC77*2+AD77*2+AE77*1)</f>
        <v/>
      </c>
      <c r="J77" s="33">
        <f>IF(COUNT(K77:AG77)=0,"",(AF77*5+AG77*5)/3)</f>
        <v/>
      </c>
      <c r="K77" s="52" t="n"/>
      <c r="L77" s="52" t="n"/>
      <c r="M77" s="52" t="n"/>
      <c r="N77" s="52" t="n"/>
      <c r="O77" s="53" t="n"/>
      <c r="P77" s="52" t="n"/>
      <c r="Q77" s="52" t="n"/>
      <c r="R77" s="52" t="n"/>
      <c r="S77" s="52" t="n"/>
      <c r="T77" s="53" t="n"/>
      <c r="U77" s="52" t="n"/>
      <c r="V77" s="52" t="n"/>
      <c r="W77" s="52" t="n"/>
      <c r="X77" s="52" t="n"/>
      <c r="Y77" s="52" t="n"/>
      <c r="Z77" s="52" t="n"/>
      <c r="AA77" s="53" t="n"/>
      <c r="AB77" s="52" t="n"/>
      <c r="AC77" s="52" t="n"/>
      <c r="AD77" s="52" t="n"/>
      <c r="AE77" s="52" t="n"/>
      <c r="AF77" s="52" t="n"/>
      <c r="AG77" s="52" t="n"/>
      <c r="AH77" s="53" t="n"/>
      <c r="AI77" s="53" t="n"/>
    </row>
    <row r="78" ht="14.25" customHeight="1" s="65">
      <c r="A78" s="53" t="n"/>
      <c r="B78" s="53" t="n"/>
      <c r="C78" s="53" t="n"/>
      <c r="D78" s="53" t="n"/>
      <c r="E78" s="32">
        <f>IF(COUNT(K78:AG78)=0,"",ROUND((F78+G78+H78+I78+J78)/10,2))</f>
        <v/>
      </c>
      <c r="F78" s="33">
        <f>IF(COUNT(K78:AG78)=0,"",(K78*10+L78*8+M78*7+N78*5)/3)</f>
        <v/>
      </c>
      <c r="G78" s="33">
        <f>IF(COUNT(K78:AG78)=0,"",(P78*8+Q78*7+R78*5+S78*5)/3)</f>
        <v/>
      </c>
      <c r="H78" s="33">
        <f>IF(COUNT(K78:AG78)=0,"",(U78*6+V78*6+W78*4+X78*3+Y78*3+Z78*3)/3)</f>
        <v/>
      </c>
      <c r="I78" s="33">
        <f>IF(COUNT(K78:AG78)=0,"",AB78*3+AC78*2+AD78*2+AE78*1)</f>
        <v/>
      </c>
      <c r="J78" s="33">
        <f>IF(COUNT(K78:AG78)=0,"",(AF78*5+AG78*5)/3)</f>
        <v/>
      </c>
      <c r="K78" s="52" t="n"/>
      <c r="L78" s="52" t="n"/>
      <c r="M78" s="52" t="n"/>
      <c r="N78" s="52" t="n"/>
      <c r="O78" s="53" t="n"/>
      <c r="P78" s="52" t="n"/>
      <c r="Q78" s="52" t="n"/>
      <c r="R78" s="52" t="n"/>
      <c r="S78" s="52" t="n"/>
      <c r="T78" s="53" t="n"/>
      <c r="U78" s="52" t="n"/>
      <c r="V78" s="52" t="n"/>
      <c r="W78" s="52" t="n"/>
      <c r="X78" s="52" t="n"/>
      <c r="Y78" s="52" t="n"/>
      <c r="Z78" s="52" t="n"/>
      <c r="AA78" s="53" t="n"/>
      <c r="AB78" s="52" t="n"/>
      <c r="AC78" s="52" t="n"/>
      <c r="AD78" s="52" t="n"/>
      <c r="AE78" s="52" t="n"/>
      <c r="AF78" s="52" t="n"/>
      <c r="AG78" s="52" t="n"/>
      <c r="AH78" s="53" t="n"/>
      <c r="AI78" s="53" t="n"/>
    </row>
    <row r="79" ht="14.25" customHeight="1" s="65">
      <c r="A79" s="53" t="n"/>
      <c r="B79" s="53" t="n"/>
      <c r="C79" s="53" t="n"/>
      <c r="D79" s="53" t="n"/>
      <c r="E79" s="32">
        <f>IF(COUNT(K79:AG79)=0,"",ROUND((F79+G79+H79+I79+J79)/10,2))</f>
        <v/>
      </c>
      <c r="F79" s="33">
        <f>IF(COUNT(K79:AG79)=0,"",(K79*10+L79*8+M79*7+N79*5)/3)</f>
        <v/>
      </c>
      <c r="G79" s="33">
        <f>IF(COUNT(K79:AG79)=0,"",(P79*8+Q79*7+R79*5+S79*5)/3)</f>
        <v/>
      </c>
      <c r="H79" s="33">
        <f>IF(COUNT(K79:AG79)=0,"",(U79*6+V79*6+W79*4+X79*3+Y79*3+Z79*3)/3)</f>
        <v/>
      </c>
      <c r="I79" s="33">
        <f>IF(COUNT(K79:AG79)=0,"",AB79*3+AC79*2+AD79*2+AE79*1)</f>
        <v/>
      </c>
      <c r="J79" s="33">
        <f>IF(COUNT(K79:AG79)=0,"",(AF79*5+AG79*5)/3)</f>
        <v/>
      </c>
      <c r="K79" s="52" t="n"/>
      <c r="L79" s="52" t="n"/>
      <c r="M79" s="52" t="n"/>
      <c r="N79" s="52" t="n"/>
      <c r="O79" s="53" t="n"/>
      <c r="P79" s="52" t="n"/>
      <c r="Q79" s="52" t="n"/>
      <c r="R79" s="52" t="n"/>
      <c r="S79" s="52" t="n"/>
      <c r="T79" s="53" t="n"/>
      <c r="U79" s="52" t="n"/>
      <c r="V79" s="52" t="n"/>
      <c r="W79" s="52" t="n"/>
      <c r="X79" s="52" t="n"/>
      <c r="Y79" s="52" t="n"/>
      <c r="Z79" s="52" t="n"/>
      <c r="AA79" s="53" t="n"/>
      <c r="AB79" s="52" t="n"/>
      <c r="AC79" s="52" t="n"/>
      <c r="AD79" s="52" t="n"/>
      <c r="AE79" s="52" t="n"/>
      <c r="AF79" s="52" t="n"/>
      <c r="AG79" s="52" t="n"/>
      <c r="AH79" s="53" t="n"/>
      <c r="AI79" s="53" t="n"/>
    </row>
    <row r="80" ht="14.25" customHeight="1" s="65">
      <c r="A80" s="53" t="n"/>
      <c r="B80" s="53" t="n"/>
      <c r="C80" s="53" t="n"/>
      <c r="D80" s="53" t="n"/>
      <c r="E80" s="32">
        <f>IF(COUNT(K80:AG80)=0,"",ROUND((F80+G80+H80+I80+J80)/10,2))</f>
        <v/>
      </c>
      <c r="F80" s="33">
        <f>IF(COUNT(K80:AG80)=0,"",(K80*10+L80*8+M80*7+N80*5)/3)</f>
        <v/>
      </c>
      <c r="G80" s="33">
        <f>IF(COUNT(K80:AG80)=0,"",(P80*8+Q80*7+R80*5+S80*5)/3)</f>
        <v/>
      </c>
      <c r="H80" s="33">
        <f>IF(COUNT(K80:AG80)=0,"",(U80*6+V80*6+W80*4+X80*3+Y80*3+Z80*3)/3)</f>
        <v/>
      </c>
      <c r="I80" s="33">
        <f>IF(COUNT(K80:AG80)=0,"",AB80*3+AC80*2+AD80*2+AE80*1)</f>
        <v/>
      </c>
      <c r="J80" s="33">
        <f>IF(COUNT(K80:AG80)=0,"",(AF80*5+AG80*5)/3)</f>
        <v/>
      </c>
      <c r="K80" s="52" t="n"/>
      <c r="L80" s="52" t="n"/>
      <c r="M80" s="52" t="n"/>
      <c r="N80" s="52" t="n"/>
      <c r="O80" s="53" t="n"/>
      <c r="P80" s="52" t="n"/>
      <c r="Q80" s="52" t="n"/>
      <c r="R80" s="52" t="n"/>
      <c r="S80" s="52" t="n"/>
      <c r="T80" s="53" t="n"/>
      <c r="U80" s="52" t="n"/>
      <c r="V80" s="52" t="n"/>
      <c r="W80" s="52" t="n"/>
      <c r="X80" s="52" t="n"/>
      <c r="Y80" s="52" t="n"/>
      <c r="Z80" s="52" t="n"/>
      <c r="AA80" s="53" t="n"/>
      <c r="AB80" s="52" t="n"/>
      <c r="AC80" s="52" t="n"/>
      <c r="AD80" s="52" t="n"/>
      <c r="AE80" s="52" t="n"/>
      <c r="AF80" s="52" t="n"/>
      <c r="AG80" s="52" t="n"/>
      <c r="AH80" s="53" t="n"/>
      <c r="AI80" s="53" t="n"/>
    </row>
    <row r="81" ht="14.25" customHeight="1" s="65">
      <c r="A81" s="53" t="n"/>
      <c r="B81" s="53" t="n"/>
      <c r="C81" s="53" t="n"/>
      <c r="D81" s="53" t="n"/>
      <c r="E81" s="32">
        <f>IF(COUNT(K81:AG81)=0,"",ROUND((F81+G81+H81+I81+J81)/10,2))</f>
        <v/>
      </c>
      <c r="F81" s="33">
        <f>IF(COUNT(K81:AG81)=0,"",(K81*10+L81*8+M81*7+N81*5)/3)</f>
        <v/>
      </c>
      <c r="G81" s="33">
        <f>IF(COUNT(K81:AG81)=0,"",(P81*8+Q81*7+R81*5+S81*5)/3)</f>
        <v/>
      </c>
      <c r="H81" s="33">
        <f>IF(COUNT(K81:AG81)=0,"",(U81*6+V81*6+W81*4+X81*3+Y81*3+Z81*3)/3)</f>
        <v/>
      </c>
      <c r="I81" s="33">
        <f>IF(COUNT(K81:AG81)=0,"",AB81*3+AC81*2+AD81*2+AE81*1)</f>
        <v/>
      </c>
      <c r="J81" s="33">
        <f>IF(COUNT(K81:AG81)=0,"",(AF81*5+AG81*5)/3)</f>
        <v/>
      </c>
      <c r="K81" s="52" t="n"/>
      <c r="L81" s="52" t="n"/>
      <c r="M81" s="52" t="n"/>
      <c r="N81" s="52" t="n"/>
      <c r="O81" s="53" t="n"/>
      <c r="P81" s="52" t="n"/>
      <c r="Q81" s="52" t="n"/>
      <c r="R81" s="52" t="n"/>
      <c r="S81" s="52" t="n"/>
      <c r="T81" s="53" t="n"/>
      <c r="U81" s="52" t="n"/>
      <c r="V81" s="52" t="n"/>
      <c r="W81" s="52" t="n"/>
      <c r="X81" s="52" t="n"/>
      <c r="Y81" s="52" t="n"/>
      <c r="Z81" s="52" t="n"/>
      <c r="AA81" s="53" t="n"/>
      <c r="AB81" s="52" t="n"/>
      <c r="AC81" s="52" t="n"/>
      <c r="AD81" s="52" t="n"/>
      <c r="AE81" s="52" t="n"/>
      <c r="AF81" s="52" t="n"/>
      <c r="AG81" s="52" t="n"/>
      <c r="AH81" s="53" t="n"/>
      <c r="AI81" s="53" t="n"/>
    </row>
    <row r="82" ht="14.25" customHeight="1" s="65">
      <c r="A82" s="53" t="n"/>
      <c r="B82" s="53" t="n"/>
      <c r="C82" s="53" t="n"/>
      <c r="D82" s="53" t="n"/>
      <c r="E82" s="32">
        <f>IF(COUNT(K82:AG82)=0,"",ROUND((F82+G82+H82+I82+J82)/10,2))</f>
        <v/>
      </c>
      <c r="F82" s="33">
        <f>IF(COUNT(K82:AG82)=0,"",(K82*10+L82*8+M82*7+N82*5)/3)</f>
        <v/>
      </c>
      <c r="G82" s="33">
        <f>IF(COUNT(K82:AG82)=0,"",(P82*8+Q82*7+R82*5+S82*5)/3)</f>
        <v/>
      </c>
      <c r="H82" s="33">
        <f>IF(COUNT(K82:AG82)=0,"",(U82*6+V82*6+W82*4+X82*3+Y82*3+Z82*3)/3)</f>
        <v/>
      </c>
      <c r="I82" s="33">
        <f>IF(COUNT(K82:AG82)=0,"",AB82*3+AC82*2+AD82*2+AE82*1)</f>
        <v/>
      </c>
      <c r="J82" s="33">
        <f>IF(COUNT(K82:AG82)=0,"",(AF82*5+AG82*5)/3)</f>
        <v/>
      </c>
      <c r="K82" s="52" t="n"/>
      <c r="L82" s="52" t="n"/>
      <c r="M82" s="52" t="n"/>
      <c r="N82" s="52" t="n"/>
      <c r="O82" s="53" t="n"/>
      <c r="P82" s="52" t="n"/>
      <c r="Q82" s="52" t="n"/>
      <c r="R82" s="52" t="n"/>
      <c r="S82" s="52" t="n"/>
      <c r="T82" s="53" t="n"/>
      <c r="U82" s="52" t="n"/>
      <c r="V82" s="52" t="n"/>
      <c r="W82" s="52" t="n"/>
      <c r="X82" s="52" t="n"/>
      <c r="Y82" s="52" t="n"/>
      <c r="Z82" s="52" t="n"/>
      <c r="AA82" s="53" t="n"/>
      <c r="AB82" s="52" t="n"/>
      <c r="AC82" s="52" t="n"/>
      <c r="AD82" s="52" t="n"/>
      <c r="AE82" s="52" t="n"/>
      <c r="AF82" s="52" t="n"/>
      <c r="AG82" s="52" t="n"/>
      <c r="AH82" s="53" t="n"/>
      <c r="AI82" s="53" t="n"/>
    </row>
    <row r="83" ht="14.25" customHeight="1" s="65">
      <c r="A83" s="53" t="n"/>
      <c r="B83" s="53" t="n"/>
      <c r="C83" s="53" t="n"/>
      <c r="D83" s="53" t="n"/>
      <c r="E83" s="32">
        <f>IF(COUNT(K83:AG83)=0,"",ROUND((F83+G83+H83+I83+J83)/10,2))</f>
        <v/>
      </c>
      <c r="F83" s="33">
        <f>IF(COUNT(K83:AG83)=0,"",(K83*10+L83*8+M83*7+N83*5)/3)</f>
        <v/>
      </c>
      <c r="G83" s="33">
        <f>IF(COUNT(K83:AG83)=0,"",(P83*8+Q83*7+R83*5+S83*5)/3)</f>
        <v/>
      </c>
      <c r="H83" s="33">
        <f>IF(COUNT(K83:AG83)=0,"",(U83*6+V83*6+W83*4+X83*3+Y83*3+Z83*3)/3)</f>
        <v/>
      </c>
      <c r="I83" s="33">
        <f>IF(COUNT(K83:AG83)=0,"",AB83*3+AC83*2+AD83*2+AE83*1)</f>
        <v/>
      </c>
      <c r="J83" s="33">
        <f>IF(COUNT(K83:AG83)=0,"",(AF83*5+AG83*5)/3)</f>
        <v/>
      </c>
      <c r="K83" s="52" t="n"/>
      <c r="L83" s="52" t="n"/>
      <c r="M83" s="52" t="n"/>
      <c r="N83" s="52" t="n"/>
      <c r="O83" s="53" t="n"/>
      <c r="P83" s="52" t="n"/>
      <c r="Q83" s="52" t="n"/>
      <c r="R83" s="52" t="n"/>
      <c r="S83" s="52" t="n"/>
      <c r="T83" s="53" t="n"/>
      <c r="U83" s="52" t="n"/>
      <c r="V83" s="52" t="n"/>
      <c r="W83" s="52" t="n"/>
      <c r="X83" s="52" t="n"/>
      <c r="Y83" s="52" t="n"/>
      <c r="Z83" s="52" t="n"/>
      <c r="AA83" s="53" t="n"/>
      <c r="AB83" s="52" t="n"/>
      <c r="AC83" s="52" t="n"/>
      <c r="AD83" s="52" t="n"/>
      <c r="AE83" s="52" t="n"/>
      <c r="AF83" s="52" t="n"/>
      <c r="AG83" s="52" t="n"/>
      <c r="AH83" s="53" t="n"/>
      <c r="AI83" s="53" t="n"/>
    </row>
    <row r="84" ht="14.25" customHeight="1" s="65">
      <c r="A84" s="53" t="n"/>
      <c r="B84" s="53" t="n"/>
      <c r="C84" s="53" t="n"/>
      <c r="D84" s="53" t="n"/>
      <c r="E84" s="32">
        <f>IF(COUNT(K84:AG84)=0,"",ROUND((F84+G84+H84+I84+J84)/10,2))</f>
        <v/>
      </c>
      <c r="F84" s="33">
        <f>IF(COUNT(K84:AG84)=0,"",(K84*10+L84*8+M84*7+N84*5)/3)</f>
        <v/>
      </c>
      <c r="G84" s="33">
        <f>IF(COUNT(K84:AG84)=0,"",(P84*8+Q84*7+R84*5+S84*5)/3)</f>
        <v/>
      </c>
      <c r="H84" s="33">
        <f>IF(COUNT(K84:AG84)=0,"",(U84*6+V84*6+W84*4+X84*3+Y84*3+Z84*3)/3)</f>
        <v/>
      </c>
      <c r="I84" s="33">
        <f>IF(COUNT(K84:AG84)=0,"",AB84*3+AC84*2+AD84*2+AE84*1)</f>
        <v/>
      </c>
      <c r="J84" s="33">
        <f>IF(COUNT(K84:AG84)=0,"",(AF84*5+AG84*5)/3)</f>
        <v/>
      </c>
      <c r="K84" s="52" t="n"/>
      <c r="L84" s="52" t="n"/>
      <c r="M84" s="52" t="n"/>
      <c r="N84" s="52" t="n"/>
      <c r="O84" s="53" t="n"/>
      <c r="P84" s="52" t="n"/>
      <c r="Q84" s="52" t="n"/>
      <c r="R84" s="52" t="n"/>
      <c r="S84" s="52" t="n"/>
      <c r="T84" s="53" t="n"/>
      <c r="U84" s="52" t="n"/>
      <c r="V84" s="52" t="n"/>
      <c r="W84" s="52" t="n"/>
      <c r="X84" s="52" t="n"/>
      <c r="Y84" s="52" t="n"/>
      <c r="Z84" s="52" t="n"/>
      <c r="AA84" s="53" t="n"/>
      <c r="AB84" s="52" t="n"/>
      <c r="AC84" s="52" t="n"/>
      <c r="AD84" s="52" t="n"/>
      <c r="AE84" s="52" t="n"/>
      <c r="AF84" s="52" t="n"/>
      <c r="AG84" s="52" t="n"/>
      <c r="AH84" s="53" t="n"/>
      <c r="AI84" s="53" t="n"/>
    </row>
    <row r="85" ht="14.25" customHeight="1" s="65">
      <c r="A85" s="53" t="n"/>
      <c r="B85" s="53" t="n"/>
      <c r="C85" s="53" t="n"/>
      <c r="D85" s="53" t="n"/>
      <c r="E85" s="32">
        <f>IF(COUNT(K85:AG85)=0,"",ROUND((F85+G85+H85+I85+J85)/10,2))</f>
        <v/>
      </c>
      <c r="F85" s="33">
        <f>IF(COUNT(K85:AG85)=0,"",(K85*10+L85*8+M85*7+N85*5)/3)</f>
        <v/>
      </c>
      <c r="G85" s="33">
        <f>IF(COUNT(K85:AG85)=0,"",(P85*8+Q85*7+R85*5+S85*5)/3)</f>
        <v/>
      </c>
      <c r="H85" s="33">
        <f>IF(COUNT(K85:AG85)=0,"",(U85*6+V85*6+W85*4+X85*3+Y85*3+Z85*3)/3)</f>
        <v/>
      </c>
      <c r="I85" s="33">
        <f>IF(COUNT(K85:AG85)=0,"",AB85*3+AC85*2+AD85*2+AE85*1)</f>
        <v/>
      </c>
      <c r="J85" s="33">
        <f>IF(COUNT(K85:AG85)=0,"",(AF85*5+AG85*5)/3)</f>
        <v/>
      </c>
      <c r="K85" s="52" t="n"/>
      <c r="L85" s="52" t="n"/>
      <c r="M85" s="52" t="n"/>
      <c r="N85" s="52" t="n"/>
      <c r="O85" s="53" t="n"/>
      <c r="P85" s="52" t="n"/>
      <c r="Q85" s="52" t="n"/>
      <c r="R85" s="52" t="n"/>
      <c r="S85" s="52" t="n"/>
      <c r="T85" s="53" t="n"/>
      <c r="U85" s="52" t="n"/>
      <c r="V85" s="52" t="n"/>
      <c r="W85" s="52" t="n"/>
      <c r="X85" s="52" t="n"/>
      <c r="Y85" s="52" t="n"/>
      <c r="Z85" s="52" t="n"/>
      <c r="AA85" s="53" t="n"/>
      <c r="AB85" s="52" t="n"/>
      <c r="AC85" s="52" t="n"/>
      <c r="AD85" s="52" t="n"/>
      <c r="AE85" s="52" t="n"/>
      <c r="AF85" s="52" t="n"/>
      <c r="AG85" s="52" t="n"/>
      <c r="AH85" s="53" t="n"/>
      <c r="AI85" s="53" t="n"/>
    </row>
    <row r="86" ht="14.25" customHeight="1" s="65">
      <c r="A86" s="53" t="n"/>
      <c r="B86" s="53" t="n"/>
      <c r="C86" s="53" t="n"/>
      <c r="D86" s="53" t="n"/>
      <c r="E86" s="32">
        <f>IF(COUNT(K86:AG86)=0,"",ROUND((F86+G86+H86+I86+J86)/10,2))</f>
        <v/>
      </c>
      <c r="F86" s="33">
        <f>IF(COUNT(K86:AG86)=0,"",(K86*10+L86*8+M86*7+N86*5)/3)</f>
        <v/>
      </c>
      <c r="G86" s="33">
        <f>IF(COUNT(K86:AG86)=0,"",(P86*8+Q86*7+R86*5+S86*5)/3)</f>
        <v/>
      </c>
      <c r="H86" s="33">
        <f>IF(COUNT(K86:AG86)=0,"",(U86*6+V86*6+W86*4+X86*3+Y86*3+Z86*3)/3)</f>
        <v/>
      </c>
      <c r="I86" s="33">
        <f>IF(COUNT(K86:AG86)=0,"",AB86*3+AC86*2+AD86*2+AE86*1)</f>
        <v/>
      </c>
      <c r="J86" s="33">
        <f>IF(COUNT(K86:AG86)=0,"",(AF86*5+AG86*5)/3)</f>
        <v/>
      </c>
      <c r="K86" s="52" t="n"/>
      <c r="L86" s="52" t="n"/>
      <c r="M86" s="52" t="n"/>
      <c r="N86" s="52" t="n"/>
      <c r="O86" s="53" t="n"/>
      <c r="P86" s="52" t="n"/>
      <c r="Q86" s="52" t="n"/>
      <c r="R86" s="52" t="n"/>
      <c r="S86" s="52" t="n"/>
      <c r="T86" s="53" t="n"/>
      <c r="U86" s="52" t="n"/>
      <c r="V86" s="52" t="n"/>
      <c r="W86" s="52" t="n"/>
      <c r="X86" s="52" t="n"/>
      <c r="Y86" s="52" t="n"/>
      <c r="Z86" s="52" t="n"/>
      <c r="AA86" s="53" t="n"/>
      <c r="AB86" s="52" t="n"/>
      <c r="AC86" s="52" t="n"/>
      <c r="AD86" s="52" t="n"/>
      <c r="AE86" s="52" t="n"/>
      <c r="AF86" s="52" t="n"/>
      <c r="AG86" s="52" t="n"/>
      <c r="AH86" s="53" t="n"/>
      <c r="AI86" s="53" t="n"/>
    </row>
    <row r="87" ht="14.25" customHeight="1" s="65">
      <c r="A87" s="53" t="n"/>
      <c r="B87" s="53" t="n"/>
      <c r="C87" s="53" t="n"/>
      <c r="D87" s="53" t="n"/>
      <c r="E87" s="32">
        <f>IF(COUNT(K87:AG87)=0,"",ROUND((F87+G87+H87+I87+J87)/10,2))</f>
        <v/>
      </c>
      <c r="F87" s="33">
        <f>IF(COUNT(K87:AG87)=0,"",(K87*10+L87*8+M87*7+N87*5)/3)</f>
        <v/>
      </c>
      <c r="G87" s="33">
        <f>IF(COUNT(K87:AG87)=0,"",(P87*8+Q87*7+R87*5+S87*5)/3)</f>
        <v/>
      </c>
      <c r="H87" s="33">
        <f>IF(COUNT(K87:AG87)=0,"",(U87*6+V87*6+W87*4+X87*3+Y87*3+Z87*3)/3)</f>
        <v/>
      </c>
      <c r="I87" s="33">
        <f>IF(COUNT(K87:AG87)=0,"",AB87*3+AC87*2+AD87*2+AE87*1)</f>
        <v/>
      </c>
      <c r="J87" s="33">
        <f>IF(COUNT(K87:AG87)=0,"",(AF87*5+AG87*5)/3)</f>
        <v/>
      </c>
      <c r="K87" s="52" t="n"/>
      <c r="L87" s="52" t="n"/>
      <c r="M87" s="52" t="n"/>
      <c r="N87" s="52" t="n"/>
      <c r="O87" s="53" t="n"/>
      <c r="P87" s="52" t="n"/>
      <c r="Q87" s="52" t="n"/>
      <c r="R87" s="52" t="n"/>
      <c r="S87" s="52" t="n"/>
      <c r="T87" s="53" t="n"/>
      <c r="U87" s="52" t="n"/>
      <c r="V87" s="52" t="n"/>
      <c r="W87" s="52" t="n"/>
      <c r="X87" s="52" t="n"/>
      <c r="Y87" s="52" t="n"/>
      <c r="Z87" s="52" t="n"/>
      <c r="AA87" s="53" t="n"/>
      <c r="AB87" s="52" t="n"/>
      <c r="AC87" s="52" t="n"/>
      <c r="AD87" s="52" t="n"/>
      <c r="AE87" s="52" t="n"/>
      <c r="AF87" s="52" t="n"/>
      <c r="AG87" s="52" t="n"/>
      <c r="AH87" s="53" t="n"/>
      <c r="AI87" s="53" t="n"/>
    </row>
    <row r="88" ht="14.25" customHeight="1" s="65">
      <c r="A88" s="53" t="n"/>
      <c r="B88" s="53" t="n"/>
      <c r="C88" s="53" t="n"/>
      <c r="D88" s="53" t="n"/>
      <c r="E88" s="32">
        <f>IF(COUNT(K88:AG88)=0,"",ROUND((F88+G88+H88+I88+J88)/10,2))</f>
        <v/>
      </c>
      <c r="F88" s="33">
        <f>IF(COUNT(K88:AG88)=0,"",(K88*10+L88*8+M88*7+N88*5)/3)</f>
        <v/>
      </c>
      <c r="G88" s="33">
        <f>IF(COUNT(K88:AG88)=0,"",(P88*8+Q88*7+R88*5+S88*5)/3)</f>
        <v/>
      </c>
      <c r="H88" s="33">
        <f>IF(COUNT(K88:AG88)=0,"",(U88*6+V88*6+W88*4+X88*3+Y88*3+Z88*3)/3)</f>
        <v/>
      </c>
      <c r="I88" s="33">
        <f>IF(COUNT(K88:AG88)=0,"",AB88*3+AC88*2+AD88*2+AE88*1)</f>
        <v/>
      </c>
      <c r="J88" s="33">
        <f>IF(COUNT(K88:AG88)=0,"",(AF88*5+AG88*5)/3)</f>
        <v/>
      </c>
      <c r="K88" s="52" t="n"/>
      <c r="L88" s="52" t="n"/>
      <c r="M88" s="52" t="n"/>
      <c r="N88" s="52" t="n"/>
      <c r="O88" s="53" t="n"/>
      <c r="P88" s="52" t="n"/>
      <c r="Q88" s="52" t="n"/>
      <c r="R88" s="52" t="n"/>
      <c r="S88" s="52" t="n"/>
      <c r="T88" s="53" t="n"/>
      <c r="U88" s="52" t="n"/>
      <c r="V88" s="52" t="n"/>
      <c r="W88" s="52" t="n"/>
      <c r="X88" s="52" t="n"/>
      <c r="Y88" s="52" t="n"/>
      <c r="Z88" s="52" t="n"/>
      <c r="AA88" s="53" t="n"/>
      <c r="AB88" s="52" t="n"/>
      <c r="AC88" s="52" t="n"/>
      <c r="AD88" s="52" t="n"/>
      <c r="AE88" s="52" t="n"/>
      <c r="AF88" s="52" t="n"/>
      <c r="AG88" s="52" t="n"/>
      <c r="AH88" s="53" t="n"/>
      <c r="AI88" s="53" t="n"/>
    </row>
    <row r="89" ht="14.25" customHeight="1" s="65">
      <c r="A89" s="53" t="n"/>
      <c r="B89" s="53" t="n"/>
      <c r="C89" s="53" t="n"/>
      <c r="D89" s="53" t="n"/>
      <c r="E89" s="32">
        <f>IF(COUNT(K89:AG89)=0,"",ROUND((F89+G89+H89+I89+J89)/10,2))</f>
        <v/>
      </c>
      <c r="F89" s="33">
        <f>IF(COUNT(K89:AG89)=0,"",(K89*10+L89*8+M89*7+N89*5)/3)</f>
        <v/>
      </c>
      <c r="G89" s="33">
        <f>IF(COUNT(K89:AG89)=0,"",(P89*8+Q89*7+R89*5+S89*5)/3)</f>
        <v/>
      </c>
      <c r="H89" s="33">
        <f>IF(COUNT(K89:AG89)=0,"",(U89*6+V89*6+W89*4+X89*3+Y89*3+Z89*3)/3)</f>
        <v/>
      </c>
      <c r="I89" s="33">
        <f>IF(COUNT(K89:AG89)=0,"",AB89*3+AC89*2+AD89*2+AE89*1)</f>
        <v/>
      </c>
      <c r="J89" s="33">
        <f>IF(COUNT(K89:AG89)=0,"",(AF89*5+AG89*5)/3)</f>
        <v/>
      </c>
      <c r="K89" s="52" t="n"/>
      <c r="L89" s="52" t="n"/>
      <c r="M89" s="52" t="n"/>
      <c r="N89" s="52" t="n"/>
      <c r="O89" s="53" t="n"/>
      <c r="P89" s="52" t="n"/>
      <c r="Q89" s="52" t="n"/>
      <c r="R89" s="52" t="n"/>
      <c r="S89" s="52" t="n"/>
      <c r="T89" s="53" t="n"/>
      <c r="U89" s="52" t="n"/>
      <c r="V89" s="52" t="n"/>
      <c r="W89" s="52" t="n"/>
      <c r="X89" s="52" t="n"/>
      <c r="Y89" s="52" t="n"/>
      <c r="Z89" s="52" t="n"/>
      <c r="AA89" s="53" t="n"/>
      <c r="AB89" s="52" t="n"/>
      <c r="AC89" s="52" t="n"/>
      <c r="AD89" s="52" t="n"/>
      <c r="AE89" s="52" t="n"/>
      <c r="AF89" s="52" t="n"/>
      <c r="AG89" s="52" t="n"/>
      <c r="AH89" s="53" t="n"/>
      <c r="AI89" s="53" t="n"/>
    </row>
    <row r="90" ht="14.25" customHeight="1" s="65">
      <c r="A90" s="53" t="n"/>
      <c r="B90" s="53" t="n"/>
      <c r="C90" s="53" t="n"/>
      <c r="D90" s="53" t="n"/>
      <c r="E90" s="32">
        <f>IF(COUNT(K90:AG90)=0,"",ROUND((F90+G90+H90+I90+J90)/10,2))</f>
        <v/>
      </c>
      <c r="F90" s="33">
        <f>IF(COUNT(K90:AG90)=0,"",(K90*10+L90*8+M90*7+N90*5)/3)</f>
        <v/>
      </c>
      <c r="G90" s="33">
        <f>IF(COUNT(K90:AG90)=0,"",(P90*8+Q90*7+R90*5+S90*5)/3)</f>
        <v/>
      </c>
      <c r="H90" s="33">
        <f>IF(COUNT(K90:AG90)=0,"",(U90*6+V90*6+W90*4+X90*3+Y90*3+Z90*3)/3)</f>
        <v/>
      </c>
      <c r="I90" s="33">
        <f>IF(COUNT(K90:AG90)=0,"",AB90*3+AC90*2+AD90*2+AE90*1)</f>
        <v/>
      </c>
      <c r="J90" s="33">
        <f>IF(COUNT(K90:AG90)=0,"",(AF90*5+AG90*5)/3)</f>
        <v/>
      </c>
      <c r="K90" s="52" t="n"/>
      <c r="L90" s="52" t="n"/>
      <c r="M90" s="52" t="n"/>
      <c r="N90" s="52" t="n"/>
      <c r="O90" s="53" t="n"/>
      <c r="P90" s="52" t="n"/>
      <c r="Q90" s="52" t="n"/>
      <c r="R90" s="52" t="n"/>
      <c r="S90" s="52" t="n"/>
      <c r="T90" s="53" t="n"/>
      <c r="U90" s="52" t="n"/>
      <c r="V90" s="52" t="n"/>
      <c r="W90" s="52" t="n"/>
      <c r="X90" s="52" t="n"/>
      <c r="Y90" s="52" t="n"/>
      <c r="Z90" s="52" t="n"/>
      <c r="AA90" s="53" t="n"/>
      <c r="AB90" s="52" t="n"/>
      <c r="AC90" s="52" t="n"/>
      <c r="AD90" s="52" t="n"/>
      <c r="AE90" s="52" t="n"/>
      <c r="AF90" s="52" t="n"/>
      <c r="AG90" s="52" t="n"/>
      <c r="AH90" s="53" t="n"/>
      <c r="AI90" s="53" t="n"/>
    </row>
    <row r="91" ht="14.25" customHeight="1" s="65">
      <c r="A91" s="53" t="n"/>
      <c r="B91" s="53" t="n"/>
      <c r="C91" s="53" t="n"/>
      <c r="D91" s="53" t="n"/>
      <c r="E91" s="32">
        <f>IF(COUNT(K91:AG91)=0,"",ROUND((F91+G91+H91+I91+J91)/10,2))</f>
        <v/>
      </c>
      <c r="F91" s="33">
        <f>IF(COUNT(K91:AG91)=0,"",(K91*10+L91*8+M91*7+N91*5)/3)</f>
        <v/>
      </c>
      <c r="G91" s="33">
        <f>IF(COUNT(K91:AG91)=0,"",(P91*8+Q91*7+R91*5+S91*5)/3)</f>
        <v/>
      </c>
      <c r="H91" s="33">
        <f>IF(COUNT(K91:AG91)=0,"",(U91*6+V91*6+W91*4+X91*3+Y91*3+Z91*3)/3)</f>
        <v/>
      </c>
      <c r="I91" s="33">
        <f>IF(COUNT(K91:AG91)=0,"",AB91*3+AC91*2+AD91*2+AE91*1)</f>
        <v/>
      </c>
      <c r="J91" s="33">
        <f>IF(COUNT(K91:AG91)=0,"",(AF91*5+AG91*5)/3)</f>
        <v/>
      </c>
      <c r="K91" s="52" t="n"/>
      <c r="L91" s="52" t="n"/>
      <c r="M91" s="52" t="n"/>
      <c r="N91" s="52" t="n"/>
      <c r="O91" s="53" t="n"/>
      <c r="P91" s="52" t="n"/>
      <c r="Q91" s="52" t="n"/>
      <c r="R91" s="52" t="n"/>
      <c r="S91" s="52" t="n"/>
      <c r="T91" s="53" t="n"/>
      <c r="U91" s="52" t="n"/>
      <c r="V91" s="52" t="n"/>
      <c r="W91" s="52" t="n"/>
      <c r="X91" s="52" t="n"/>
      <c r="Y91" s="52" t="n"/>
      <c r="Z91" s="52" t="n"/>
      <c r="AA91" s="53" t="n"/>
      <c r="AB91" s="52" t="n"/>
      <c r="AC91" s="52" t="n"/>
      <c r="AD91" s="52" t="n"/>
      <c r="AE91" s="52" t="n"/>
      <c r="AF91" s="52" t="n"/>
      <c r="AG91" s="52" t="n"/>
      <c r="AH91" s="53" t="n"/>
      <c r="AI91" s="53" t="n"/>
    </row>
    <row r="92" ht="14.25" customHeight="1" s="65">
      <c r="A92" s="53" t="n"/>
      <c r="B92" s="53" t="n"/>
      <c r="C92" s="53" t="n"/>
      <c r="D92" s="53" t="n"/>
      <c r="E92" s="32">
        <f>IF(COUNT(K92:AG92)=0,"",ROUND((F92+G92+H92+I92+J92)/10,2))</f>
        <v/>
      </c>
      <c r="F92" s="33">
        <f>IF(COUNT(K92:AG92)=0,"",(K92*10+L92*8+M92*7+N92*5)/3)</f>
        <v/>
      </c>
      <c r="G92" s="33">
        <f>IF(COUNT(K92:AG92)=0,"",(P92*8+Q92*7+R92*5+S92*5)/3)</f>
        <v/>
      </c>
      <c r="H92" s="33">
        <f>IF(COUNT(K92:AG92)=0,"",(U92*6+V92*6+W92*4+X92*3+Y92*3+Z92*3)/3)</f>
        <v/>
      </c>
      <c r="I92" s="33">
        <f>IF(COUNT(K92:AG92)=0,"",AB92*3+AC92*2+AD92*2+AE92*1)</f>
        <v/>
      </c>
      <c r="J92" s="33">
        <f>IF(COUNT(K92:AG92)=0,"",(AF92*5+AG92*5)/3)</f>
        <v/>
      </c>
      <c r="K92" s="52" t="n"/>
      <c r="L92" s="52" t="n"/>
      <c r="M92" s="52" t="n"/>
      <c r="N92" s="52" t="n"/>
      <c r="O92" s="53" t="n"/>
      <c r="P92" s="52" t="n"/>
      <c r="Q92" s="52" t="n"/>
      <c r="R92" s="52" t="n"/>
      <c r="S92" s="52" t="n"/>
      <c r="T92" s="53" t="n"/>
      <c r="U92" s="52" t="n"/>
      <c r="V92" s="52" t="n"/>
      <c r="W92" s="52" t="n"/>
      <c r="X92" s="52" t="n"/>
      <c r="Y92" s="52" t="n"/>
      <c r="Z92" s="52" t="n"/>
      <c r="AA92" s="53" t="n"/>
      <c r="AB92" s="52" t="n"/>
      <c r="AC92" s="52" t="n"/>
      <c r="AD92" s="52" t="n"/>
      <c r="AE92" s="52" t="n"/>
      <c r="AF92" s="52" t="n"/>
      <c r="AG92" s="52" t="n"/>
      <c r="AH92" s="53" t="n"/>
      <c r="AI92" s="53" t="n"/>
    </row>
    <row r="93" ht="14.25" customHeight="1" s="65">
      <c r="A93" s="53" t="n"/>
      <c r="B93" s="53" t="n"/>
      <c r="C93" s="53" t="n"/>
      <c r="D93" s="53" t="n"/>
      <c r="E93" s="32">
        <f>IF(COUNT(K93:AG93)=0,"",ROUND((F93+G93+H93+I93+J93)/10,2))</f>
        <v/>
      </c>
      <c r="F93" s="33">
        <f>IF(COUNT(K93:AG93)=0,"",(K93*10+L93*8+M93*7+N93*5)/3)</f>
        <v/>
      </c>
      <c r="G93" s="33">
        <f>IF(COUNT(K93:AG93)=0,"",(P93*8+Q93*7+R93*5+S93*5)/3)</f>
        <v/>
      </c>
      <c r="H93" s="33">
        <f>IF(COUNT(K93:AG93)=0,"",(U93*6+V93*6+W93*4+X93*3+Y93*3+Z93*3)/3)</f>
        <v/>
      </c>
      <c r="I93" s="33">
        <f>IF(COUNT(K93:AG93)=0,"",AB93*3+AC93*2+AD93*2+AE93*1)</f>
        <v/>
      </c>
      <c r="J93" s="33">
        <f>IF(COUNT(K93:AG93)=0,"",(AF93*5+AG93*5)/3)</f>
        <v/>
      </c>
      <c r="K93" s="52" t="n"/>
      <c r="L93" s="52" t="n"/>
      <c r="M93" s="52" t="n"/>
      <c r="N93" s="52" t="n"/>
      <c r="O93" s="53" t="n"/>
      <c r="P93" s="52" t="n"/>
      <c r="Q93" s="52" t="n"/>
      <c r="R93" s="52" t="n"/>
      <c r="S93" s="52" t="n"/>
      <c r="T93" s="53" t="n"/>
      <c r="U93" s="52" t="n"/>
      <c r="V93" s="52" t="n"/>
      <c r="W93" s="52" t="n"/>
      <c r="X93" s="52" t="n"/>
      <c r="Y93" s="52" t="n"/>
      <c r="Z93" s="52" t="n"/>
      <c r="AA93" s="53" t="n"/>
      <c r="AB93" s="52" t="n"/>
      <c r="AC93" s="52" t="n"/>
      <c r="AD93" s="52" t="n"/>
      <c r="AE93" s="52" t="n"/>
      <c r="AF93" s="52" t="n"/>
      <c r="AG93" s="52" t="n"/>
      <c r="AH93" s="53" t="n"/>
      <c r="AI93" s="53" t="n"/>
    </row>
    <row r="94" ht="14.25" customHeight="1" s="65">
      <c r="A94" s="53" t="n"/>
      <c r="B94" s="53" t="n"/>
      <c r="C94" s="53" t="n"/>
      <c r="D94" s="53" t="n"/>
      <c r="E94" s="32">
        <f>IF(COUNT(K94:AG94)=0,"",ROUND((F94+G94+H94+I94+J94)/10,2))</f>
        <v/>
      </c>
      <c r="F94" s="33">
        <f>IF(COUNT(K94:AG94)=0,"",(K94*10+L94*8+M94*7+N94*5)/3)</f>
        <v/>
      </c>
      <c r="G94" s="33">
        <f>IF(COUNT(K94:AG94)=0,"",(P94*8+Q94*7+R94*5+S94*5)/3)</f>
        <v/>
      </c>
      <c r="H94" s="33">
        <f>IF(COUNT(K94:AG94)=0,"",(U94*6+V94*6+W94*4+X94*3+Y94*3+Z94*3)/3)</f>
        <v/>
      </c>
      <c r="I94" s="33">
        <f>IF(COUNT(K94:AG94)=0,"",AB94*3+AC94*2+AD94*2+AE94*1)</f>
        <v/>
      </c>
      <c r="J94" s="33">
        <f>IF(COUNT(K94:AG94)=0,"",(AF94*5+AG94*5)/3)</f>
        <v/>
      </c>
      <c r="K94" s="52" t="n"/>
      <c r="L94" s="52" t="n"/>
      <c r="M94" s="52" t="n"/>
      <c r="N94" s="52" t="n"/>
      <c r="O94" s="53" t="n"/>
      <c r="P94" s="52" t="n"/>
      <c r="Q94" s="52" t="n"/>
      <c r="R94" s="52" t="n"/>
      <c r="S94" s="52" t="n"/>
      <c r="T94" s="53" t="n"/>
      <c r="U94" s="52" t="n"/>
      <c r="V94" s="52" t="n"/>
      <c r="W94" s="52" t="n"/>
      <c r="X94" s="52" t="n"/>
      <c r="Y94" s="52" t="n"/>
      <c r="Z94" s="52" t="n"/>
      <c r="AA94" s="53" t="n"/>
      <c r="AB94" s="52" t="n"/>
      <c r="AC94" s="52" t="n"/>
      <c r="AD94" s="52" t="n"/>
      <c r="AE94" s="52" t="n"/>
      <c r="AF94" s="52" t="n"/>
      <c r="AG94" s="52" t="n"/>
      <c r="AH94" s="53" t="n"/>
      <c r="AI94" s="53" t="n"/>
    </row>
    <row r="95" ht="14.25" customHeight="1" s="65">
      <c r="A95" s="53" t="n"/>
      <c r="B95" s="53" t="n"/>
      <c r="C95" s="53" t="n"/>
      <c r="D95" s="53" t="n"/>
      <c r="E95" s="32">
        <f>IF(COUNT(K95:AG95)=0,"",ROUND((F95+G95+H95+I95+J95)/10,2))</f>
        <v/>
      </c>
      <c r="F95" s="33">
        <f>IF(COUNT(K95:AG95)=0,"",(K95*10+L95*8+M95*7+N95*5)/3)</f>
        <v/>
      </c>
      <c r="G95" s="33">
        <f>IF(COUNT(K95:AG95)=0,"",(P95*8+Q95*7+R95*5+S95*5)/3)</f>
        <v/>
      </c>
      <c r="H95" s="33">
        <f>IF(COUNT(K95:AG95)=0,"",(U95*6+V95*6+W95*4+X95*3+Y95*3+Z95*3)/3)</f>
        <v/>
      </c>
      <c r="I95" s="33">
        <f>IF(COUNT(K95:AG95)=0,"",AB95*3+AC95*2+AD95*2+AE95*1)</f>
        <v/>
      </c>
      <c r="J95" s="33">
        <f>IF(COUNT(K95:AG95)=0,"",(AF95*5+AG95*5)/3)</f>
        <v/>
      </c>
      <c r="K95" s="52" t="n"/>
      <c r="L95" s="52" t="n"/>
      <c r="M95" s="52" t="n"/>
      <c r="N95" s="52" t="n"/>
      <c r="O95" s="53" t="n"/>
      <c r="P95" s="52" t="n"/>
      <c r="Q95" s="52" t="n"/>
      <c r="R95" s="52" t="n"/>
      <c r="S95" s="52" t="n"/>
      <c r="T95" s="53" t="n"/>
      <c r="U95" s="52" t="n"/>
      <c r="V95" s="52" t="n"/>
      <c r="W95" s="52" t="n"/>
      <c r="X95" s="52" t="n"/>
      <c r="Y95" s="52" t="n"/>
      <c r="Z95" s="52" t="n"/>
      <c r="AA95" s="53" t="n"/>
      <c r="AB95" s="52" t="n"/>
      <c r="AC95" s="52" t="n"/>
      <c r="AD95" s="52" t="n"/>
      <c r="AE95" s="52" t="n"/>
      <c r="AF95" s="52" t="n"/>
      <c r="AG95" s="52" t="n"/>
      <c r="AH95" s="53" t="n"/>
      <c r="AI95" s="53" t="n"/>
    </row>
    <row r="96" ht="14.25" customHeight="1" s="65">
      <c r="A96" s="53" t="n"/>
      <c r="B96" s="53" t="n"/>
      <c r="C96" s="53" t="n"/>
      <c r="D96" s="53" t="n"/>
      <c r="E96" s="32">
        <f>IF(COUNT(K96:AG96)=0,"",ROUND((F96+G96+H96+I96+J96)/10,2))</f>
        <v/>
      </c>
      <c r="F96" s="33">
        <f>IF(COUNT(K96:AG96)=0,"",(K96*10+L96*8+M96*7+N96*5)/3)</f>
        <v/>
      </c>
      <c r="G96" s="33">
        <f>IF(COUNT(K96:AG96)=0,"",(P96*8+Q96*7+R96*5+S96*5)/3)</f>
        <v/>
      </c>
      <c r="H96" s="33">
        <f>IF(COUNT(K96:AG96)=0,"",(U96*6+V96*6+W96*4+X96*3+Y96*3+Z96*3)/3)</f>
        <v/>
      </c>
      <c r="I96" s="33">
        <f>IF(COUNT(K96:AG96)=0,"",AB96*3+AC96*2+AD96*2+AE96*1)</f>
        <v/>
      </c>
      <c r="J96" s="33">
        <f>IF(COUNT(K96:AG96)=0,"",(AF96*5+AG96*5)/3)</f>
        <v/>
      </c>
      <c r="K96" s="52" t="n"/>
      <c r="L96" s="52" t="n"/>
      <c r="M96" s="52" t="n"/>
      <c r="N96" s="52" t="n"/>
      <c r="O96" s="53" t="n"/>
      <c r="P96" s="52" t="n"/>
      <c r="Q96" s="52" t="n"/>
      <c r="R96" s="52" t="n"/>
      <c r="S96" s="52" t="n"/>
      <c r="T96" s="53" t="n"/>
      <c r="U96" s="52" t="n"/>
      <c r="V96" s="52" t="n"/>
      <c r="W96" s="52" t="n"/>
      <c r="X96" s="52" t="n"/>
      <c r="Y96" s="52" t="n"/>
      <c r="Z96" s="52" t="n"/>
      <c r="AA96" s="53" t="n"/>
      <c r="AB96" s="52" t="n"/>
      <c r="AC96" s="52" t="n"/>
      <c r="AD96" s="52" t="n"/>
      <c r="AE96" s="52" t="n"/>
      <c r="AF96" s="52" t="n"/>
      <c r="AG96" s="52" t="n"/>
      <c r="AH96" s="53" t="n"/>
      <c r="AI96" s="53" t="n"/>
    </row>
    <row r="97" ht="14.25" customHeight="1" s="65">
      <c r="A97" s="53" t="n"/>
      <c r="B97" s="53" t="n"/>
      <c r="C97" s="53" t="n"/>
      <c r="D97" s="53" t="n"/>
      <c r="E97" s="32">
        <f>IF(COUNT(K97:AG97)=0,"",ROUND((F97+G97+H97+I97+J97)/10,2))</f>
        <v/>
      </c>
      <c r="F97" s="33">
        <f>IF(COUNT(K97:AG97)=0,"",(K97*10+L97*8+M97*7+N97*5)/3)</f>
        <v/>
      </c>
      <c r="G97" s="33">
        <f>IF(COUNT(K97:AG97)=0,"",(P97*8+Q97*7+R97*5+S97*5)/3)</f>
        <v/>
      </c>
      <c r="H97" s="33">
        <f>IF(COUNT(K97:AG97)=0,"",(U97*6+V97*6+W97*4+X97*3+Y97*3+Z97*3)/3)</f>
        <v/>
      </c>
      <c r="I97" s="33">
        <f>IF(COUNT(K97:AG97)=0,"",AB97*3+AC97*2+AD97*2+AE97*1)</f>
        <v/>
      </c>
      <c r="J97" s="33">
        <f>IF(COUNT(K97:AG97)=0,"",(AF97*5+AG97*5)/3)</f>
        <v/>
      </c>
      <c r="K97" s="52" t="n"/>
      <c r="L97" s="52" t="n"/>
      <c r="M97" s="52" t="n"/>
      <c r="N97" s="52" t="n"/>
      <c r="O97" s="53" t="n"/>
      <c r="P97" s="52" t="n"/>
      <c r="Q97" s="52" t="n"/>
      <c r="R97" s="52" t="n"/>
      <c r="S97" s="52" t="n"/>
      <c r="T97" s="53" t="n"/>
      <c r="U97" s="52" t="n"/>
      <c r="V97" s="52" t="n"/>
      <c r="W97" s="52" t="n"/>
      <c r="X97" s="52" t="n"/>
      <c r="Y97" s="52" t="n"/>
      <c r="Z97" s="52" t="n"/>
      <c r="AA97" s="53" t="n"/>
      <c r="AB97" s="52" t="n"/>
      <c r="AC97" s="52" t="n"/>
      <c r="AD97" s="52" t="n"/>
      <c r="AE97" s="52" t="n"/>
      <c r="AF97" s="52" t="n"/>
      <c r="AG97" s="52" t="n"/>
      <c r="AH97" s="53" t="n"/>
      <c r="AI97" s="53" t="n"/>
    </row>
    <row r="98" ht="14.25" customHeight="1" s="65">
      <c r="A98" s="53" t="n"/>
      <c r="B98" s="53" t="n"/>
      <c r="C98" s="53" t="n"/>
      <c r="D98" s="53" t="n"/>
      <c r="E98" s="32">
        <f>IF(COUNT(K98:AG98)=0,"",ROUND((F98+G98+H98+I98+J98)/10,2))</f>
        <v/>
      </c>
      <c r="F98" s="33">
        <f>IF(COUNT(K98:AG98)=0,"",(K98*10+L98*8+M98*7+N98*5)/3)</f>
        <v/>
      </c>
      <c r="G98" s="33">
        <f>IF(COUNT(K98:AG98)=0,"",(P98*8+Q98*7+R98*5+S98*5)/3)</f>
        <v/>
      </c>
      <c r="H98" s="33">
        <f>IF(COUNT(K98:AG98)=0,"",(U98*6+V98*6+W98*4+X98*3+Y98*3+Z98*3)/3)</f>
        <v/>
      </c>
      <c r="I98" s="33">
        <f>IF(COUNT(K98:AG98)=0,"",AB98*3+AC98*2+AD98*2+AE98*1)</f>
        <v/>
      </c>
      <c r="J98" s="33">
        <f>IF(COUNT(K98:AG98)=0,"",(AF98*5+AG98*5)/3)</f>
        <v/>
      </c>
      <c r="K98" s="52" t="n"/>
      <c r="L98" s="52" t="n"/>
      <c r="M98" s="52" t="n"/>
      <c r="N98" s="52" t="n"/>
      <c r="O98" s="53" t="n"/>
      <c r="P98" s="52" t="n"/>
      <c r="Q98" s="52" t="n"/>
      <c r="R98" s="52" t="n"/>
      <c r="S98" s="52" t="n"/>
      <c r="T98" s="53" t="n"/>
      <c r="U98" s="52" t="n"/>
      <c r="V98" s="52" t="n"/>
      <c r="W98" s="52" t="n"/>
      <c r="X98" s="52" t="n"/>
      <c r="Y98" s="52" t="n"/>
      <c r="Z98" s="52" t="n"/>
      <c r="AA98" s="53" t="n"/>
      <c r="AB98" s="52" t="n"/>
      <c r="AC98" s="52" t="n"/>
      <c r="AD98" s="52" t="n"/>
      <c r="AE98" s="52" t="n"/>
      <c r="AF98" s="52" t="n"/>
      <c r="AG98" s="52" t="n"/>
      <c r="AH98" s="53" t="n"/>
      <c r="AI98" s="53" t="n"/>
    </row>
    <row r="99" ht="14.25" customHeight="1" s="65">
      <c r="A99" s="53" t="n"/>
      <c r="B99" s="53" t="n"/>
      <c r="C99" s="53" t="n"/>
      <c r="D99" s="53" t="n"/>
      <c r="E99" s="32">
        <f>IF(COUNT(K99:AG99)=0,"",ROUND((F99+G99+H99+I99+J99)/10,2))</f>
        <v/>
      </c>
      <c r="F99" s="33">
        <f>IF(COUNT(K99:AG99)=0,"",(K99*10+L99*8+M99*7+N99*5)/3)</f>
        <v/>
      </c>
      <c r="G99" s="33">
        <f>IF(COUNT(K99:AG99)=0,"",(P99*8+Q99*7+R99*5+S99*5)/3)</f>
        <v/>
      </c>
      <c r="H99" s="33">
        <f>IF(COUNT(K99:AG99)=0,"",(U99*6+V99*6+W99*4+X99*3+Y99*3+Z99*3)/3)</f>
        <v/>
      </c>
      <c r="I99" s="33">
        <f>IF(COUNT(K99:AG99)=0,"",AB99*3+AC99*2+AD99*2+AE99*1)</f>
        <v/>
      </c>
      <c r="J99" s="33">
        <f>IF(COUNT(K99:AG99)=0,"",(AF99*5+AG99*5)/3)</f>
        <v/>
      </c>
      <c r="K99" s="52" t="n"/>
      <c r="L99" s="52" t="n"/>
      <c r="M99" s="52" t="n"/>
      <c r="N99" s="52" t="n"/>
      <c r="O99" s="53" t="n"/>
      <c r="P99" s="52" t="n"/>
      <c r="Q99" s="52" t="n"/>
      <c r="R99" s="52" t="n"/>
      <c r="S99" s="52" t="n"/>
      <c r="T99" s="53" t="n"/>
      <c r="U99" s="52" t="n"/>
      <c r="V99" s="52" t="n"/>
      <c r="W99" s="52" t="n"/>
      <c r="X99" s="52" t="n"/>
      <c r="Y99" s="52" t="n"/>
      <c r="Z99" s="52" t="n"/>
      <c r="AA99" s="53" t="n"/>
      <c r="AB99" s="52" t="n"/>
      <c r="AC99" s="52" t="n"/>
      <c r="AD99" s="52" t="n"/>
      <c r="AE99" s="52" t="n"/>
      <c r="AF99" s="52" t="n"/>
      <c r="AG99" s="52" t="n"/>
      <c r="AH99" s="53" t="n"/>
      <c r="AI99" s="53" t="n"/>
    </row>
    <row r="100" ht="14.25" customHeight="1" s="65">
      <c r="A100" s="53" t="n"/>
      <c r="B100" s="53" t="n"/>
      <c r="C100" s="53" t="n"/>
      <c r="D100" s="53" t="n"/>
      <c r="E100" s="32">
        <f>IF(COUNT(K100:AG100)=0,"",ROUND((F100+G100+H100+I100+J100)/10,2))</f>
        <v/>
      </c>
      <c r="F100" s="33">
        <f>IF(COUNT(K100:AG100)=0,"",(K100*10+L100*8+M100*7+N100*5)/3)</f>
        <v/>
      </c>
      <c r="G100" s="33">
        <f>IF(COUNT(K100:AG100)=0,"",(P100*8+Q100*7+R100*5+S100*5)/3)</f>
        <v/>
      </c>
      <c r="H100" s="33">
        <f>IF(COUNT(K100:AG100)=0,"",(U100*6+V100*6+W100*4+X100*3+Y100*3+Z100*3)/3)</f>
        <v/>
      </c>
      <c r="I100" s="33">
        <f>IF(COUNT(K100:AG100)=0,"",AB100*3+AC100*2+AD100*2+AE100*1)</f>
        <v/>
      </c>
      <c r="J100" s="33">
        <f>IF(COUNT(K100:AG100)=0,"",(AF100*5+AG100*5)/3)</f>
        <v/>
      </c>
      <c r="K100" s="52" t="n"/>
      <c r="L100" s="52" t="n"/>
      <c r="M100" s="52" t="n"/>
      <c r="N100" s="52" t="n"/>
      <c r="O100" s="53" t="n"/>
      <c r="P100" s="52" t="n"/>
      <c r="Q100" s="52" t="n"/>
      <c r="R100" s="52" t="n"/>
      <c r="S100" s="52" t="n"/>
      <c r="T100" s="53" t="n"/>
      <c r="U100" s="52" t="n"/>
      <c r="V100" s="52" t="n"/>
      <c r="W100" s="52" t="n"/>
      <c r="X100" s="52" t="n"/>
      <c r="Y100" s="52" t="n"/>
      <c r="Z100" s="52" t="n"/>
      <c r="AA100" s="53" t="n"/>
      <c r="AB100" s="52" t="n"/>
      <c r="AC100" s="52" t="n"/>
      <c r="AD100" s="52" t="n"/>
      <c r="AE100" s="52" t="n"/>
      <c r="AF100" s="52" t="n"/>
      <c r="AG100" s="52" t="n"/>
      <c r="AH100" s="53" t="n"/>
      <c r="AI100" s="53" t="n"/>
    </row>
    <row r="101" ht="14.25" customHeight="1" s="65">
      <c r="A101" s="53" t="n"/>
      <c r="B101" s="53" t="n"/>
      <c r="C101" s="53" t="n"/>
      <c r="D101" s="53" t="n"/>
      <c r="E101" s="32">
        <f>IF(COUNT(K101:AG101)=0,"",ROUND((F101+G101+H101+I101+J101)/10,2))</f>
        <v/>
      </c>
      <c r="F101" s="33">
        <f>IF(COUNT(K101:AG101)=0,"",(K101*10+L101*8+M101*7+N101*5)/3)</f>
        <v/>
      </c>
      <c r="G101" s="33">
        <f>IF(COUNT(K101:AG101)=0,"",(P101*8+Q101*7+R101*5+S101*5)/3)</f>
        <v/>
      </c>
      <c r="H101" s="33">
        <f>IF(COUNT(K101:AG101)=0,"",(U101*6+V101*6+W101*4+X101*3+Y101*3+Z101*3)/3)</f>
        <v/>
      </c>
      <c r="I101" s="33">
        <f>IF(COUNT(K101:AG101)=0,"",AB101*3+AC101*2+AD101*2+AE101*1)</f>
        <v/>
      </c>
      <c r="J101" s="33">
        <f>IF(COUNT(K101:AG101)=0,"",(AF101*5+AG101*5)/3)</f>
        <v/>
      </c>
      <c r="K101" s="52" t="n"/>
      <c r="L101" s="52" t="n"/>
      <c r="M101" s="52" t="n"/>
      <c r="N101" s="52" t="n"/>
      <c r="O101" s="53" t="n"/>
      <c r="P101" s="52" t="n"/>
      <c r="Q101" s="52" t="n"/>
      <c r="R101" s="52" t="n"/>
      <c r="S101" s="52" t="n"/>
      <c r="T101" s="53" t="n"/>
      <c r="U101" s="52" t="n"/>
      <c r="V101" s="52" t="n"/>
      <c r="W101" s="52" t="n"/>
      <c r="X101" s="52" t="n"/>
      <c r="Y101" s="52" t="n"/>
      <c r="Z101" s="52" t="n"/>
      <c r="AA101" s="53" t="n"/>
      <c r="AB101" s="52" t="n"/>
      <c r="AC101" s="52" t="n"/>
      <c r="AD101" s="52" t="n"/>
      <c r="AE101" s="52" t="n"/>
      <c r="AF101" s="52" t="n"/>
      <c r="AG101" s="52" t="n"/>
      <c r="AH101" s="53" t="n"/>
      <c r="AI101" s="53" t="n"/>
    </row>
    <row r="102" ht="14.25" customHeight="1" s="65">
      <c r="A102" s="53" t="n"/>
      <c r="B102" s="53" t="n"/>
      <c r="C102" s="53" t="n"/>
      <c r="D102" s="53" t="n"/>
      <c r="E102" s="32">
        <f>IF(COUNT(K102:AG102)=0,"",ROUND((F102+G102+H102+I102+J102)/10,2))</f>
        <v/>
      </c>
      <c r="F102" s="33">
        <f>IF(COUNT(K102:AG102)=0,"",(K102*10+L102*8+M102*7+N102*5)/3)</f>
        <v/>
      </c>
      <c r="G102" s="33">
        <f>IF(COUNT(K102:AG102)=0,"",(P102*8+Q102*7+R102*5+S102*5)/3)</f>
        <v/>
      </c>
      <c r="H102" s="33">
        <f>IF(COUNT(K102:AG102)=0,"",(U102*6+V102*6+W102*4+X102*3+Y102*3+Z102*3)/3)</f>
        <v/>
      </c>
      <c r="I102" s="33">
        <f>IF(COUNT(K102:AG102)=0,"",AB102*3+AC102*2+AD102*2+AE102*1)</f>
        <v/>
      </c>
      <c r="J102" s="33">
        <f>IF(COUNT(K102:AG102)=0,"",(AF102*5+AG102*5)/3)</f>
        <v/>
      </c>
      <c r="K102" s="52" t="n"/>
      <c r="L102" s="52" t="n"/>
      <c r="M102" s="52" t="n"/>
      <c r="N102" s="52" t="n"/>
      <c r="O102" s="53" t="n"/>
      <c r="P102" s="52" t="n"/>
      <c r="Q102" s="52" t="n"/>
      <c r="R102" s="52" t="n"/>
      <c r="S102" s="52" t="n"/>
      <c r="T102" s="53" t="n"/>
      <c r="U102" s="52" t="n"/>
      <c r="V102" s="52" t="n"/>
      <c r="W102" s="52" t="n"/>
      <c r="X102" s="52" t="n"/>
      <c r="Y102" s="52" t="n"/>
      <c r="Z102" s="52" t="n"/>
      <c r="AA102" s="53" t="n"/>
      <c r="AB102" s="52" t="n"/>
      <c r="AC102" s="52" t="n"/>
      <c r="AD102" s="52" t="n"/>
      <c r="AE102" s="52" t="n"/>
      <c r="AF102" s="52" t="n"/>
      <c r="AG102" s="52" t="n"/>
      <c r="AH102" s="53" t="n"/>
      <c r="AI102" s="53" t="n"/>
    </row>
    <row r="103" ht="14.25" customHeight="1" s="65">
      <c r="A103" s="53" t="n"/>
      <c r="B103" s="53" t="n"/>
      <c r="C103" s="53" t="n"/>
      <c r="D103" s="53" t="n"/>
      <c r="E103" s="32">
        <f>IF(COUNT(K103:AG103)=0,"",ROUND((F103+G103+H103+I103+J103)/10,2))</f>
        <v/>
      </c>
      <c r="F103" s="33">
        <f>IF(COUNT(K103:AG103)=0,"",(K103*10+L103*8+M103*7+N103*5)/3)</f>
        <v/>
      </c>
      <c r="G103" s="33">
        <f>IF(COUNT(K103:AG103)=0,"",(P103*8+Q103*7+R103*5+S103*5)/3)</f>
        <v/>
      </c>
      <c r="H103" s="33">
        <f>IF(COUNT(K103:AG103)=0,"",(U103*6+V103*6+W103*4+X103*3+Y103*3+Z103*3)/3)</f>
        <v/>
      </c>
      <c r="I103" s="33">
        <f>IF(COUNT(K103:AG103)=0,"",AB103*3+AC103*2+AD103*2+AE103*1)</f>
        <v/>
      </c>
      <c r="J103" s="33">
        <f>IF(COUNT(K103:AG103)=0,"",(AF103*5+AG103*5)/3)</f>
        <v/>
      </c>
      <c r="K103" s="52" t="n"/>
      <c r="L103" s="52" t="n"/>
      <c r="M103" s="52" t="n"/>
      <c r="N103" s="52" t="n"/>
      <c r="O103" s="53" t="n"/>
      <c r="P103" s="52" t="n"/>
      <c r="Q103" s="52" t="n"/>
      <c r="R103" s="52" t="n"/>
      <c r="S103" s="52" t="n"/>
      <c r="T103" s="53" t="n"/>
      <c r="U103" s="52" t="n"/>
      <c r="V103" s="52" t="n"/>
      <c r="W103" s="52" t="n"/>
      <c r="X103" s="52" t="n"/>
      <c r="Y103" s="52" t="n"/>
      <c r="Z103" s="52" t="n"/>
      <c r="AA103" s="53" t="n"/>
      <c r="AB103" s="52" t="n"/>
      <c r="AC103" s="52" t="n"/>
      <c r="AD103" s="52" t="n"/>
      <c r="AE103" s="52" t="n"/>
      <c r="AF103" s="52" t="n"/>
      <c r="AG103" s="52" t="n"/>
      <c r="AH103" s="53" t="n"/>
      <c r="AI103" s="53" t="n"/>
    </row>
    <row r="104" ht="14.25" customHeight="1" s="65">
      <c r="A104" s="53" t="n"/>
      <c r="B104" s="53" t="n"/>
      <c r="C104" s="53" t="n"/>
      <c r="D104" s="53" t="n"/>
      <c r="E104" s="32">
        <f>IF(COUNT(K104:AG104)=0,"",ROUND((F104+G104+H104+I104+J104)/10,2))</f>
        <v/>
      </c>
      <c r="F104" s="33">
        <f>IF(COUNT(K104:AG104)=0,"",(K104*10+L104*8+M104*7+N104*5)/3)</f>
        <v/>
      </c>
      <c r="G104" s="33">
        <f>IF(COUNT(K104:AG104)=0,"",(P104*8+Q104*7+R104*5+S104*5)/3)</f>
        <v/>
      </c>
      <c r="H104" s="33">
        <f>IF(COUNT(K104:AG104)=0,"",(U104*6+V104*6+W104*4+X104*3+Y104*3+Z104*3)/3)</f>
        <v/>
      </c>
      <c r="I104" s="33">
        <f>IF(COUNT(K104:AG104)=0,"",AB104*3+AC104*2+AD104*2+AE104*1)</f>
        <v/>
      </c>
      <c r="J104" s="33">
        <f>IF(COUNT(K104:AG104)=0,"",(AF104*5+AG104*5)/3)</f>
        <v/>
      </c>
      <c r="K104" s="52" t="n"/>
      <c r="L104" s="52" t="n"/>
      <c r="M104" s="52" t="n"/>
      <c r="N104" s="52" t="n"/>
      <c r="O104" s="53" t="n"/>
      <c r="P104" s="52" t="n"/>
      <c r="Q104" s="52" t="n"/>
      <c r="R104" s="52" t="n"/>
      <c r="S104" s="52" t="n"/>
      <c r="T104" s="53" t="n"/>
      <c r="U104" s="52" t="n"/>
      <c r="V104" s="52" t="n"/>
      <c r="W104" s="52" t="n"/>
      <c r="X104" s="52" t="n"/>
      <c r="Y104" s="52" t="n"/>
      <c r="Z104" s="52" t="n"/>
      <c r="AA104" s="53" t="n"/>
      <c r="AB104" s="52" t="n"/>
      <c r="AC104" s="52" t="n"/>
      <c r="AD104" s="52" t="n"/>
      <c r="AE104" s="52" t="n"/>
      <c r="AF104" s="52" t="n"/>
      <c r="AG104" s="52" t="n"/>
      <c r="AH104" s="53" t="n"/>
      <c r="AI104" s="53" t="n"/>
    </row>
    <row r="105" ht="14.25" customHeight="1" s="65">
      <c r="A105" s="53" t="n"/>
      <c r="B105" s="53" t="n"/>
      <c r="C105" s="53" t="n"/>
      <c r="D105" s="53" t="n"/>
      <c r="E105" s="32">
        <f>IF(COUNT(K105:AG105)=0,"",ROUND((F105+G105+H105+I105+J105)/10,2))</f>
        <v/>
      </c>
      <c r="F105" s="33">
        <f>IF(COUNT(K105:AG105)=0,"",(K105*10+L105*8+M105*7+N105*5)/3)</f>
        <v/>
      </c>
      <c r="G105" s="33">
        <f>IF(COUNT(K105:AG105)=0,"",(P105*8+Q105*7+R105*5+S105*5)/3)</f>
        <v/>
      </c>
      <c r="H105" s="33">
        <f>IF(COUNT(K105:AG105)=0,"",(U105*6+V105*6+W105*4+X105*3+Y105*3+Z105*3)/3)</f>
        <v/>
      </c>
      <c r="I105" s="33">
        <f>IF(COUNT(K105:AG105)=0,"",AB105*3+AC105*2+AD105*2+AE105*1)</f>
        <v/>
      </c>
      <c r="J105" s="33">
        <f>IF(COUNT(K105:AG105)=0,"",(AF105*5+AG105*5)/3)</f>
        <v/>
      </c>
      <c r="K105" s="52" t="n"/>
      <c r="L105" s="52" t="n"/>
      <c r="M105" s="52" t="n"/>
      <c r="N105" s="52" t="n"/>
      <c r="O105" s="53" t="n"/>
      <c r="P105" s="52" t="n"/>
      <c r="Q105" s="52" t="n"/>
      <c r="R105" s="52" t="n"/>
      <c r="S105" s="52" t="n"/>
      <c r="T105" s="53" t="n"/>
      <c r="U105" s="52" t="n"/>
      <c r="V105" s="52" t="n"/>
      <c r="W105" s="52" t="n"/>
      <c r="X105" s="52" t="n"/>
      <c r="Y105" s="52" t="n"/>
      <c r="Z105" s="52" t="n"/>
      <c r="AA105" s="53" t="n"/>
      <c r="AB105" s="52" t="n"/>
      <c r="AC105" s="52" t="n"/>
      <c r="AD105" s="52" t="n"/>
      <c r="AE105" s="52" t="n"/>
      <c r="AF105" s="52" t="n"/>
      <c r="AG105" s="52" t="n"/>
      <c r="AH105" s="53" t="n"/>
      <c r="AI105" s="53" t="n"/>
    </row>
    <row r="106" ht="14.25" customHeight="1" s="65">
      <c r="A106" s="53" t="n"/>
      <c r="B106" s="53" t="n"/>
      <c r="C106" s="53" t="n"/>
      <c r="D106" s="53" t="n"/>
      <c r="E106" s="32">
        <f>IF(COUNT(K106:AG106)=0,"",ROUND((F106+G106+H106+I106+J106)/10,2))</f>
        <v/>
      </c>
      <c r="F106" s="33">
        <f>IF(COUNT(K106:AG106)=0,"",(K106*10+L106*8+M106*7+N106*5)/3)</f>
        <v/>
      </c>
      <c r="G106" s="33">
        <f>IF(COUNT(K106:AG106)=0,"",(P106*8+Q106*7+R106*5+S106*5)/3)</f>
        <v/>
      </c>
      <c r="H106" s="33">
        <f>IF(COUNT(K106:AG106)=0,"",(U106*6+V106*6+W106*4+X106*3+Y106*3+Z106*3)/3)</f>
        <v/>
      </c>
      <c r="I106" s="33">
        <f>IF(COUNT(K106:AG106)=0,"",AB106*3+AC106*2+AD106*2+AE106*1)</f>
        <v/>
      </c>
      <c r="J106" s="33">
        <f>IF(COUNT(K106:AG106)=0,"",(AF106*5+AG106*5)/3)</f>
        <v/>
      </c>
      <c r="K106" s="52" t="n"/>
      <c r="L106" s="52" t="n"/>
      <c r="M106" s="52" t="n"/>
      <c r="N106" s="52" t="n"/>
      <c r="O106" s="53" t="n"/>
      <c r="P106" s="52" t="n"/>
      <c r="Q106" s="52" t="n"/>
      <c r="R106" s="52" t="n"/>
      <c r="S106" s="52" t="n"/>
      <c r="T106" s="53" t="n"/>
      <c r="U106" s="52" t="n"/>
      <c r="V106" s="52" t="n"/>
      <c r="W106" s="52" t="n"/>
      <c r="X106" s="52" t="n"/>
      <c r="Y106" s="52" t="n"/>
      <c r="Z106" s="52" t="n"/>
      <c r="AA106" s="53" t="n"/>
      <c r="AB106" s="52" t="n"/>
      <c r="AC106" s="52" t="n"/>
      <c r="AD106" s="52" t="n"/>
      <c r="AE106" s="52" t="n"/>
      <c r="AF106" s="52" t="n"/>
      <c r="AG106" s="52" t="n"/>
      <c r="AH106" s="53" t="n"/>
      <c r="AI106" s="53" t="n"/>
    </row>
    <row r="107" ht="14.25" customHeight="1" s="65">
      <c r="A107" s="53" t="n"/>
      <c r="B107" s="53" t="n"/>
      <c r="C107" s="53" t="n"/>
      <c r="D107" s="53" t="n"/>
      <c r="E107" s="32">
        <f>IF(COUNT(K107:AG107)=0,"",ROUND((F107+G107+H107+I107+J107)/10,2))</f>
        <v/>
      </c>
      <c r="F107" s="33">
        <f>IF(COUNT(K107:AG107)=0,"",(K107*10+L107*8+M107*7+N107*5)/3)</f>
        <v/>
      </c>
      <c r="G107" s="33">
        <f>IF(COUNT(K107:AG107)=0,"",(P107*8+Q107*7+R107*5+S107*5)/3)</f>
        <v/>
      </c>
      <c r="H107" s="33">
        <f>IF(COUNT(K107:AG107)=0,"",(U107*6+V107*6+W107*4+X107*3+Y107*3+Z107*3)/3)</f>
        <v/>
      </c>
      <c r="I107" s="33">
        <f>IF(COUNT(K107:AG107)=0,"",AB107*3+AC107*2+AD107*2+AE107*1)</f>
        <v/>
      </c>
      <c r="J107" s="33">
        <f>IF(COUNT(K107:AG107)=0,"",(AF107*5+AG107*5)/3)</f>
        <v/>
      </c>
      <c r="K107" s="52" t="n"/>
      <c r="L107" s="52" t="n"/>
      <c r="M107" s="52" t="n"/>
      <c r="N107" s="52" t="n"/>
      <c r="O107" s="53" t="n"/>
      <c r="P107" s="52" t="n"/>
      <c r="Q107" s="52" t="n"/>
      <c r="R107" s="52" t="n"/>
      <c r="S107" s="52" t="n"/>
      <c r="T107" s="53" t="n"/>
      <c r="U107" s="52" t="n"/>
      <c r="V107" s="52" t="n"/>
      <c r="W107" s="52" t="n"/>
      <c r="X107" s="52" t="n"/>
      <c r="Y107" s="52" t="n"/>
      <c r="Z107" s="52" t="n"/>
      <c r="AA107" s="53" t="n"/>
      <c r="AB107" s="52" t="n"/>
      <c r="AC107" s="52" t="n"/>
      <c r="AD107" s="52" t="n"/>
      <c r="AE107" s="52" t="n"/>
      <c r="AF107" s="52" t="n"/>
      <c r="AG107" s="52" t="n"/>
      <c r="AH107" s="53" t="n"/>
      <c r="AI107" s="53" t="n"/>
    </row>
    <row r="108" ht="14.25" customHeight="1" s="65">
      <c r="A108" s="53" t="n"/>
      <c r="B108" s="53" t="n"/>
      <c r="C108" s="53" t="n"/>
      <c r="D108" s="53" t="n"/>
      <c r="E108" s="32">
        <f>IF(COUNT(K108:AG108)=0,"",ROUND((F108+G108+H108+I108+J108)/10,2))</f>
        <v/>
      </c>
      <c r="F108" s="33">
        <f>IF(COUNT(K108:AG108)=0,"",(K108*10+L108*8+M108*7+N108*5)/3)</f>
        <v/>
      </c>
      <c r="G108" s="33">
        <f>IF(COUNT(K108:AG108)=0,"",(P108*8+Q108*7+R108*5+S108*5)/3)</f>
        <v/>
      </c>
      <c r="H108" s="33">
        <f>IF(COUNT(K108:AG108)=0,"",(U108*6+V108*6+W108*4+X108*3+Y108*3+Z108*3)/3)</f>
        <v/>
      </c>
      <c r="I108" s="33">
        <f>IF(COUNT(K108:AG108)=0,"",AB108*3+AC108*2+AD108*2+AE108*1)</f>
        <v/>
      </c>
      <c r="J108" s="33">
        <f>IF(COUNT(K108:AG108)=0,"",(AF108*5+AG108*5)/3)</f>
        <v/>
      </c>
      <c r="K108" s="52" t="n"/>
      <c r="L108" s="52" t="n"/>
      <c r="M108" s="52" t="n"/>
      <c r="N108" s="52" t="n"/>
      <c r="O108" s="53" t="n"/>
      <c r="P108" s="52" t="n"/>
      <c r="Q108" s="52" t="n"/>
      <c r="R108" s="52" t="n"/>
      <c r="S108" s="52" t="n"/>
      <c r="T108" s="53" t="n"/>
      <c r="U108" s="52" t="n"/>
      <c r="V108" s="52" t="n"/>
      <c r="W108" s="52" t="n"/>
      <c r="X108" s="52" t="n"/>
      <c r="Y108" s="52" t="n"/>
      <c r="Z108" s="52" t="n"/>
      <c r="AA108" s="53" t="n"/>
      <c r="AB108" s="52" t="n"/>
      <c r="AC108" s="52" t="n"/>
      <c r="AD108" s="52" t="n"/>
      <c r="AE108" s="52" t="n"/>
      <c r="AF108" s="52" t="n"/>
      <c r="AG108" s="52" t="n"/>
      <c r="AH108" s="53" t="n"/>
      <c r="AI108" s="53" t="n"/>
    </row>
    <row r="109" ht="14.25" customHeight="1" s="65">
      <c r="A109" s="53" t="n"/>
      <c r="B109" s="53" t="n"/>
      <c r="C109" s="53" t="n"/>
      <c r="D109" s="53" t="n"/>
      <c r="E109" s="32">
        <f>IF(COUNT(K109:AG109)=0,"",ROUND((F109+G109+H109+I109+J109)/10,2))</f>
        <v/>
      </c>
      <c r="F109" s="33">
        <f>IF(COUNT(K109:AG109)=0,"",(K109*10+L109*8+M109*7+N109*5)/3)</f>
        <v/>
      </c>
      <c r="G109" s="33">
        <f>IF(COUNT(K109:AG109)=0,"",(P109*8+Q109*7+R109*5+S109*5)/3)</f>
        <v/>
      </c>
      <c r="H109" s="33">
        <f>IF(COUNT(K109:AG109)=0,"",(U109*6+V109*6+W109*4+X109*3+Y109*3+Z109*3)/3)</f>
        <v/>
      </c>
      <c r="I109" s="33">
        <f>IF(COUNT(K109:AG109)=0,"",AB109*3+AC109*2+AD109*2+AE109*1)</f>
        <v/>
      </c>
      <c r="J109" s="33">
        <f>IF(COUNT(K109:AG109)=0,"",(AF109*5+AG109*5)/3)</f>
        <v/>
      </c>
      <c r="K109" s="52" t="n"/>
      <c r="L109" s="52" t="n"/>
      <c r="M109" s="52" t="n"/>
      <c r="N109" s="52" t="n"/>
      <c r="O109" s="53" t="n"/>
      <c r="P109" s="52" t="n"/>
      <c r="Q109" s="52" t="n"/>
      <c r="R109" s="52" t="n"/>
      <c r="S109" s="52" t="n"/>
      <c r="T109" s="53" t="n"/>
      <c r="U109" s="52" t="n"/>
      <c r="V109" s="52" t="n"/>
      <c r="W109" s="52" t="n"/>
      <c r="X109" s="52" t="n"/>
      <c r="Y109" s="52" t="n"/>
      <c r="Z109" s="52" t="n"/>
      <c r="AA109" s="53" t="n"/>
      <c r="AB109" s="52" t="n"/>
      <c r="AC109" s="52" t="n"/>
      <c r="AD109" s="52" t="n"/>
      <c r="AE109" s="52" t="n"/>
      <c r="AF109" s="52" t="n"/>
      <c r="AG109" s="52" t="n"/>
      <c r="AH109" s="53" t="n"/>
      <c r="AI109" s="53" t="n"/>
    </row>
    <row r="110" ht="14.25" customHeight="1" s="65">
      <c r="A110" s="53" t="n"/>
      <c r="B110" s="53" t="n"/>
      <c r="C110" s="53" t="n"/>
      <c r="D110" s="53" t="n"/>
      <c r="E110" s="32">
        <f>IF(COUNT(K110:AG110)=0,"",ROUND((F110+G110+H110+I110+J110)/10,2))</f>
        <v/>
      </c>
      <c r="F110" s="33">
        <f>IF(COUNT(K110:AG110)=0,"",(K110*10+L110*8+M110*7+N110*5)/3)</f>
        <v/>
      </c>
      <c r="G110" s="33">
        <f>IF(COUNT(K110:AG110)=0,"",(P110*8+Q110*7+R110*5+S110*5)/3)</f>
        <v/>
      </c>
      <c r="H110" s="33">
        <f>IF(COUNT(K110:AG110)=0,"",(U110*6+V110*6+W110*4+X110*3+Y110*3+Z110*3)/3)</f>
        <v/>
      </c>
      <c r="I110" s="33">
        <f>IF(COUNT(K110:AG110)=0,"",AB110*3+AC110*2+AD110*2+AE110*1)</f>
        <v/>
      </c>
      <c r="J110" s="33">
        <f>IF(COUNT(K110:AG110)=0,"",(AF110*5+AG110*5)/3)</f>
        <v/>
      </c>
      <c r="K110" s="52" t="n"/>
      <c r="L110" s="52" t="n"/>
      <c r="M110" s="52" t="n"/>
      <c r="N110" s="52" t="n"/>
      <c r="O110" s="53" t="n"/>
      <c r="P110" s="52" t="n"/>
      <c r="Q110" s="52" t="n"/>
      <c r="R110" s="52" t="n"/>
      <c r="S110" s="52" t="n"/>
      <c r="T110" s="53" t="n"/>
      <c r="U110" s="52" t="n"/>
      <c r="V110" s="52" t="n"/>
      <c r="W110" s="52" t="n"/>
      <c r="X110" s="52" t="n"/>
      <c r="Y110" s="52" t="n"/>
      <c r="Z110" s="52" t="n"/>
      <c r="AA110" s="53" t="n"/>
      <c r="AB110" s="52" t="n"/>
      <c r="AC110" s="52" t="n"/>
      <c r="AD110" s="52" t="n"/>
      <c r="AE110" s="52" t="n"/>
      <c r="AF110" s="52" t="n"/>
      <c r="AG110" s="52" t="n"/>
      <c r="AH110" s="53" t="n"/>
      <c r="AI110" s="53" t="n"/>
    </row>
    <row r="111" ht="14.25" customHeight="1" s="65">
      <c r="A111" s="53" t="n"/>
      <c r="B111" s="53" t="n"/>
      <c r="C111" s="53" t="n"/>
      <c r="D111" s="53" t="n"/>
      <c r="E111" s="32">
        <f>IF(COUNT(K111:AG111)=0,"",ROUND((F111+G111+H111+I111+J111)/10,2))</f>
        <v/>
      </c>
      <c r="F111" s="33">
        <f>IF(COUNT(K111:AG111)=0,"",(K111*10+L111*8+M111*7+N111*5)/3)</f>
        <v/>
      </c>
      <c r="G111" s="33">
        <f>IF(COUNT(K111:AG111)=0,"",(P111*8+Q111*7+R111*5+S111*5)/3)</f>
        <v/>
      </c>
      <c r="H111" s="33">
        <f>IF(COUNT(K111:AG111)=0,"",(U111*6+V111*6+W111*4+X111*3+Y111*3+Z111*3)/3)</f>
        <v/>
      </c>
      <c r="I111" s="33">
        <f>IF(COUNT(K111:AG111)=0,"",AB111*3+AC111*2+AD111*2+AE111*1)</f>
        <v/>
      </c>
      <c r="J111" s="33">
        <f>IF(COUNT(K111:AG111)=0,"",(AF111*5+AG111*5)/3)</f>
        <v/>
      </c>
      <c r="K111" s="52" t="n"/>
      <c r="L111" s="52" t="n"/>
      <c r="M111" s="52" t="n"/>
      <c r="N111" s="52" t="n"/>
      <c r="O111" s="53" t="n"/>
      <c r="P111" s="52" t="n"/>
      <c r="Q111" s="52" t="n"/>
      <c r="R111" s="52" t="n"/>
      <c r="S111" s="52" t="n"/>
      <c r="T111" s="53" t="n"/>
      <c r="U111" s="52" t="n"/>
      <c r="V111" s="52" t="n"/>
      <c r="W111" s="52" t="n"/>
      <c r="X111" s="52" t="n"/>
      <c r="Y111" s="52" t="n"/>
      <c r="Z111" s="52" t="n"/>
      <c r="AA111" s="53" t="n"/>
      <c r="AB111" s="52" t="n"/>
      <c r="AC111" s="52" t="n"/>
      <c r="AD111" s="52" t="n"/>
      <c r="AE111" s="52" t="n"/>
      <c r="AF111" s="52" t="n"/>
      <c r="AG111" s="52" t="n"/>
      <c r="AH111" s="53" t="n"/>
      <c r="AI111" s="53" t="n"/>
    </row>
    <row r="112" ht="14.25" customHeight="1" s="65">
      <c r="A112" s="53" t="n"/>
      <c r="B112" s="53" t="n"/>
      <c r="C112" s="53" t="n"/>
      <c r="D112" s="53" t="n"/>
      <c r="E112" s="32">
        <f>IF(COUNT(K112:AG112)=0,"",ROUND((F112+G112+H112+I112+J112)/10,2))</f>
        <v/>
      </c>
      <c r="F112" s="33">
        <f>IF(COUNT(K112:AG112)=0,"",(K112*10+L112*8+M112*7+N112*5)/3)</f>
        <v/>
      </c>
      <c r="G112" s="33">
        <f>IF(COUNT(K112:AG112)=0,"",(P112*8+Q112*7+R112*5+S112*5)/3)</f>
        <v/>
      </c>
      <c r="H112" s="33">
        <f>IF(COUNT(K112:AG112)=0,"",(U112*6+V112*6+W112*4+X112*3+Y112*3+Z112*3)/3)</f>
        <v/>
      </c>
      <c r="I112" s="33">
        <f>IF(COUNT(K112:AG112)=0,"",AB112*3+AC112*2+AD112*2+AE112*1)</f>
        <v/>
      </c>
      <c r="J112" s="33">
        <f>IF(COUNT(K112:AG112)=0,"",(AF112*5+AG112*5)/3)</f>
        <v/>
      </c>
      <c r="K112" s="52" t="n"/>
      <c r="L112" s="52" t="n"/>
      <c r="M112" s="52" t="n"/>
      <c r="N112" s="52" t="n"/>
      <c r="O112" s="53" t="n"/>
      <c r="P112" s="52" t="n"/>
      <c r="Q112" s="52" t="n"/>
      <c r="R112" s="52" t="n"/>
      <c r="S112" s="52" t="n"/>
      <c r="T112" s="53" t="n"/>
      <c r="U112" s="52" t="n"/>
      <c r="V112" s="52" t="n"/>
      <c r="W112" s="52" t="n"/>
      <c r="X112" s="52" t="n"/>
      <c r="Y112" s="52" t="n"/>
      <c r="Z112" s="52" t="n"/>
      <c r="AA112" s="53" t="n"/>
      <c r="AB112" s="52" t="n"/>
      <c r="AC112" s="52" t="n"/>
      <c r="AD112" s="52" t="n"/>
      <c r="AE112" s="52" t="n"/>
      <c r="AF112" s="52" t="n"/>
      <c r="AG112" s="52" t="n"/>
      <c r="AH112" s="53" t="n"/>
      <c r="AI112" s="53" t="n"/>
    </row>
    <row r="113" ht="14.25" customHeight="1" s="65">
      <c r="A113" s="53" t="n"/>
      <c r="B113" s="53" t="n"/>
      <c r="C113" s="53" t="n"/>
      <c r="D113" s="53" t="n"/>
      <c r="E113" s="32">
        <f>IF(COUNT(K113:AG113)=0,"",ROUND((F113+G113+H113+I113+J113)/10,2))</f>
        <v/>
      </c>
      <c r="F113" s="33">
        <f>IF(COUNT(K113:AG113)=0,"",(K113*10+L113*8+M113*7+N113*5)/3)</f>
        <v/>
      </c>
      <c r="G113" s="33">
        <f>IF(COUNT(K113:AG113)=0,"",(P113*8+Q113*7+R113*5+S113*5)/3)</f>
        <v/>
      </c>
      <c r="H113" s="33">
        <f>IF(COUNT(K113:AG113)=0,"",(U113*6+V113*6+W113*4+X113*3+Y113*3+Z113*3)/3)</f>
        <v/>
      </c>
      <c r="I113" s="33">
        <f>IF(COUNT(K113:AG113)=0,"",AB113*3+AC113*2+AD113*2+AE113*1)</f>
        <v/>
      </c>
      <c r="J113" s="33">
        <f>IF(COUNT(K113:AG113)=0,"",(AF113*5+AG113*5)/3)</f>
        <v/>
      </c>
      <c r="K113" s="52" t="n"/>
      <c r="L113" s="52" t="n"/>
      <c r="M113" s="52" t="n"/>
      <c r="N113" s="52" t="n"/>
      <c r="O113" s="53" t="n"/>
      <c r="P113" s="52" t="n"/>
      <c r="Q113" s="52" t="n"/>
      <c r="R113" s="52" t="n"/>
      <c r="S113" s="52" t="n"/>
      <c r="T113" s="53" t="n"/>
      <c r="U113" s="52" t="n"/>
      <c r="V113" s="52" t="n"/>
      <c r="W113" s="52" t="n"/>
      <c r="X113" s="52" t="n"/>
      <c r="Y113" s="52" t="n"/>
      <c r="Z113" s="52" t="n"/>
      <c r="AA113" s="53" t="n"/>
      <c r="AB113" s="52" t="n"/>
      <c r="AC113" s="52" t="n"/>
      <c r="AD113" s="52" t="n"/>
      <c r="AE113" s="52" t="n"/>
      <c r="AF113" s="52" t="n"/>
      <c r="AG113" s="52" t="n"/>
      <c r="AH113" s="53" t="n"/>
      <c r="AI113" s="53" t="n"/>
    </row>
    <row r="114" ht="14.25" customHeight="1" s="65">
      <c r="A114" s="53" t="n"/>
      <c r="B114" s="53" t="n"/>
      <c r="C114" s="53" t="n"/>
      <c r="D114" s="53" t="n"/>
      <c r="E114" s="32">
        <f>IF(COUNT(K114:AG114)=0,"",ROUND((F114+G114+H114+I114+J114)/10,2))</f>
        <v/>
      </c>
      <c r="F114" s="33">
        <f>IF(COUNT(K114:AG114)=0,"",(K114*10+L114*8+M114*7+N114*5)/3)</f>
        <v/>
      </c>
      <c r="G114" s="33">
        <f>IF(COUNT(K114:AG114)=0,"",(P114*8+Q114*7+R114*5+S114*5)/3)</f>
        <v/>
      </c>
      <c r="H114" s="33">
        <f>IF(COUNT(K114:AG114)=0,"",(U114*6+V114*6+W114*4+X114*3+Y114*3+Z114*3)/3)</f>
        <v/>
      </c>
      <c r="I114" s="33">
        <f>IF(COUNT(K114:AG114)=0,"",AB114*3+AC114*2+AD114*2+AE114*1)</f>
        <v/>
      </c>
      <c r="J114" s="33">
        <f>IF(COUNT(K114:AG114)=0,"",(AF114*5+AG114*5)/3)</f>
        <v/>
      </c>
      <c r="K114" s="52" t="n"/>
      <c r="L114" s="52" t="n"/>
      <c r="M114" s="52" t="n"/>
      <c r="N114" s="52" t="n"/>
      <c r="O114" s="53" t="n"/>
      <c r="P114" s="52" t="n"/>
      <c r="Q114" s="52" t="n"/>
      <c r="R114" s="52" t="n"/>
      <c r="S114" s="52" t="n"/>
      <c r="T114" s="53" t="n"/>
      <c r="U114" s="52" t="n"/>
      <c r="V114" s="52" t="n"/>
      <c r="W114" s="52" t="n"/>
      <c r="X114" s="52" t="n"/>
      <c r="Y114" s="52" t="n"/>
      <c r="Z114" s="52" t="n"/>
      <c r="AA114" s="53" t="n"/>
      <c r="AB114" s="52" t="n"/>
      <c r="AC114" s="52" t="n"/>
      <c r="AD114" s="52" t="n"/>
      <c r="AE114" s="52" t="n"/>
      <c r="AF114" s="52" t="n"/>
      <c r="AG114" s="52" t="n"/>
      <c r="AH114" s="53" t="n"/>
      <c r="AI114" s="53" t="n"/>
    </row>
    <row r="115" ht="14.25" customHeight="1" s="65">
      <c r="A115" s="53" t="n"/>
      <c r="B115" s="53" t="n"/>
      <c r="C115" s="53" t="n"/>
      <c r="D115" s="53" t="n"/>
      <c r="E115" s="32">
        <f>IF(COUNT(K115:AG115)=0,"",ROUND((F115+G115+H115+I115+J115)/10,2))</f>
        <v/>
      </c>
      <c r="F115" s="33">
        <f>IF(COUNT(K115:AG115)=0,"",(K115*10+L115*8+M115*7+N115*5)/3)</f>
        <v/>
      </c>
      <c r="G115" s="33">
        <f>IF(COUNT(K115:AG115)=0,"",(P115*8+Q115*7+R115*5+S115*5)/3)</f>
        <v/>
      </c>
      <c r="H115" s="33">
        <f>IF(COUNT(K115:AG115)=0,"",(U115*6+V115*6+W115*4+X115*3+Y115*3+Z115*3)/3)</f>
        <v/>
      </c>
      <c r="I115" s="33">
        <f>IF(COUNT(K115:AG115)=0,"",AB115*3+AC115*2+AD115*2+AE115*1)</f>
        <v/>
      </c>
      <c r="J115" s="33">
        <f>IF(COUNT(K115:AG115)=0,"",(AF115*5+AG115*5)/3)</f>
        <v/>
      </c>
      <c r="K115" s="52" t="n"/>
      <c r="L115" s="52" t="n"/>
      <c r="M115" s="52" t="n"/>
      <c r="N115" s="52" t="n"/>
      <c r="O115" s="53" t="n"/>
      <c r="P115" s="52" t="n"/>
      <c r="Q115" s="52" t="n"/>
      <c r="R115" s="52" t="n"/>
      <c r="S115" s="52" t="n"/>
      <c r="T115" s="53" t="n"/>
      <c r="U115" s="52" t="n"/>
      <c r="V115" s="52" t="n"/>
      <c r="W115" s="52" t="n"/>
      <c r="X115" s="52" t="n"/>
      <c r="Y115" s="52" t="n"/>
      <c r="Z115" s="52" t="n"/>
      <c r="AA115" s="53" t="n"/>
      <c r="AB115" s="52" t="n"/>
      <c r="AC115" s="52" t="n"/>
      <c r="AD115" s="52" t="n"/>
      <c r="AE115" s="52" t="n"/>
      <c r="AF115" s="52" t="n"/>
      <c r="AG115" s="52" t="n"/>
      <c r="AH115" s="53" t="n"/>
      <c r="AI115" s="53" t="n"/>
    </row>
    <row r="116" ht="14.25" customHeight="1" s="65">
      <c r="A116" s="53" t="n"/>
      <c r="B116" s="53" t="n"/>
      <c r="C116" s="53" t="n"/>
      <c r="D116" s="53" t="n"/>
      <c r="E116" s="32">
        <f>IF(COUNT(K116:AG116)=0,"",ROUND((F116+G116+H116+I116+J116)/10,2))</f>
        <v/>
      </c>
      <c r="F116" s="33">
        <f>IF(COUNT(K116:AG116)=0,"",(K116*10+L116*8+M116*7+N116*5)/3)</f>
        <v/>
      </c>
      <c r="G116" s="33">
        <f>IF(COUNT(K116:AG116)=0,"",(P116*8+Q116*7+R116*5+S116*5)/3)</f>
        <v/>
      </c>
      <c r="H116" s="33">
        <f>IF(COUNT(K116:AG116)=0,"",(U116*6+V116*6+W116*4+X116*3+Y116*3+Z116*3)/3)</f>
        <v/>
      </c>
      <c r="I116" s="33">
        <f>IF(COUNT(K116:AG116)=0,"",AB116*3+AC116*2+AD116*2+AE116*1)</f>
        <v/>
      </c>
      <c r="J116" s="33">
        <f>IF(COUNT(K116:AG116)=0,"",(AF116*5+AG116*5)/3)</f>
        <v/>
      </c>
      <c r="K116" s="52" t="n"/>
      <c r="L116" s="52" t="n"/>
      <c r="M116" s="52" t="n"/>
      <c r="N116" s="52" t="n"/>
      <c r="O116" s="53" t="n"/>
      <c r="P116" s="52" t="n"/>
      <c r="Q116" s="52" t="n"/>
      <c r="R116" s="52" t="n"/>
      <c r="S116" s="52" t="n"/>
      <c r="T116" s="53" t="n"/>
      <c r="U116" s="52" t="n"/>
      <c r="V116" s="52" t="n"/>
      <c r="W116" s="52" t="n"/>
      <c r="X116" s="52" t="n"/>
      <c r="Y116" s="52" t="n"/>
      <c r="Z116" s="52" t="n"/>
      <c r="AA116" s="53" t="n"/>
      <c r="AB116" s="52" t="n"/>
      <c r="AC116" s="52" t="n"/>
      <c r="AD116" s="52" t="n"/>
      <c r="AE116" s="52" t="n"/>
      <c r="AF116" s="52" t="n"/>
      <c r="AG116" s="52" t="n"/>
      <c r="AH116" s="53" t="n"/>
      <c r="AI116" s="53" t="n"/>
    </row>
    <row r="117" ht="14.25" customHeight="1" s="65">
      <c r="A117" s="53" t="n"/>
      <c r="B117" s="53" t="n"/>
      <c r="C117" s="53" t="n"/>
      <c r="D117" s="53" t="n"/>
      <c r="E117" s="32">
        <f>IF(COUNT(K117:AG117)=0,"",ROUND((F117+G117+H117+I117+J117)/10,2))</f>
        <v/>
      </c>
      <c r="F117" s="33">
        <f>IF(COUNT(K117:AG117)=0,"",(K117*10+L117*8+M117*7+N117*5)/3)</f>
        <v/>
      </c>
      <c r="G117" s="33">
        <f>IF(COUNT(K117:AG117)=0,"",(P117*8+Q117*7+R117*5+S117*5)/3)</f>
        <v/>
      </c>
      <c r="H117" s="33">
        <f>IF(COUNT(K117:AG117)=0,"",(U117*6+V117*6+W117*4+X117*3+Y117*3+Z117*3)/3)</f>
        <v/>
      </c>
      <c r="I117" s="33">
        <f>IF(COUNT(K117:AG117)=0,"",AB117*3+AC117*2+AD117*2+AE117*1)</f>
        <v/>
      </c>
      <c r="J117" s="33">
        <f>IF(COUNT(K117:AG117)=0,"",(AF117*5+AG117*5)/3)</f>
        <v/>
      </c>
      <c r="K117" s="52" t="n"/>
      <c r="L117" s="52" t="n"/>
      <c r="M117" s="52" t="n"/>
      <c r="N117" s="52" t="n"/>
      <c r="O117" s="53" t="n"/>
      <c r="P117" s="52" t="n"/>
      <c r="Q117" s="52" t="n"/>
      <c r="R117" s="52" t="n"/>
      <c r="S117" s="52" t="n"/>
      <c r="T117" s="53" t="n"/>
      <c r="U117" s="52" t="n"/>
      <c r="V117" s="52" t="n"/>
      <c r="W117" s="52" t="n"/>
      <c r="X117" s="52" t="n"/>
      <c r="Y117" s="52" t="n"/>
      <c r="Z117" s="52" t="n"/>
      <c r="AA117" s="53" t="n"/>
      <c r="AB117" s="52" t="n"/>
      <c r="AC117" s="52" t="n"/>
      <c r="AD117" s="52" t="n"/>
      <c r="AE117" s="52" t="n"/>
      <c r="AF117" s="52" t="n"/>
      <c r="AG117" s="52" t="n"/>
      <c r="AH117" s="53" t="n"/>
      <c r="AI117" s="53" t="n"/>
    </row>
    <row r="118" ht="14.25" customHeight="1" s="65">
      <c r="A118" s="53" t="n"/>
      <c r="B118" s="53" t="n"/>
      <c r="C118" s="53" t="n"/>
      <c r="D118" s="53" t="n"/>
      <c r="E118" s="32">
        <f>IF(COUNT(K118:AG118)=0,"",ROUND((F118+G118+H118+I118+J118)/10,2))</f>
        <v/>
      </c>
      <c r="F118" s="33">
        <f>IF(COUNT(K118:AG118)=0,"",(K118*10+L118*8+M118*7+N118*5)/3)</f>
        <v/>
      </c>
      <c r="G118" s="33">
        <f>IF(COUNT(K118:AG118)=0,"",(P118*8+Q118*7+R118*5+S118*5)/3)</f>
        <v/>
      </c>
      <c r="H118" s="33">
        <f>IF(COUNT(K118:AG118)=0,"",(U118*6+V118*6+W118*4+X118*3+Y118*3+Z118*3)/3)</f>
        <v/>
      </c>
      <c r="I118" s="33">
        <f>IF(COUNT(K118:AG118)=0,"",AB118*3+AC118*2+AD118*2+AE118*1)</f>
        <v/>
      </c>
      <c r="J118" s="33">
        <f>IF(COUNT(K118:AG118)=0,"",(AF118*5+AG118*5)/3)</f>
        <v/>
      </c>
      <c r="K118" s="52" t="n"/>
      <c r="L118" s="52" t="n"/>
      <c r="M118" s="52" t="n"/>
      <c r="N118" s="52" t="n"/>
      <c r="O118" s="53" t="n"/>
      <c r="P118" s="52" t="n"/>
      <c r="Q118" s="52" t="n"/>
      <c r="R118" s="52" t="n"/>
      <c r="S118" s="52" t="n"/>
      <c r="T118" s="53" t="n"/>
      <c r="U118" s="52" t="n"/>
      <c r="V118" s="52" t="n"/>
      <c r="W118" s="52" t="n"/>
      <c r="X118" s="52" t="n"/>
      <c r="Y118" s="52" t="n"/>
      <c r="Z118" s="52" t="n"/>
      <c r="AA118" s="53" t="n"/>
      <c r="AB118" s="52" t="n"/>
      <c r="AC118" s="52" t="n"/>
      <c r="AD118" s="52" t="n"/>
      <c r="AE118" s="52" t="n"/>
      <c r="AF118" s="52" t="n"/>
      <c r="AG118" s="52" t="n"/>
      <c r="AH118" s="53" t="n"/>
      <c r="AI118" s="53" t="n"/>
    </row>
    <row r="119" ht="14.25" customHeight="1" s="65">
      <c r="A119" s="53" t="n"/>
      <c r="B119" s="53" t="n"/>
      <c r="C119" s="53" t="n"/>
      <c r="D119" s="53" t="n"/>
      <c r="E119" s="32">
        <f>IF(COUNT(K119:AG119)=0,"",ROUND((F119+G119+H119+I119+J119)/10,2))</f>
        <v/>
      </c>
      <c r="F119" s="33">
        <f>IF(COUNT(K119:AG119)=0,"",(K119*10+L119*8+M119*7+N119*5)/3)</f>
        <v/>
      </c>
      <c r="G119" s="33">
        <f>IF(COUNT(K119:AG119)=0,"",(P119*8+Q119*7+R119*5+S119*5)/3)</f>
        <v/>
      </c>
      <c r="H119" s="33">
        <f>IF(COUNT(K119:AG119)=0,"",(U119*6+V119*6+W119*4+X119*3+Y119*3+Z119*3)/3)</f>
        <v/>
      </c>
      <c r="I119" s="33">
        <f>IF(COUNT(K119:AG119)=0,"",AB119*3+AC119*2+AD119*2+AE119*1)</f>
        <v/>
      </c>
      <c r="J119" s="33">
        <f>IF(COUNT(K119:AG119)=0,"",(AF119*5+AG119*5)/3)</f>
        <v/>
      </c>
      <c r="K119" s="52" t="n"/>
      <c r="L119" s="52" t="n"/>
      <c r="M119" s="52" t="n"/>
      <c r="N119" s="52" t="n"/>
      <c r="O119" s="53" t="n"/>
      <c r="P119" s="52" t="n"/>
      <c r="Q119" s="52" t="n"/>
      <c r="R119" s="52" t="n"/>
      <c r="S119" s="52" t="n"/>
      <c r="T119" s="53" t="n"/>
      <c r="U119" s="52" t="n"/>
      <c r="V119" s="52" t="n"/>
      <c r="W119" s="52" t="n"/>
      <c r="X119" s="52" t="n"/>
      <c r="Y119" s="52" t="n"/>
      <c r="Z119" s="52" t="n"/>
      <c r="AA119" s="53" t="n"/>
      <c r="AB119" s="52" t="n"/>
      <c r="AC119" s="52" t="n"/>
      <c r="AD119" s="52" t="n"/>
      <c r="AE119" s="52" t="n"/>
      <c r="AF119" s="52" t="n"/>
      <c r="AG119" s="52" t="n"/>
      <c r="AH119" s="53" t="n"/>
      <c r="AI119" s="53" t="n"/>
    </row>
    <row r="120" ht="14.25" customHeight="1" s="65">
      <c r="A120" s="53" t="n"/>
      <c r="B120" s="53" t="n"/>
      <c r="C120" s="53" t="n"/>
      <c r="D120" s="53" t="n"/>
      <c r="E120" s="32">
        <f>IF(COUNT(K120:AG120)=0,"",ROUND((F120+G120+H120+I120+J120)/10,2))</f>
        <v/>
      </c>
      <c r="F120" s="33">
        <f>IF(COUNT(K120:AG120)=0,"",(K120*10+L120*8+M120*7+N120*5)/3)</f>
        <v/>
      </c>
      <c r="G120" s="33">
        <f>IF(COUNT(K120:AG120)=0,"",(P120*8+Q120*7+R120*5+S120*5)/3)</f>
        <v/>
      </c>
      <c r="H120" s="33">
        <f>IF(COUNT(K120:AG120)=0,"",(U120*6+V120*6+W120*4+X120*3+Y120*3+Z120*3)/3)</f>
        <v/>
      </c>
      <c r="I120" s="33">
        <f>IF(COUNT(K120:AG120)=0,"",AB120*3+AC120*2+AD120*2+AE120*1)</f>
        <v/>
      </c>
      <c r="J120" s="33">
        <f>IF(COUNT(K120:AG120)=0,"",(AF120*5+AG120*5)/3)</f>
        <v/>
      </c>
      <c r="K120" s="52" t="n"/>
      <c r="L120" s="52" t="n"/>
      <c r="M120" s="52" t="n"/>
      <c r="N120" s="52" t="n"/>
      <c r="O120" s="53" t="n"/>
      <c r="P120" s="52" t="n"/>
      <c r="Q120" s="52" t="n"/>
      <c r="R120" s="52" t="n"/>
      <c r="S120" s="52" t="n"/>
      <c r="T120" s="53" t="n"/>
      <c r="U120" s="52" t="n"/>
      <c r="V120" s="52" t="n"/>
      <c r="W120" s="52" t="n"/>
      <c r="X120" s="52" t="n"/>
      <c r="Y120" s="52" t="n"/>
      <c r="Z120" s="52" t="n"/>
      <c r="AA120" s="53" t="n"/>
      <c r="AB120" s="52" t="n"/>
      <c r="AC120" s="52" t="n"/>
      <c r="AD120" s="52" t="n"/>
      <c r="AE120" s="52" t="n"/>
      <c r="AF120" s="52" t="n"/>
      <c r="AG120" s="52" t="n"/>
      <c r="AH120" s="53" t="n"/>
      <c r="AI120" s="53" t="n"/>
    </row>
    <row r="121" ht="14.25" customHeight="1" s="65">
      <c r="A121" s="53" t="n"/>
      <c r="B121" s="53" t="n"/>
      <c r="C121" s="53" t="n"/>
      <c r="D121" s="53" t="n"/>
      <c r="E121" s="32">
        <f>IF(COUNT(K121:AG121)=0,"",ROUND((F121+G121+H121+I121+J121)/10,2))</f>
        <v/>
      </c>
      <c r="F121" s="33">
        <f>IF(COUNT(K121:AG121)=0,"",(K121*10+L121*8+M121*7+N121*5)/3)</f>
        <v/>
      </c>
      <c r="G121" s="33">
        <f>IF(COUNT(K121:AG121)=0,"",(P121*8+Q121*7+R121*5+S121*5)/3)</f>
        <v/>
      </c>
      <c r="H121" s="33">
        <f>IF(COUNT(K121:AG121)=0,"",(U121*6+V121*6+W121*4+X121*3+Y121*3+Z121*3)/3)</f>
        <v/>
      </c>
      <c r="I121" s="33">
        <f>IF(COUNT(K121:AG121)=0,"",AB121*3+AC121*2+AD121*2+AE121*1)</f>
        <v/>
      </c>
      <c r="J121" s="33">
        <f>IF(COUNT(K121:AG121)=0,"",(AF121*5+AG121*5)/3)</f>
        <v/>
      </c>
      <c r="K121" s="52" t="n"/>
      <c r="L121" s="52" t="n"/>
      <c r="M121" s="52" t="n"/>
      <c r="N121" s="52" t="n"/>
      <c r="O121" s="53" t="n"/>
      <c r="P121" s="52" t="n"/>
      <c r="Q121" s="52" t="n"/>
      <c r="R121" s="52" t="n"/>
      <c r="S121" s="52" t="n"/>
      <c r="T121" s="53" t="n"/>
      <c r="U121" s="52" t="n"/>
      <c r="V121" s="52" t="n"/>
      <c r="W121" s="52" t="n"/>
      <c r="X121" s="52" t="n"/>
      <c r="Y121" s="52" t="n"/>
      <c r="Z121" s="52" t="n"/>
      <c r="AA121" s="53" t="n"/>
      <c r="AB121" s="52" t="n"/>
      <c r="AC121" s="52" t="n"/>
      <c r="AD121" s="52" t="n"/>
      <c r="AE121" s="52" t="n"/>
      <c r="AF121" s="52" t="n"/>
      <c r="AG121" s="52" t="n"/>
      <c r="AH121" s="53" t="n"/>
      <c r="AI121" s="53" t="n"/>
    </row>
    <row r="122" ht="14.25" customHeight="1" s="65">
      <c r="A122" s="53" t="n"/>
      <c r="B122" s="53" t="n"/>
      <c r="C122" s="53" t="n"/>
      <c r="D122" s="53" t="n"/>
      <c r="E122" s="32">
        <f>IF(COUNT(K122:AG122)=0,"",ROUND((F122+G122+H122+I122+J122)/10,2))</f>
        <v/>
      </c>
      <c r="F122" s="33">
        <f>IF(COUNT(K122:AG122)=0,"",(K122*10+L122*8+M122*7+N122*5)/3)</f>
        <v/>
      </c>
      <c r="G122" s="33">
        <f>IF(COUNT(K122:AG122)=0,"",(P122*8+Q122*7+R122*5+S122*5)/3)</f>
        <v/>
      </c>
      <c r="H122" s="33">
        <f>IF(COUNT(K122:AG122)=0,"",(U122*6+V122*6+W122*4+X122*3+Y122*3+Z122*3)/3)</f>
        <v/>
      </c>
      <c r="I122" s="33">
        <f>IF(COUNT(K122:AG122)=0,"",AB122*3+AC122*2+AD122*2+AE122*1)</f>
        <v/>
      </c>
      <c r="J122" s="33">
        <f>IF(COUNT(K122:AG122)=0,"",(AF122*5+AG122*5)/3)</f>
        <v/>
      </c>
      <c r="K122" s="52" t="n"/>
      <c r="L122" s="52" t="n"/>
      <c r="M122" s="52" t="n"/>
      <c r="N122" s="52" t="n"/>
      <c r="O122" s="53" t="n"/>
      <c r="P122" s="52" t="n"/>
      <c r="Q122" s="52" t="n"/>
      <c r="R122" s="52" t="n"/>
      <c r="S122" s="52" t="n"/>
      <c r="T122" s="53" t="n"/>
      <c r="U122" s="52" t="n"/>
      <c r="V122" s="52" t="n"/>
      <c r="W122" s="52" t="n"/>
      <c r="X122" s="52" t="n"/>
      <c r="Y122" s="52" t="n"/>
      <c r="Z122" s="52" t="n"/>
      <c r="AA122" s="53" t="n"/>
      <c r="AB122" s="52" t="n"/>
      <c r="AC122" s="52" t="n"/>
      <c r="AD122" s="52" t="n"/>
      <c r="AE122" s="52" t="n"/>
      <c r="AF122" s="52" t="n"/>
      <c r="AG122" s="52" t="n"/>
      <c r="AH122" s="53" t="n"/>
      <c r="AI122" s="53" t="n"/>
    </row>
    <row r="123" ht="14.25" customHeight="1" s="65">
      <c r="A123" s="53" t="n"/>
      <c r="B123" s="53" t="n"/>
      <c r="C123" s="53" t="n"/>
      <c r="D123" s="53" t="n"/>
      <c r="E123" s="32">
        <f>IF(COUNT(K123:AG123)=0,"",ROUND((F123+G123+H123+I123+J123)/10,2))</f>
        <v/>
      </c>
      <c r="F123" s="33">
        <f>IF(COUNT(K123:AG123)=0,"",(K123*10+L123*8+M123*7+N123*5)/3)</f>
        <v/>
      </c>
      <c r="G123" s="33">
        <f>IF(COUNT(K123:AG123)=0,"",(P123*8+Q123*7+R123*5+S123*5)/3)</f>
        <v/>
      </c>
      <c r="H123" s="33">
        <f>IF(COUNT(K123:AG123)=0,"",(U123*6+V123*6+W123*4+X123*3+Y123*3+Z123*3)/3)</f>
        <v/>
      </c>
      <c r="I123" s="33">
        <f>IF(COUNT(K123:AG123)=0,"",AB123*3+AC123*2+AD123*2+AE123*1)</f>
        <v/>
      </c>
      <c r="J123" s="33">
        <f>IF(COUNT(K123:AG123)=0,"",(AF123*5+AG123*5)/3)</f>
        <v/>
      </c>
      <c r="K123" s="52" t="n"/>
      <c r="L123" s="52" t="n"/>
      <c r="M123" s="52" t="n"/>
      <c r="N123" s="52" t="n"/>
      <c r="O123" s="53" t="n"/>
      <c r="P123" s="52" t="n"/>
      <c r="Q123" s="52" t="n"/>
      <c r="R123" s="52" t="n"/>
      <c r="S123" s="52" t="n"/>
      <c r="T123" s="53" t="n"/>
      <c r="U123" s="52" t="n"/>
      <c r="V123" s="52" t="n"/>
      <c r="W123" s="52" t="n"/>
      <c r="X123" s="52" t="n"/>
      <c r="Y123" s="52" t="n"/>
      <c r="Z123" s="52" t="n"/>
      <c r="AA123" s="53" t="n"/>
      <c r="AB123" s="52" t="n"/>
      <c r="AC123" s="52" t="n"/>
      <c r="AD123" s="52" t="n"/>
      <c r="AE123" s="52" t="n"/>
      <c r="AF123" s="52" t="n"/>
      <c r="AG123" s="52" t="n"/>
      <c r="AH123" s="53" t="n"/>
      <c r="AI123" s="53" t="n"/>
    </row>
    <row r="124" ht="14.25" customHeight="1" s="65">
      <c r="A124" s="53" t="n"/>
      <c r="B124" s="53" t="n"/>
      <c r="C124" s="53" t="n"/>
      <c r="D124" s="53" t="n"/>
      <c r="E124" s="32">
        <f>IF(COUNT(K124:AG124)=0,"",ROUND((F124+G124+H124+I124+J124)/10,2))</f>
        <v/>
      </c>
      <c r="F124" s="33">
        <f>IF(COUNT(K124:AG124)=0,"",(K124*10+L124*8+M124*7+N124*5)/3)</f>
        <v/>
      </c>
      <c r="G124" s="33">
        <f>IF(COUNT(K124:AG124)=0,"",(P124*8+Q124*7+R124*5+S124*5)/3)</f>
        <v/>
      </c>
      <c r="H124" s="33">
        <f>IF(COUNT(K124:AG124)=0,"",(U124*6+V124*6+W124*4+X124*3+Y124*3+Z124*3)/3)</f>
        <v/>
      </c>
      <c r="I124" s="33">
        <f>IF(COUNT(K124:AG124)=0,"",AB124*3+AC124*2+AD124*2+AE124*1)</f>
        <v/>
      </c>
      <c r="J124" s="33">
        <f>IF(COUNT(K124:AG124)=0,"",(AF124*5+AG124*5)/3)</f>
        <v/>
      </c>
      <c r="K124" s="52" t="n"/>
      <c r="L124" s="52" t="n"/>
      <c r="M124" s="52" t="n"/>
      <c r="N124" s="52" t="n"/>
      <c r="O124" s="53" t="n"/>
      <c r="P124" s="52" t="n"/>
      <c r="Q124" s="52" t="n"/>
      <c r="R124" s="52" t="n"/>
      <c r="S124" s="52" t="n"/>
      <c r="T124" s="53" t="n"/>
      <c r="U124" s="52" t="n"/>
      <c r="V124" s="52" t="n"/>
      <c r="W124" s="52" t="n"/>
      <c r="X124" s="52" t="n"/>
      <c r="Y124" s="52" t="n"/>
      <c r="Z124" s="52" t="n"/>
      <c r="AA124" s="53" t="n"/>
      <c r="AB124" s="52" t="n"/>
      <c r="AC124" s="52" t="n"/>
      <c r="AD124" s="52" t="n"/>
      <c r="AE124" s="52" t="n"/>
      <c r="AF124" s="52" t="n"/>
      <c r="AG124" s="52" t="n"/>
      <c r="AH124" s="53" t="n"/>
      <c r="AI124" s="53" t="n"/>
    </row>
    <row r="125" ht="14.25" customHeight="1" s="65">
      <c r="A125" s="53" t="n"/>
      <c r="B125" s="53" t="n"/>
      <c r="C125" s="53" t="n"/>
      <c r="D125" s="53" t="n"/>
      <c r="E125" s="32">
        <f>IF(COUNT(K125:AG125)=0,"",ROUND((F125+G125+H125+I125+J125)/10,2))</f>
        <v/>
      </c>
      <c r="F125" s="33">
        <f>IF(COUNT(K125:AG125)=0,"",(K125*10+L125*8+M125*7+N125*5)/3)</f>
        <v/>
      </c>
      <c r="G125" s="33">
        <f>IF(COUNT(K125:AG125)=0,"",(P125*8+Q125*7+R125*5+S125*5)/3)</f>
        <v/>
      </c>
      <c r="H125" s="33">
        <f>IF(COUNT(K125:AG125)=0,"",(U125*6+V125*6+W125*4+X125*3+Y125*3+Z125*3)/3)</f>
        <v/>
      </c>
      <c r="I125" s="33">
        <f>IF(COUNT(K125:AG125)=0,"",AB125*3+AC125*2+AD125*2+AE125*1)</f>
        <v/>
      </c>
      <c r="J125" s="33">
        <f>IF(COUNT(K125:AG125)=0,"",(AF125*5+AG125*5)/3)</f>
        <v/>
      </c>
      <c r="K125" s="52" t="n"/>
      <c r="L125" s="52" t="n"/>
      <c r="M125" s="52" t="n"/>
      <c r="N125" s="52" t="n"/>
      <c r="O125" s="53" t="n"/>
      <c r="P125" s="52" t="n"/>
      <c r="Q125" s="52" t="n"/>
      <c r="R125" s="52" t="n"/>
      <c r="S125" s="52" t="n"/>
      <c r="T125" s="53" t="n"/>
      <c r="U125" s="52" t="n"/>
      <c r="V125" s="52" t="n"/>
      <c r="W125" s="52" t="n"/>
      <c r="X125" s="52" t="n"/>
      <c r="Y125" s="52" t="n"/>
      <c r="Z125" s="52" t="n"/>
      <c r="AA125" s="53" t="n"/>
      <c r="AB125" s="52" t="n"/>
      <c r="AC125" s="52" t="n"/>
      <c r="AD125" s="52" t="n"/>
      <c r="AE125" s="52" t="n"/>
      <c r="AF125" s="52" t="n"/>
      <c r="AG125" s="52" t="n"/>
      <c r="AH125" s="53" t="n"/>
      <c r="AI125" s="53" t="n"/>
    </row>
    <row r="126" ht="14.25" customHeight="1" s="65">
      <c r="A126" s="53" t="n"/>
      <c r="B126" s="53" t="n"/>
      <c r="C126" s="53" t="n"/>
      <c r="D126" s="53" t="n"/>
      <c r="E126" s="32">
        <f>IF(COUNT(K126:AG126)=0,"",ROUND((F126+G126+H126+I126+J126)/10,2))</f>
        <v/>
      </c>
      <c r="F126" s="33">
        <f>IF(COUNT(K126:AG126)=0,"",(K126*10+L126*8+M126*7+N126*5)/3)</f>
        <v/>
      </c>
      <c r="G126" s="33">
        <f>IF(COUNT(K126:AG126)=0,"",(P126*8+Q126*7+R126*5+S126*5)/3)</f>
        <v/>
      </c>
      <c r="H126" s="33">
        <f>IF(COUNT(K126:AG126)=0,"",(U126*6+V126*6+W126*4+X126*3+Y126*3+Z126*3)/3)</f>
        <v/>
      </c>
      <c r="I126" s="33">
        <f>IF(COUNT(K126:AG126)=0,"",AB126*3+AC126*2+AD126*2+AE126*1)</f>
        <v/>
      </c>
      <c r="J126" s="33">
        <f>IF(COUNT(K126:AG126)=0,"",(AF126*5+AG126*5)/3)</f>
        <v/>
      </c>
      <c r="K126" s="52" t="n"/>
      <c r="L126" s="52" t="n"/>
      <c r="M126" s="52" t="n"/>
      <c r="N126" s="52" t="n"/>
      <c r="O126" s="53" t="n"/>
      <c r="P126" s="52" t="n"/>
      <c r="Q126" s="52" t="n"/>
      <c r="R126" s="52" t="n"/>
      <c r="S126" s="52" t="n"/>
      <c r="T126" s="53" t="n"/>
      <c r="U126" s="52" t="n"/>
      <c r="V126" s="52" t="n"/>
      <c r="W126" s="52" t="n"/>
      <c r="X126" s="52" t="n"/>
      <c r="Y126" s="52" t="n"/>
      <c r="Z126" s="52" t="n"/>
      <c r="AA126" s="53" t="n"/>
      <c r="AB126" s="52" t="n"/>
      <c r="AC126" s="52" t="n"/>
      <c r="AD126" s="52" t="n"/>
      <c r="AE126" s="52" t="n"/>
      <c r="AF126" s="52" t="n"/>
      <c r="AG126" s="52" t="n"/>
      <c r="AH126" s="53" t="n"/>
      <c r="AI126" s="53" t="n"/>
    </row>
    <row r="127" ht="14.25" customHeight="1" s="65">
      <c r="A127" s="53" t="n"/>
      <c r="B127" s="53" t="n"/>
      <c r="C127" s="53" t="n"/>
      <c r="D127" s="53" t="n"/>
      <c r="E127" s="32">
        <f>IF(COUNT(K127:AG127)=0,"",ROUND((F127+G127+H127+I127+J127)/10,2))</f>
        <v/>
      </c>
      <c r="F127" s="33">
        <f>IF(COUNT(K127:AG127)=0,"",(K127*10+L127*8+M127*7+N127*5)/3)</f>
        <v/>
      </c>
      <c r="G127" s="33">
        <f>IF(COUNT(K127:AG127)=0,"",(P127*8+Q127*7+R127*5+S127*5)/3)</f>
        <v/>
      </c>
      <c r="H127" s="33">
        <f>IF(COUNT(K127:AG127)=0,"",(U127*6+V127*6+W127*4+X127*3+Y127*3+Z127*3)/3)</f>
        <v/>
      </c>
      <c r="I127" s="33">
        <f>IF(COUNT(K127:AG127)=0,"",AB127*3+AC127*2+AD127*2+AE127*1)</f>
        <v/>
      </c>
      <c r="J127" s="33">
        <f>IF(COUNT(K127:AG127)=0,"",(AF127*5+AG127*5)/3)</f>
        <v/>
      </c>
      <c r="K127" s="52" t="n"/>
      <c r="L127" s="52" t="n"/>
      <c r="M127" s="52" t="n"/>
      <c r="N127" s="52" t="n"/>
      <c r="O127" s="53" t="n"/>
      <c r="P127" s="52" t="n"/>
      <c r="Q127" s="52" t="n"/>
      <c r="R127" s="52" t="n"/>
      <c r="S127" s="52" t="n"/>
      <c r="T127" s="53" t="n"/>
      <c r="U127" s="52" t="n"/>
      <c r="V127" s="52" t="n"/>
      <c r="W127" s="52" t="n"/>
      <c r="X127" s="52" t="n"/>
      <c r="Y127" s="52" t="n"/>
      <c r="Z127" s="52" t="n"/>
      <c r="AA127" s="53" t="n"/>
      <c r="AB127" s="52" t="n"/>
      <c r="AC127" s="52" t="n"/>
      <c r="AD127" s="52" t="n"/>
      <c r="AE127" s="52" t="n"/>
      <c r="AF127" s="52" t="n"/>
      <c r="AG127" s="52" t="n"/>
      <c r="AH127" s="53" t="n"/>
      <c r="AI127" s="53" t="n"/>
    </row>
    <row r="128" ht="14.25" customHeight="1" s="65">
      <c r="A128" s="53" t="n"/>
      <c r="B128" s="53" t="n"/>
      <c r="C128" s="53" t="n"/>
      <c r="D128" s="53" t="n"/>
      <c r="E128" s="32">
        <f>IF(COUNT(K128:AG128)=0,"",ROUND((F128+G128+H128+I128+J128)/10,2))</f>
        <v/>
      </c>
      <c r="F128" s="33">
        <f>IF(COUNT(K128:AG128)=0,"",(K128*10+L128*8+M128*7+N128*5)/3)</f>
        <v/>
      </c>
      <c r="G128" s="33">
        <f>IF(COUNT(K128:AG128)=0,"",(P128*8+Q128*7+R128*5+S128*5)/3)</f>
        <v/>
      </c>
      <c r="H128" s="33">
        <f>IF(COUNT(K128:AG128)=0,"",(U128*6+V128*6+W128*4+X128*3+Y128*3+Z128*3)/3)</f>
        <v/>
      </c>
      <c r="I128" s="33">
        <f>IF(COUNT(K128:AG128)=0,"",AB128*3+AC128*2+AD128*2+AE128*1)</f>
        <v/>
      </c>
      <c r="J128" s="33">
        <f>IF(COUNT(K128:AG128)=0,"",(AF128*5+AG128*5)/3)</f>
        <v/>
      </c>
      <c r="K128" s="52" t="n"/>
      <c r="L128" s="52" t="n"/>
      <c r="M128" s="52" t="n"/>
      <c r="N128" s="52" t="n"/>
      <c r="O128" s="53" t="n"/>
      <c r="P128" s="52" t="n"/>
      <c r="Q128" s="52" t="n"/>
      <c r="R128" s="52" t="n"/>
      <c r="S128" s="52" t="n"/>
      <c r="T128" s="53" t="n"/>
      <c r="U128" s="52" t="n"/>
      <c r="V128" s="52" t="n"/>
      <c r="W128" s="52" t="n"/>
      <c r="X128" s="52" t="n"/>
      <c r="Y128" s="52" t="n"/>
      <c r="Z128" s="52" t="n"/>
      <c r="AA128" s="53" t="n"/>
      <c r="AB128" s="52" t="n"/>
      <c r="AC128" s="52" t="n"/>
      <c r="AD128" s="52" t="n"/>
      <c r="AE128" s="52" t="n"/>
      <c r="AF128" s="52" t="n"/>
      <c r="AG128" s="52" t="n"/>
      <c r="AH128" s="53" t="n"/>
      <c r="AI128" s="53" t="n"/>
    </row>
    <row r="129" ht="14.25" customHeight="1" s="65">
      <c r="A129" s="53" t="n"/>
      <c r="B129" s="53" t="n"/>
      <c r="C129" s="53" t="n"/>
      <c r="D129" s="53" t="n"/>
      <c r="E129" s="32">
        <f>IF(COUNT(K129:AG129)=0,"",ROUND((F129+G129+H129+I129+J129)/10,2))</f>
        <v/>
      </c>
      <c r="F129" s="33">
        <f>IF(COUNT(K129:AG129)=0,"",(K129*10+L129*8+M129*7+N129*5)/3)</f>
        <v/>
      </c>
      <c r="G129" s="33">
        <f>IF(COUNT(K129:AG129)=0,"",(P129*8+Q129*7+R129*5+S129*5)/3)</f>
        <v/>
      </c>
      <c r="H129" s="33">
        <f>IF(COUNT(K129:AG129)=0,"",(U129*6+V129*6+W129*4+X129*3+Y129*3+Z129*3)/3)</f>
        <v/>
      </c>
      <c r="I129" s="33">
        <f>IF(COUNT(K129:AG129)=0,"",AB129*3+AC129*2+AD129*2+AE129*1)</f>
        <v/>
      </c>
      <c r="J129" s="33">
        <f>IF(COUNT(K129:AG129)=0,"",(AF129*5+AG129*5)/3)</f>
        <v/>
      </c>
      <c r="K129" s="52" t="n"/>
      <c r="L129" s="52" t="n"/>
      <c r="M129" s="52" t="n"/>
      <c r="N129" s="52" t="n"/>
      <c r="O129" s="53" t="n"/>
      <c r="P129" s="52" t="n"/>
      <c r="Q129" s="52" t="n"/>
      <c r="R129" s="52" t="n"/>
      <c r="S129" s="52" t="n"/>
      <c r="T129" s="53" t="n"/>
      <c r="U129" s="52" t="n"/>
      <c r="V129" s="52" t="n"/>
      <c r="W129" s="52" t="n"/>
      <c r="X129" s="52" t="n"/>
      <c r="Y129" s="52" t="n"/>
      <c r="Z129" s="52" t="n"/>
      <c r="AA129" s="53" t="n"/>
      <c r="AB129" s="52" t="n"/>
      <c r="AC129" s="52" t="n"/>
      <c r="AD129" s="52" t="n"/>
      <c r="AE129" s="52" t="n"/>
      <c r="AF129" s="52" t="n"/>
      <c r="AG129" s="52" t="n"/>
      <c r="AH129" s="53" t="n"/>
      <c r="AI129" s="53" t="n"/>
    </row>
    <row r="130" ht="14.25" customHeight="1" s="65">
      <c r="A130" s="53" t="n"/>
      <c r="B130" s="53" t="n"/>
      <c r="C130" s="53" t="n"/>
      <c r="D130" s="53" t="n"/>
      <c r="E130" s="32">
        <f>IF(COUNT(K130:AG130)=0,"",ROUND((F130+G130+H130+I130+J130)/10,2))</f>
        <v/>
      </c>
      <c r="F130" s="33">
        <f>IF(COUNT(K130:AG130)=0,"",(K130*10+L130*8+M130*7+N130*5)/3)</f>
        <v/>
      </c>
      <c r="G130" s="33">
        <f>IF(COUNT(K130:AG130)=0,"",(P130*8+Q130*7+R130*5+S130*5)/3)</f>
        <v/>
      </c>
      <c r="H130" s="33">
        <f>IF(COUNT(K130:AG130)=0,"",(U130*6+V130*6+W130*4+X130*3+Y130*3+Z130*3)/3)</f>
        <v/>
      </c>
      <c r="I130" s="33">
        <f>IF(COUNT(K130:AG130)=0,"",AB130*3+AC130*2+AD130*2+AE130*1)</f>
        <v/>
      </c>
      <c r="J130" s="33">
        <f>IF(COUNT(K130:AG130)=0,"",(AF130*5+AG130*5)/3)</f>
        <v/>
      </c>
      <c r="K130" s="52" t="n"/>
      <c r="L130" s="52" t="n"/>
      <c r="M130" s="52" t="n"/>
      <c r="N130" s="52" t="n"/>
      <c r="O130" s="53" t="n"/>
      <c r="P130" s="52" t="n"/>
      <c r="Q130" s="52" t="n"/>
      <c r="R130" s="52" t="n"/>
      <c r="S130" s="52" t="n"/>
      <c r="T130" s="53" t="n"/>
      <c r="U130" s="52" t="n"/>
      <c r="V130" s="52" t="n"/>
      <c r="W130" s="52" t="n"/>
      <c r="X130" s="52" t="n"/>
      <c r="Y130" s="52" t="n"/>
      <c r="Z130" s="52" t="n"/>
      <c r="AA130" s="53" t="n"/>
      <c r="AB130" s="52" t="n"/>
      <c r="AC130" s="52" t="n"/>
      <c r="AD130" s="52" t="n"/>
      <c r="AE130" s="52" t="n"/>
      <c r="AF130" s="52" t="n"/>
      <c r="AG130" s="52" t="n"/>
      <c r="AH130" s="53" t="n"/>
      <c r="AI130" s="53" t="n"/>
    </row>
    <row r="131" ht="14.25" customHeight="1" s="65">
      <c r="A131" s="53" t="n"/>
      <c r="B131" s="53" t="n"/>
      <c r="C131" s="53" t="n"/>
      <c r="D131" s="53" t="n"/>
      <c r="E131" s="32">
        <f>IF(COUNT(K131:AG131)=0,"",ROUND((F131+G131+H131+I131+J131)/10,2))</f>
        <v/>
      </c>
      <c r="F131" s="33">
        <f>IF(COUNT(K131:AG131)=0,"",(K131*10+L131*8+M131*7+N131*5)/3)</f>
        <v/>
      </c>
      <c r="G131" s="33">
        <f>IF(COUNT(K131:AG131)=0,"",(P131*8+Q131*7+R131*5+S131*5)/3)</f>
        <v/>
      </c>
      <c r="H131" s="33">
        <f>IF(COUNT(K131:AG131)=0,"",(U131*6+V131*6+W131*4+X131*3+Y131*3+Z131*3)/3)</f>
        <v/>
      </c>
      <c r="I131" s="33">
        <f>IF(COUNT(K131:AG131)=0,"",AB131*3+AC131*2+AD131*2+AE131*1)</f>
        <v/>
      </c>
      <c r="J131" s="33">
        <f>IF(COUNT(K131:AG131)=0,"",(AF131*5+AG131*5)/3)</f>
        <v/>
      </c>
      <c r="K131" s="52" t="n"/>
      <c r="L131" s="52" t="n"/>
      <c r="M131" s="52" t="n"/>
      <c r="N131" s="52" t="n"/>
      <c r="O131" s="53" t="n"/>
      <c r="P131" s="52" t="n"/>
      <c r="Q131" s="52" t="n"/>
      <c r="R131" s="52" t="n"/>
      <c r="S131" s="52" t="n"/>
      <c r="T131" s="53" t="n"/>
      <c r="U131" s="52" t="n"/>
      <c r="V131" s="52" t="n"/>
      <c r="W131" s="52" t="n"/>
      <c r="X131" s="52" t="n"/>
      <c r="Y131" s="52" t="n"/>
      <c r="Z131" s="52" t="n"/>
      <c r="AA131" s="53" t="n"/>
      <c r="AB131" s="52" t="n"/>
      <c r="AC131" s="52" t="n"/>
      <c r="AD131" s="52" t="n"/>
      <c r="AE131" s="52" t="n"/>
      <c r="AF131" s="52" t="n"/>
      <c r="AG131" s="52" t="n"/>
      <c r="AH131" s="53" t="n"/>
      <c r="AI131" s="53" t="n"/>
    </row>
    <row r="132" ht="14.25" customHeight="1" s="65">
      <c r="A132" s="53" t="n"/>
      <c r="B132" s="53" t="n"/>
      <c r="C132" s="53" t="n"/>
      <c r="D132" s="53" t="n"/>
      <c r="E132" s="32">
        <f>IF(COUNT(K132:AG132)=0,"",ROUND((F132+G132+H132+I132+J132)/10,2))</f>
        <v/>
      </c>
      <c r="F132" s="33">
        <f>IF(COUNT(K132:AG132)=0,"",(K132*10+L132*8+M132*7+N132*5)/3)</f>
        <v/>
      </c>
      <c r="G132" s="33">
        <f>IF(COUNT(K132:AG132)=0,"",(P132*8+Q132*7+R132*5+S132*5)/3)</f>
        <v/>
      </c>
      <c r="H132" s="33">
        <f>IF(COUNT(K132:AG132)=0,"",(U132*6+V132*6+W132*4+X132*3+Y132*3+Z132*3)/3)</f>
        <v/>
      </c>
      <c r="I132" s="33">
        <f>IF(COUNT(K132:AG132)=0,"",AB132*3+AC132*2+AD132*2+AE132*1)</f>
        <v/>
      </c>
      <c r="J132" s="33">
        <f>IF(COUNT(K132:AG132)=0,"",(AF132*5+AG132*5)/3)</f>
        <v/>
      </c>
      <c r="K132" s="52" t="n"/>
      <c r="L132" s="52" t="n"/>
      <c r="M132" s="52" t="n"/>
      <c r="N132" s="52" t="n"/>
      <c r="O132" s="53" t="n"/>
      <c r="P132" s="52" t="n"/>
      <c r="Q132" s="52" t="n"/>
      <c r="R132" s="52" t="n"/>
      <c r="S132" s="52" t="n"/>
      <c r="T132" s="53" t="n"/>
      <c r="U132" s="52" t="n"/>
      <c r="V132" s="52" t="n"/>
      <c r="W132" s="52" t="n"/>
      <c r="X132" s="52" t="n"/>
      <c r="Y132" s="52" t="n"/>
      <c r="Z132" s="52" t="n"/>
      <c r="AA132" s="53" t="n"/>
      <c r="AB132" s="52" t="n"/>
      <c r="AC132" s="52" t="n"/>
      <c r="AD132" s="52" t="n"/>
      <c r="AE132" s="52" t="n"/>
      <c r="AF132" s="52" t="n"/>
      <c r="AG132" s="52" t="n"/>
      <c r="AH132" s="53" t="n"/>
      <c r="AI132" s="53" t="n"/>
    </row>
    <row r="133" ht="14.25" customHeight="1" s="65">
      <c r="A133" s="53" t="n"/>
      <c r="B133" s="53" t="n"/>
      <c r="C133" s="53" t="n"/>
      <c r="D133" s="53" t="n"/>
      <c r="E133" s="32">
        <f>IF(COUNT(K133:AG133)=0,"",ROUND((F133+G133+H133+I133+J133)/10,2))</f>
        <v/>
      </c>
      <c r="F133" s="33">
        <f>IF(COUNT(K133:AG133)=0,"",(K133*10+L133*8+M133*7+N133*5)/3)</f>
        <v/>
      </c>
      <c r="G133" s="33">
        <f>IF(COUNT(K133:AG133)=0,"",(P133*8+Q133*7+R133*5+S133*5)/3)</f>
        <v/>
      </c>
      <c r="H133" s="33">
        <f>IF(COUNT(K133:AG133)=0,"",(U133*6+V133*6+W133*4+X133*3+Y133*3+Z133*3)/3)</f>
        <v/>
      </c>
      <c r="I133" s="33">
        <f>IF(COUNT(K133:AG133)=0,"",AB133*3+AC133*2+AD133*2+AE133*1)</f>
        <v/>
      </c>
      <c r="J133" s="33">
        <f>IF(COUNT(K133:AG133)=0,"",(AF133*5+AG133*5)/3)</f>
        <v/>
      </c>
      <c r="K133" s="52" t="n"/>
      <c r="L133" s="52" t="n"/>
      <c r="M133" s="52" t="n"/>
      <c r="N133" s="52" t="n"/>
      <c r="O133" s="53" t="n"/>
      <c r="P133" s="52" t="n"/>
      <c r="Q133" s="52" t="n"/>
      <c r="R133" s="52" t="n"/>
      <c r="S133" s="52" t="n"/>
      <c r="T133" s="53" t="n"/>
      <c r="U133" s="52" t="n"/>
      <c r="V133" s="52" t="n"/>
      <c r="W133" s="52" t="n"/>
      <c r="X133" s="52" t="n"/>
      <c r="Y133" s="52" t="n"/>
      <c r="Z133" s="52" t="n"/>
      <c r="AA133" s="53" t="n"/>
      <c r="AB133" s="52" t="n"/>
      <c r="AC133" s="52" t="n"/>
      <c r="AD133" s="52" t="n"/>
      <c r="AE133" s="52" t="n"/>
      <c r="AF133" s="52" t="n"/>
      <c r="AG133" s="52" t="n"/>
      <c r="AH133" s="53" t="n"/>
      <c r="AI133" s="53" t="n"/>
    </row>
    <row r="134" ht="14.25" customHeight="1" s="65">
      <c r="A134" s="53" t="n"/>
      <c r="B134" s="53" t="n"/>
      <c r="C134" s="53" t="n"/>
      <c r="D134" s="53" t="n"/>
      <c r="E134" s="32">
        <f>IF(COUNT(K134:AG134)=0,"",ROUND((F134+G134+H134+I134+J134)/10,2))</f>
        <v/>
      </c>
      <c r="F134" s="33">
        <f>IF(COUNT(K134:AG134)=0,"",(K134*10+L134*8+M134*7+N134*5)/3)</f>
        <v/>
      </c>
      <c r="G134" s="33">
        <f>IF(COUNT(K134:AG134)=0,"",(P134*8+Q134*7+R134*5+S134*5)/3)</f>
        <v/>
      </c>
      <c r="H134" s="33">
        <f>IF(COUNT(K134:AG134)=0,"",(U134*6+V134*6+W134*4+X134*3+Y134*3+Z134*3)/3)</f>
        <v/>
      </c>
      <c r="I134" s="33">
        <f>IF(COUNT(K134:AG134)=0,"",AB134*3+AC134*2+AD134*2+AE134*1)</f>
        <v/>
      </c>
      <c r="J134" s="33">
        <f>IF(COUNT(K134:AG134)=0,"",(AF134*5+AG134*5)/3)</f>
        <v/>
      </c>
      <c r="K134" s="52" t="n"/>
      <c r="L134" s="52" t="n"/>
      <c r="M134" s="52" t="n"/>
      <c r="N134" s="52" t="n"/>
      <c r="O134" s="53" t="n"/>
      <c r="P134" s="52" t="n"/>
      <c r="Q134" s="52" t="n"/>
      <c r="R134" s="52" t="n"/>
      <c r="S134" s="52" t="n"/>
      <c r="T134" s="53" t="n"/>
      <c r="U134" s="52" t="n"/>
      <c r="V134" s="52" t="n"/>
      <c r="W134" s="52" t="n"/>
      <c r="X134" s="52" t="n"/>
      <c r="Y134" s="52" t="n"/>
      <c r="Z134" s="52" t="n"/>
      <c r="AA134" s="53" t="n"/>
      <c r="AB134" s="52" t="n"/>
      <c r="AC134" s="52" t="n"/>
      <c r="AD134" s="52" t="n"/>
      <c r="AE134" s="52" t="n"/>
      <c r="AF134" s="52" t="n"/>
      <c r="AG134" s="52" t="n"/>
      <c r="AH134" s="53" t="n"/>
      <c r="AI134" s="53" t="n"/>
    </row>
    <row r="135" ht="14.25" customHeight="1" s="65">
      <c r="A135" s="53" t="n"/>
      <c r="B135" s="53" t="n"/>
      <c r="C135" s="53" t="n"/>
      <c r="D135" s="53" t="n"/>
      <c r="E135" s="32">
        <f>IF(COUNT(K135:AG135)=0,"",ROUND((F135+G135+H135+I135+J135)/10,2))</f>
        <v/>
      </c>
      <c r="F135" s="33">
        <f>IF(COUNT(K135:AG135)=0,"",(K135*10+L135*8+M135*7+N135*5)/3)</f>
        <v/>
      </c>
      <c r="G135" s="33">
        <f>IF(COUNT(K135:AG135)=0,"",(P135*8+Q135*7+R135*5+S135*5)/3)</f>
        <v/>
      </c>
      <c r="H135" s="33">
        <f>IF(COUNT(K135:AG135)=0,"",(U135*6+V135*6+W135*4+X135*3+Y135*3+Z135*3)/3)</f>
        <v/>
      </c>
      <c r="I135" s="33">
        <f>IF(COUNT(K135:AG135)=0,"",AB135*3+AC135*2+AD135*2+AE135*1)</f>
        <v/>
      </c>
      <c r="J135" s="33">
        <f>IF(COUNT(K135:AG135)=0,"",(AF135*5+AG135*5)/3)</f>
        <v/>
      </c>
      <c r="K135" s="52" t="n"/>
      <c r="L135" s="52" t="n"/>
      <c r="M135" s="52" t="n"/>
      <c r="N135" s="52" t="n"/>
      <c r="O135" s="53" t="n"/>
      <c r="P135" s="52" t="n"/>
      <c r="Q135" s="52" t="n"/>
      <c r="R135" s="52" t="n"/>
      <c r="S135" s="52" t="n"/>
      <c r="T135" s="53" t="n"/>
      <c r="U135" s="52" t="n"/>
      <c r="V135" s="52" t="n"/>
      <c r="W135" s="52" t="n"/>
      <c r="X135" s="52" t="n"/>
      <c r="Y135" s="52" t="n"/>
      <c r="Z135" s="52" t="n"/>
      <c r="AA135" s="53" t="n"/>
      <c r="AB135" s="52" t="n"/>
      <c r="AC135" s="52" t="n"/>
      <c r="AD135" s="52" t="n"/>
      <c r="AE135" s="52" t="n"/>
      <c r="AF135" s="52" t="n"/>
      <c r="AG135" s="52" t="n"/>
      <c r="AH135" s="53" t="n"/>
      <c r="AI135" s="53" t="n"/>
    </row>
    <row r="136" ht="14.25" customHeight="1" s="65">
      <c r="A136" s="53" t="n"/>
      <c r="B136" s="53" t="n"/>
      <c r="C136" s="53" t="n"/>
      <c r="D136" s="53" t="n"/>
      <c r="E136" s="32">
        <f>IF(COUNT(K136:AG136)=0,"",ROUND((F136+G136+H136+I136+J136)/10,2))</f>
        <v/>
      </c>
      <c r="F136" s="33">
        <f>IF(COUNT(K136:AG136)=0,"",(K136*10+L136*8+M136*7+N136*5)/3)</f>
        <v/>
      </c>
      <c r="G136" s="33">
        <f>IF(COUNT(K136:AG136)=0,"",(P136*8+Q136*7+R136*5+S136*5)/3)</f>
        <v/>
      </c>
      <c r="H136" s="33">
        <f>IF(COUNT(K136:AG136)=0,"",(U136*6+V136*6+W136*4+X136*3+Y136*3+Z136*3)/3)</f>
        <v/>
      </c>
      <c r="I136" s="33">
        <f>IF(COUNT(K136:AG136)=0,"",AB136*3+AC136*2+AD136*2+AE136*1)</f>
        <v/>
      </c>
      <c r="J136" s="33">
        <f>IF(COUNT(K136:AG136)=0,"",(AF136*5+AG136*5)/3)</f>
        <v/>
      </c>
      <c r="K136" s="52" t="n"/>
      <c r="L136" s="52" t="n"/>
      <c r="M136" s="52" t="n"/>
      <c r="N136" s="52" t="n"/>
      <c r="O136" s="53" t="n"/>
      <c r="P136" s="52" t="n"/>
      <c r="Q136" s="52" t="n"/>
      <c r="R136" s="52" t="n"/>
      <c r="S136" s="52" t="n"/>
      <c r="T136" s="53" t="n"/>
      <c r="U136" s="52" t="n"/>
      <c r="V136" s="52" t="n"/>
      <c r="W136" s="52" t="n"/>
      <c r="X136" s="52" t="n"/>
      <c r="Y136" s="52" t="n"/>
      <c r="Z136" s="52" t="n"/>
      <c r="AA136" s="53" t="n"/>
      <c r="AB136" s="52" t="n"/>
      <c r="AC136" s="52" t="n"/>
      <c r="AD136" s="52" t="n"/>
      <c r="AE136" s="52" t="n"/>
      <c r="AF136" s="52" t="n"/>
      <c r="AG136" s="52" t="n"/>
      <c r="AH136" s="53" t="n"/>
      <c r="AI136" s="53" t="n"/>
    </row>
    <row r="137" ht="14.25" customHeight="1" s="65">
      <c r="A137" s="53" t="n"/>
      <c r="B137" s="53" t="n"/>
      <c r="C137" s="53" t="n"/>
      <c r="D137" s="53" t="n"/>
      <c r="E137" s="32">
        <f>IF(COUNT(K137:AG137)=0,"",ROUND((F137+G137+H137+I137+J137)/10,2))</f>
        <v/>
      </c>
      <c r="F137" s="33">
        <f>IF(COUNT(K137:AG137)=0,"",(K137*10+L137*8+M137*7+N137*5)/3)</f>
        <v/>
      </c>
      <c r="G137" s="33">
        <f>IF(COUNT(K137:AG137)=0,"",(P137*8+Q137*7+R137*5+S137*5)/3)</f>
        <v/>
      </c>
      <c r="H137" s="33">
        <f>IF(COUNT(K137:AG137)=0,"",(U137*6+V137*6+W137*4+X137*3+Y137*3+Z137*3)/3)</f>
        <v/>
      </c>
      <c r="I137" s="33">
        <f>IF(COUNT(K137:AG137)=0,"",AB137*3+AC137*2+AD137*2+AE137*1)</f>
        <v/>
      </c>
      <c r="J137" s="33">
        <f>IF(COUNT(K137:AG137)=0,"",(AF137*5+AG137*5)/3)</f>
        <v/>
      </c>
      <c r="K137" s="52" t="n"/>
      <c r="L137" s="52" t="n"/>
      <c r="M137" s="52" t="n"/>
      <c r="N137" s="52" t="n"/>
      <c r="O137" s="53" t="n"/>
      <c r="P137" s="52" t="n"/>
      <c r="Q137" s="52" t="n"/>
      <c r="R137" s="52" t="n"/>
      <c r="S137" s="52" t="n"/>
      <c r="T137" s="53" t="n"/>
      <c r="U137" s="52" t="n"/>
      <c r="V137" s="52" t="n"/>
      <c r="W137" s="52" t="n"/>
      <c r="X137" s="52" t="n"/>
      <c r="Y137" s="52" t="n"/>
      <c r="Z137" s="52" t="n"/>
      <c r="AA137" s="53" t="n"/>
      <c r="AB137" s="52" t="n"/>
      <c r="AC137" s="52" t="n"/>
      <c r="AD137" s="52" t="n"/>
      <c r="AE137" s="52" t="n"/>
      <c r="AF137" s="52" t="n"/>
      <c r="AG137" s="52" t="n"/>
      <c r="AH137" s="53" t="n"/>
      <c r="AI137" s="53" t="n"/>
    </row>
    <row r="138" ht="14.25" customHeight="1" s="65">
      <c r="A138" s="53" t="n"/>
      <c r="B138" s="53" t="n"/>
      <c r="C138" s="53" t="n"/>
      <c r="D138" s="53" t="n"/>
      <c r="E138" s="32">
        <f>IF(COUNT(K138:AG138)=0,"",ROUND((F138+G138+H138+I138+J138)/10,2))</f>
        <v/>
      </c>
      <c r="F138" s="33">
        <f>IF(COUNT(K138:AG138)=0,"",(K138*10+L138*8+M138*7+N138*5)/3)</f>
        <v/>
      </c>
      <c r="G138" s="33">
        <f>IF(COUNT(K138:AG138)=0,"",(P138*8+Q138*7+R138*5+S138*5)/3)</f>
        <v/>
      </c>
      <c r="H138" s="33">
        <f>IF(COUNT(K138:AG138)=0,"",(U138*6+V138*6+W138*4+X138*3+Y138*3+Z138*3)/3)</f>
        <v/>
      </c>
      <c r="I138" s="33">
        <f>IF(COUNT(K138:AG138)=0,"",AB138*3+AC138*2+AD138*2+AE138*1)</f>
        <v/>
      </c>
      <c r="J138" s="33">
        <f>IF(COUNT(K138:AG138)=0,"",(AF138*5+AG138*5)/3)</f>
        <v/>
      </c>
      <c r="K138" s="52" t="n"/>
      <c r="L138" s="52" t="n"/>
      <c r="M138" s="52" t="n"/>
      <c r="N138" s="52" t="n"/>
      <c r="O138" s="53" t="n"/>
      <c r="P138" s="52" t="n"/>
      <c r="Q138" s="52" t="n"/>
      <c r="R138" s="52" t="n"/>
      <c r="S138" s="52" t="n"/>
      <c r="T138" s="53" t="n"/>
      <c r="U138" s="52" t="n"/>
      <c r="V138" s="52" t="n"/>
      <c r="W138" s="52" t="n"/>
      <c r="X138" s="52" t="n"/>
      <c r="Y138" s="52" t="n"/>
      <c r="Z138" s="52" t="n"/>
      <c r="AA138" s="53" t="n"/>
      <c r="AB138" s="52" t="n"/>
      <c r="AC138" s="52" t="n"/>
      <c r="AD138" s="52" t="n"/>
      <c r="AE138" s="52" t="n"/>
      <c r="AF138" s="52" t="n"/>
      <c r="AG138" s="52" t="n"/>
      <c r="AH138" s="53" t="n"/>
      <c r="AI138" s="53" t="n"/>
    </row>
    <row r="139" ht="14.25" customHeight="1" s="65">
      <c r="A139" s="53" t="n"/>
      <c r="B139" s="53" t="n"/>
      <c r="C139" s="53" t="n"/>
      <c r="D139" s="53" t="n"/>
      <c r="E139" s="32">
        <f>IF(COUNT(K139:AG139)=0,"",ROUND((F139+G139+H139+I139+J139)/10,2))</f>
        <v/>
      </c>
      <c r="F139" s="33">
        <f>IF(COUNT(K139:AG139)=0,"",(K139*10+L139*8+M139*7+N139*5)/3)</f>
        <v/>
      </c>
      <c r="G139" s="33">
        <f>IF(COUNT(K139:AG139)=0,"",(P139*8+Q139*7+R139*5+S139*5)/3)</f>
        <v/>
      </c>
      <c r="H139" s="33">
        <f>IF(COUNT(K139:AG139)=0,"",(U139*6+V139*6+W139*4+X139*3+Y139*3+Z139*3)/3)</f>
        <v/>
      </c>
      <c r="I139" s="33">
        <f>IF(COUNT(K139:AG139)=0,"",AB139*3+AC139*2+AD139*2+AE139*1)</f>
        <v/>
      </c>
      <c r="J139" s="33">
        <f>IF(COUNT(K139:AG139)=0,"",(AF139*5+AG139*5)/3)</f>
        <v/>
      </c>
      <c r="K139" s="52" t="n"/>
      <c r="L139" s="52" t="n"/>
      <c r="M139" s="52" t="n"/>
      <c r="N139" s="52" t="n"/>
      <c r="O139" s="53" t="n"/>
      <c r="P139" s="52" t="n"/>
      <c r="Q139" s="52" t="n"/>
      <c r="R139" s="52" t="n"/>
      <c r="S139" s="52" t="n"/>
      <c r="T139" s="53" t="n"/>
      <c r="U139" s="52" t="n"/>
      <c r="V139" s="52" t="n"/>
      <c r="W139" s="52" t="n"/>
      <c r="X139" s="52" t="n"/>
      <c r="Y139" s="52" t="n"/>
      <c r="Z139" s="52" t="n"/>
      <c r="AA139" s="53" t="n"/>
      <c r="AB139" s="52" t="n"/>
      <c r="AC139" s="52" t="n"/>
      <c r="AD139" s="52" t="n"/>
      <c r="AE139" s="52" t="n"/>
      <c r="AF139" s="52" t="n"/>
      <c r="AG139" s="52" t="n"/>
      <c r="AH139" s="53" t="n"/>
      <c r="AI139" s="53" t="n"/>
    </row>
    <row r="140" ht="14.25" customHeight="1" s="65">
      <c r="A140" s="53" t="n"/>
      <c r="B140" s="53" t="n"/>
      <c r="C140" s="53" t="n"/>
      <c r="D140" s="53" t="n"/>
      <c r="E140" s="32">
        <f>IF(COUNT(K140:AG140)=0,"",ROUND((F140+G140+H140+I140+J140)/10,2))</f>
        <v/>
      </c>
      <c r="F140" s="33">
        <f>IF(COUNT(K140:AG140)=0,"",(K140*10+L140*8+M140*7+N140*5)/3)</f>
        <v/>
      </c>
      <c r="G140" s="33">
        <f>IF(COUNT(K140:AG140)=0,"",(P140*8+Q140*7+R140*5+S140*5)/3)</f>
        <v/>
      </c>
      <c r="H140" s="33">
        <f>IF(COUNT(K140:AG140)=0,"",(U140*6+V140*6+W140*4+X140*3+Y140*3+Z140*3)/3)</f>
        <v/>
      </c>
      <c r="I140" s="33">
        <f>IF(COUNT(K140:AG140)=0,"",AB140*3+AC140*2+AD140*2+AE140*1)</f>
        <v/>
      </c>
      <c r="J140" s="33">
        <f>IF(COUNT(K140:AG140)=0,"",(AF140*5+AG140*5)/3)</f>
        <v/>
      </c>
      <c r="K140" s="52" t="n"/>
      <c r="L140" s="52" t="n"/>
      <c r="M140" s="52" t="n"/>
      <c r="N140" s="52" t="n"/>
      <c r="O140" s="53" t="n"/>
      <c r="P140" s="52" t="n"/>
      <c r="Q140" s="52" t="n"/>
      <c r="R140" s="52" t="n"/>
      <c r="S140" s="52" t="n"/>
      <c r="T140" s="53" t="n"/>
      <c r="U140" s="52" t="n"/>
      <c r="V140" s="52" t="n"/>
      <c r="W140" s="52" t="n"/>
      <c r="X140" s="52" t="n"/>
      <c r="Y140" s="52" t="n"/>
      <c r="Z140" s="52" t="n"/>
      <c r="AA140" s="53" t="n"/>
      <c r="AB140" s="52" t="n"/>
      <c r="AC140" s="52" t="n"/>
      <c r="AD140" s="52" t="n"/>
      <c r="AE140" s="52" t="n"/>
      <c r="AF140" s="52" t="n"/>
      <c r="AG140" s="52" t="n"/>
      <c r="AH140" s="53" t="n"/>
      <c r="AI140" s="53" t="n"/>
    </row>
    <row r="141" ht="14.25" customHeight="1" s="65">
      <c r="A141" s="53" t="n"/>
      <c r="B141" s="53" t="n"/>
      <c r="C141" s="53" t="n"/>
      <c r="D141" s="53" t="n"/>
      <c r="E141" s="32">
        <f>IF(COUNT(K141:AG141)=0,"",ROUND((F141+G141+H141+I141+J141)/10,2))</f>
        <v/>
      </c>
      <c r="F141" s="33">
        <f>IF(COUNT(K141:AG141)=0,"",(K141*10+L141*8+M141*7+N141*5)/3)</f>
        <v/>
      </c>
      <c r="G141" s="33">
        <f>IF(COUNT(K141:AG141)=0,"",(P141*8+Q141*7+R141*5+S141*5)/3)</f>
        <v/>
      </c>
      <c r="H141" s="33">
        <f>IF(COUNT(K141:AG141)=0,"",(U141*6+V141*6+W141*4+X141*3+Y141*3+Z141*3)/3)</f>
        <v/>
      </c>
      <c r="I141" s="33">
        <f>IF(COUNT(K141:AG141)=0,"",AB141*3+AC141*2+AD141*2+AE141*1)</f>
        <v/>
      </c>
      <c r="J141" s="33">
        <f>IF(COUNT(K141:AG141)=0,"",(AF141*5+AG141*5)/3)</f>
        <v/>
      </c>
      <c r="K141" s="52" t="n"/>
      <c r="L141" s="52" t="n"/>
      <c r="M141" s="52" t="n"/>
      <c r="N141" s="52" t="n"/>
      <c r="O141" s="53" t="n"/>
      <c r="P141" s="52" t="n"/>
      <c r="Q141" s="52" t="n"/>
      <c r="R141" s="52" t="n"/>
      <c r="S141" s="52" t="n"/>
      <c r="T141" s="53" t="n"/>
      <c r="U141" s="52" t="n"/>
      <c r="V141" s="52" t="n"/>
      <c r="W141" s="52" t="n"/>
      <c r="X141" s="52" t="n"/>
      <c r="Y141" s="52" t="n"/>
      <c r="Z141" s="52" t="n"/>
      <c r="AA141" s="53" t="n"/>
      <c r="AB141" s="52" t="n"/>
      <c r="AC141" s="52" t="n"/>
      <c r="AD141" s="52" t="n"/>
      <c r="AE141" s="52" t="n"/>
      <c r="AF141" s="52" t="n"/>
      <c r="AG141" s="52" t="n"/>
      <c r="AH141" s="53" t="n"/>
      <c r="AI141" s="53" t="n"/>
    </row>
    <row r="142" ht="14.25" customHeight="1" s="65">
      <c r="A142" s="53" t="n"/>
      <c r="B142" s="53" t="n"/>
      <c r="C142" s="53" t="n"/>
      <c r="D142" s="53" t="n"/>
      <c r="E142" s="32">
        <f>IF(COUNT(K142:AG142)=0,"",ROUND((F142+G142+H142+I142+J142)/10,2))</f>
        <v/>
      </c>
      <c r="F142" s="33">
        <f>IF(COUNT(K142:AG142)=0,"",(K142*10+L142*8+M142*7+N142*5)/3)</f>
        <v/>
      </c>
      <c r="G142" s="33">
        <f>IF(COUNT(K142:AG142)=0,"",(P142*8+Q142*7+R142*5+S142*5)/3)</f>
        <v/>
      </c>
      <c r="H142" s="33">
        <f>IF(COUNT(K142:AG142)=0,"",(U142*6+V142*6+W142*4+X142*3+Y142*3+Z142*3)/3)</f>
        <v/>
      </c>
      <c r="I142" s="33">
        <f>IF(COUNT(K142:AG142)=0,"",AB142*3+AC142*2+AD142*2+AE142*1)</f>
        <v/>
      </c>
      <c r="J142" s="33">
        <f>IF(COUNT(K142:AG142)=0,"",(AF142*5+AG142*5)/3)</f>
        <v/>
      </c>
      <c r="K142" s="52" t="n"/>
      <c r="L142" s="52" t="n"/>
      <c r="M142" s="52" t="n"/>
      <c r="N142" s="52" t="n"/>
      <c r="O142" s="53" t="n"/>
      <c r="P142" s="52" t="n"/>
      <c r="Q142" s="52" t="n"/>
      <c r="R142" s="52" t="n"/>
      <c r="S142" s="52" t="n"/>
      <c r="T142" s="53" t="n"/>
      <c r="U142" s="52" t="n"/>
      <c r="V142" s="52" t="n"/>
      <c r="W142" s="52" t="n"/>
      <c r="X142" s="52" t="n"/>
      <c r="Y142" s="52" t="n"/>
      <c r="Z142" s="52" t="n"/>
      <c r="AA142" s="53" t="n"/>
      <c r="AB142" s="52" t="n"/>
      <c r="AC142" s="52" t="n"/>
      <c r="AD142" s="52" t="n"/>
      <c r="AE142" s="52" t="n"/>
      <c r="AF142" s="52" t="n"/>
      <c r="AG142" s="52" t="n"/>
      <c r="AH142" s="53" t="n"/>
      <c r="AI142" s="53" t="n"/>
    </row>
    <row r="143" ht="14.25" customHeight="1" s="65">
      <c r="A143" s="53" t="n"/>
      <c r="B143" s="53" t="n"/>
      <c r="C143" s="53" t="n"/>
      <c r="D143" s="53" t="n"/>
      <c r="E143" s="32">
        <f>IF(COUNT(K143:AG143)=0,"",ROUND((F143+G143+H143+I143+J143)/10,2))</f>
        <v/>
      </c>
      <c r="F143" s="33">
        <f>IF(COUNT(K143:AG143)=0,"",(K143*10+L143*8+M143*7+N143*5)/3)</f>
        <v/>
      </c>
      <c r="G143" s="33">
        <f>IF(COUNT(K143:AG143)=0,"",(P143*8+Q143*7+R143*5+S143*5)/3)</f>
        <v/>
      </c>
      <c r="H143" s="33">
        <f>IF(COUNT(K143:AG143)=0,"",(U143*6+V143*6+W143*4+X143*3+Y143*3+Z143*3)/3)</f>
        <v/>
      </c>
      <c r="I143" s="33">
        <f>IF(COUNT(K143:AG143)=0,"",AB143*3+AC143*2+AD143*2+AE143*1)</f>
        <v/>
      </c>
      <c r="J143" s="33">
        <f>IF(COUNT(K143:AG143)=0,"",(AF143*5+AG143*5)/3)</f>
        <v/>
      </c>
      <c r="K143" s="52" t="n"/>
      <c r="L143" s="52" t="n"/>
      <c r="M143" s="52" t="n"/>
      <c r="N143" s="52" t="n"/>
      <c r="O143" s="53" t="n"/>
      <c r="P143" s="52" t="n"/>
      <c r="Q143" s="52" t="n"/>
      <c r="R143" s="52" t="n"/>
      <c r="S143" s="52" t="n"/>
      <c r="T143" s="53" t="n"/>
      <c r="U143" s="52" t="n"/>
      <c r="V143" s="52" t="n"/>
      <c r="W143" s="52" t="n"/>
      <c r="X143" s="52" t="n"/>
      <c r="Y143" s="52" t="n"/>
      <c r="Z143" s="52" t="n"/>
      <c r="AA143" s="53" t="n"/>
      <c r="AB143" s="52" t="n"/>
      <c r="AC143" s="52" t="n"/>
      <c r="AD143" s="52" t="n"/>
      <c r="AE143" s="52" t="n"/>
      <c r="AF143" s="52" t="n"/>
      <c r="AG143" s="52" t="n"/>
      <c r="AH143" s="53" t="n"/>
      <c r="AI143" s="53" t="n"/>
    </row>
    <row r="144" ht="14.25" customHeight="1" s="65">
      <c r="A144" s="53" t="n"/>
      <c r="B144" s="53" t="n"/>
      <c r="C144" s="53" t="n"/>
      <c r="D144" s="53" t="n"/>
      <c r="E144" s="32">
        <f>IF(COUNT(K144:AG144)=0,"",ROUND((F144+G144+H144+I144+J144)/10,2))</f>
        <v/>
      </c>
      <c r="F144" s="33">
        <f>IF(COUNT(K144:AG144)=0,"",(K144*10+L144*8+M144*7+N144*5)/3)</f>
        <v/>
      </c>
      <c r="G144" s="33">
        <f>IF(COUNT(K144:AG144)=0,"",(P144*8+Q144*7+R144*5+S144*5)/3)</f>
        <v/>
      </c>
      <c r="H144" s="33">
        <f>IF(COUNT(K144:AG144)=0,"",(U144*6+V144*6+W144*4+X144*3+Y144*3+Z144*3)/3)</f>
        <v/>
      </c>
      <c r="I144" s="33">
        <f>IF(COUNT(K144:AG144)=0,"",AB144*3+AC144*2+AD144*2+AE144*1)</f>
        <v/>
      </c>
      <c r="J144" s="33">
        <f>IF(COUNT(K144:AG144)=0,"",(AF144*5+AG144*5)/3)</f>
        <v/>
      </c>
      <c r="K144" s="52" t="n"/>
      <c r="L144" s="52" t="n"/>
      <c r="M144" s="52" t="n"/>
      <c r="N144" s="52" t="n"/>
      <c r="O144" s="53" t="n"/>
      <c r="P144" s="52" t="n"/>
      <c r="Q144" s="52" t="n"/>
      <c r="R144" s="52" t="n"/>
      <c r="S144" s="52" t="n"/>
      <c r="T144" s="53" t="n"/>
      <c r="U144" s="52" t="n"/>
      <c r="V144" s="52" t="n"/>
      <c r="W144" s="52" t="n"/>
      <c r="X144" s="52" t="n"/>
      <c r="Y144" s="52" t="n"/>
      <c r="Z144" s="52" t="n"/>
      <c r="AA144" s="53" t="n"/>
      <c r="AB144" s="52" t="n"/>
      <c r="AC144" s="52" t="n"/>
      <c r="AD144" s="52" t="n"/>
      <c r="AE144" s="52" t="n"/>
      <c r="AF144" s="52" t="n"/>
      <c r="AG144" s="52" t="n"/>
      <c r="AH144" s="53" t="n"/>
      <c r="AI144" s="53" t="n"/>
    </row>
    <row r="145" ht="14.25" customHeight="1" s="65">
      <c r="A145" s="53" t="n"/>
      <c r="B145" s="53" t="n"/>
      <c r="C145" s="53" t="n"/>
      <c r="D145" s="53" t="n"/>
      <c r="E145" s="32">
        <f>IF(COUNT(K145:AG145)=0,"",ROUND((F145+G145+H145+I145+J145)/10,2))</f>
        <v/>
      </c>
      <c r="F145" s="33">
        <f>IF(COUNT(K145:AG145)=0,"",(K145*10+L145*8+M145*7+N145*5)/3)</f>
        <v/>
      </c>
      <c r="G145" s="33">
        <f>IF(COUNT(K145:AG145)=0,"",(P145*8+Q145*7+R145*5+S145*5)/3)</f>
        <v/>
      </c>
      <c r="H145" s="33">
        <f>IF(COUNT(K145:AG145)=0,"",(U145*6+V145*6+W145*4+X145*3+Y145*3+Z145*3)/3)</f>
        <v/>
      </c>
      <c r="I145" s="33">
        <f>IF(COUNT(K145:AG145)=0,"",AB145*3+AC145*2+AD145*2+AE145*1)</f>
        <v/>
      </c>
      <c r="J145" s="33">
        <f>IF(COUNT(K145:AG145)=0,"",(AF145*5+AG145*5)/3)</f>
        <v/>
      </c>
      <c r="K145" s="52" t="n"/>
      <c r="L145" s="52" t="n"/>
      <c r="M145" s="52" t="n"/>
      <c r="N145" s="52" t="n"/>
      <c r="O145" s="53" t="n"/>
      <c r="P145" s="52" t="n"/>
      <c r="Q145" s="52" t="n"/>
      <c r="R145" s="52" t="n"/>
      <c r="S145" s="52" t="n"/>
      <c r="T145" s="53" t="n"/>
      <c r="U145" s="52" t="n"/>
      <c r="V145" s="52" t="n"/>
      <c r="W145" s="52" t="n"/>
      <c r="X145" s="52" t="n"/>
      <c r="Y145" s="52" t="n"/>
      <c r="Z145" s="52" t="n"/>
      <c r="AA145" s="53" t="n"/>
      <c r="AB145" s="52" t="n"/>
      <c r="AC145" s="52" t="n"/>
      <c r="AD145" s="52" t="n"/>
      <c r="AE145" s="52" t="n"/>
      <c r="AF145" s="52" t="n"/>
      <c r="AG145" s="52" t="n"/>
      <c r="AH145" s="53" t="n"/>
      <c r="AI145" s="53" t="n"/>
    </row>
    <row r="146" ht="14.25" customHeight="1" s="65">
      <c r="A146" s="53" t="n"/>
      <c r="B146" s="53" t="n"/>
      <c r="C146" s="53" t="n"/>
      <c r="D146" s="53" t="n"/>
      <c r="E146" s="32">
        <f>IF(COUNT(K146:AG146)=0,"",ROUND((F146+G146+H146+I146+J146)/10,2))</f>
        <v/>
      </c>
      <c r="F146" s="33">
        <f>IF(COUNT(K146:AG146)=0,"",(K146*10+L146*8+M146*7+N146*5)/3)</f>
        <v/>
      </c>
      <c r="G146" s="33">
        <f>IF(COUNT(K146:AG146)=0,"",(P146*8+Q146*7+R146*5+S146*5)/3)</f>
        <v/>
      </c>
      <c r="H146" s="33">
        <f>IF(COUNT(K146:AG146)=0,"",(U146*6+V146*6+W146*4+X146*3+Y146*3+Z146*3)/3)</f>
        <v/>
      </c>
      <c r="I146" s="33">
        <f>IF(COUNT(K146:AG146)=0,"",AB146*3+AC146*2+AD146*2+AE146*1)</f>
        <v/>
      </c>
      <c r="J146" s="33">
        <f>IF(COUNT(K146:AG146)=0,"",(AF146*5+AG146*5)/3)</f>
        <v/>
      </c>
      <c r="K146" s="52" t="n"/>
      <c r="L146" s="52" t="n"/>
      <c r="M146" s="52" t="n"/>
      <c r="N146" s="52" t="n"/>
      <c r="O146" s="53" t="n"/>
      <c r="P146" s="52" t="n"/>
      <c r="Q146" s="52" t="n"/>
      <c r="R146" s="52" t="n"/>
      <c r="S146" s="52" t="n"/>
      <c r="T146" s="53" t="n"/>
      <c r="U146" s="52" t="n"/>
      <c r="V146" s="52" t="n"/>
      <c r="W146" s="52" t="n"/>
      <c r="X146" s="52" t="n"/>
      <c r="Y146" s="52" t="n"/>
      <c r="Z146" s="52" t="n"/>
      <c r="AA146" s="53" t="n"/>
      <c r="AB146" s="52" t="n"/>
      <c r="AC146" s="52" t="n"/>
      <c r="AD146" s="52" t="n"/>
      <c r="AE146" s="52" t="n"/>
      <c r="AF146" s="52" t="n"/>
      <c r="AG146" s="52" t="n"/>
      <c r="AH146" s="53" t="n"/>
      <c r="AI146" s="53" t="n"/>
    </row>
    <row r="147" ht="14.25" customHeight="1" s="65">
      <c r="A147" s="53" t="n"/>
      <c r="B147" s="53" t="n"/>
      <c r="C147" s="53" t="n"/>
      <c r="D147" s="53" t="n"/>
      <c r="E147" s="32">
        <f>IF(COUNT(K147:AG147)=0,"",ROUND((F147+G147+H147+I147+J147)/10,2))</f>
        <v/>
      </c>
      <c r="F147" s="33">
        <f>IF(COUNT(K147:AG147)=0,"",(K147*10+L147*8+M147*7+N147*5)/3)</f>
        <v/>
      </c>
      <c r="G147" s="33">
        <f>IF(COUNT(K147:AG147)=0,"",(P147*8+Q147*7+R147*5+S147*5)/3)</f>
        <v/>
      </c>
      <c r="H147" s="33">
        <f>IF(COUNT(K147:AG147)=0,"",(U147*6+V147*6+W147*4+X147*3+Y147*3+Z147*3)/3)</f>
        <v/>
      </c>
      <c r="I147" s="33">
        <f>IF(COUNT(K147:AG147)=0,"",AB147*3+AC147*2+AD147*2+AE147*1)</f>
        <v/>
      </c>
      <c r="J147" s="33">
        <f>IF(COUNT(K147:AG147)=0,"",(AF147*5+AG147*5)/3)</f>
        <v/>
      </c>
      <c r="K147" s="52" t="n"/>
      <c r="L147" s="52" t="n"/>
      <c r="M147" s="52" t="n"/>
      <c r="N147" s="52" t="n"/>
      <c r="O147" s="53" t="n"/>
      <c r="P147" s="52" t="n"/>
      <c r="Q147" s="52" t="n"/>
      <c r="R147" s="52" t="n"/>
      <c r="S147" s="52" t="n"/>
      <c r="T147" s="53" t="n"/>
      <c r="U147" s="52" t="n"/>
      <c r="V147" s="52" t="n"/>
      <c r="W147" s="52" t="n"/>
      <c r="X147" s="52" t="n"/>
      <c r="Y147" s="52" t="n"/>
      <c r="Z147" s="52" t="n"/>
      <c r="AA147" s="53" t="n"/>
      <c r="AB147" s="52" t="n"/>
      <c r="AC147" s="52" t="n"/>
      <c r="AD147" s="52" t="n"/>
      <c r="AE147" s="52" t="n"/>
      <c r="AF147" s="52" t="n"/>
      <c r="AG147" s="52" t="n"/>
      <c r="AH147" s="53" t="n"/>
      <c r="AI147" s="53" t="n"/>
    </row>
    <row r="148" ht="14.25" customHeight="1" s="65">
      <c r="A148" s="53" t="n"/>
      <c r="B148" s="53" t="n"/>
      <c r="C148" s="53" t="n"/>
      <c r="D148" s="53" t="n"/>
      <c r="E148" s="32">
        <f>IF(COUNT(K148:AG148)=0,"",ROUND((F148+G148+H148+I148+J148)/10,2))</f>
        <v/>
      </c>
      <c r="F148" s="33">
        <f>IF(COUNT(K148:AG148)=0,"",(K148*10+L148*8+M148*7+N148*5)/3)</f>
        <v/>
      </c>
      <c r="G148" s="33">
        <f>IF(COUNT(K148:AG148)=0,"",(P148*8+Q148*7+R148*5+S148*5)/3)</f>
        <v/>
      </c>
      <c r="H148" s="33">
        <f>IF(COUNT(K148:AG148)=0,"",(U148*6+V148*6+W148*4+X148*3+Y148*3+Z148*3)/3)</f>
        <v/>
      </c>
      <c r="I148" s="33">
        <f>IF(COUNT(K148:AG148)=0,"",AB148*3+AC148*2+AD148*2+AE148*1)</f>
        <v/>
      </c>
      <c r="J148" s="33">
        <f>IF(COUNT(K148:AG148)=0,"",(AF148*5+AG148*5)/3)</f>
        <v/>
      </c>
      <c r="K148" s="52" t="n"/>
      <c r="L148" s="52" t="n"/>
      <c r="M148" s="52" t="n"/>
      <c r="N148" s="52" t="n"/>
      <c r="O148" s="53" t="n"/>
      <c r="P148" s="52" t="n"/>
      <c r="Q148" s="52" t="n"/>
      <c r="R148" s="52" t="n"/>
      <c r="S148" s="52" t="n"/>
      <c r="T148" s="53" t="n"/>
      <c r="U148" s="52" t="n"/>
      <c r="V148" s="52" t="n"/>
      <c r="W148" s="52" t="n"/>
      <c r="X148" s="52" t="n"/>
      <c r="Y148" s="52" t="n"/>
      <c r="Z148" s="52" t="n"/>
      <c r="AA148" s="53" t="n"/>
      <c r="AB148" s="52" t="n"/>
      <c r="AC148" s="52" t="n"/>
      <c r="AD148" s="52" t="n"/>
      <c r="AE148" s="52" t="n"/>
      <c r="AF148" s="52" t="n"/>
      <c r="AG148" s="52" t="n"/>
      <c r="AH148" s="53" t="n"/>
      <c r="AI148" s="53" t="n"/>
    </row>
    <row r="149" ht="14.25" customHeight="1" s="65">
      <c r="A149" s="53" t="n"/>
      <c r="B149" s="53" t="n"/>
      <c r="C149" s="53" t="n"/>
      <c r="D149" s="53" t="n"/>
      <c r="E149" s="32">
        <f>IF(COUNT(K149:AG149)=0,"",ROUND((F149+G149+H149+I149+J149)/10,2))</f>
        <v/>
      </c>
      <c r="F149" s="33">
        <f>IF(COUNT(K149:AG149)=0,"",(K149*10+L149*8+M149*7+N149*5)/3)</f>
        <v/>
      </c>
      <c r="G149" s="33">
        <f>IF(COUNT(K149:AG149)=0,"",(P149*8+Q149*7+R149*5+S149*5)/3)</f>
        <v/>
      </c>
      <c r="H149" s="33">
        <f>IF(COUNT(K149:AG149)=0,"",(U149*6+V149*6+W149*4+X149*3+Y149*3+Z149*3)/3)</f>
        <v/>
      </c>
      <c r="I149" s="33">
        <f>IF(COUNT(K149:AG149)=0,"",AB149*3+AC149*2+AD149*2+AE149*1)</f>
        <v/>
      </c>
      <c r="J149" s="33">
        <f>IF(COUNT(K149:AG149)=0,"",(AF149*5+AG149*5)/3)</f>
        <v/>
      </c>
      <c r="K149" s="52" t="n"/>
      <c r="L149" s="52" t="n"/>
      <c r="M149" s="52" t="n"/>
      <c r="N149" s="52" t="n"/>
      <c r="O149" s="53" t="n"/>
      <c r="P149" s="52" t="n"/>
      <c r="Q149" s="52" t="n"/>
      <c r="R149" s="52" t="n"/>
      <c r="S149" s="52" t="n"/>
      <c r="T149" s="53" t="n"/>
      <c r="U149" s="52" t="n"/>
      <c r="V149" s="52" t="n"/>
      <c r="W149" s="52" t="n"/>
      <c r="X149" s="52" t="n"/>
      <c r="Y149" s="52" t="n"/>
      <c r="Z149" s="52" t="n"/>
      <c r="AA149" s="53" t="n"/>
      <c r="AB149" s="52" t="n"/>
      <c r="AC149" s="52" t="n"/>
      <c r="AD149" s="52" t="n"/>
      <c r="AE149" s="52" t="n"/>
      <c r="AF149" s="52" t="n"/>
      <c r="AG149" s="52" t="n"/>
      <c r="AH149" s="53" t="n"/>
      <c r="AI149" s="53" t="n"/>
    </row>
    <row r="150" ht="14.25" customHeight="1" s="65">
      <c r="A150" s="53" t="n"/>
      <c r="B150" s="53" t="n"/>
      <c r="C150" s="53" t="n"/>
      <c r="D150" s="53" t="n"/>
      <c r="E150" s="32">
        <f>IF(COUNT(K150:AG150)=0,"",ROUND((F150+G150+H150+I150+J150)/10,2))</f>
        <v/>
      </c>
      <c r="F150" s="33">
        <f>IF(COUNT(K150:AG150)=0,"",(K150*10+L150*8+M150*7+N150*5)/3)</f>
        <v/>
      </c>
      <c r="G150" s="33">
        <f>IF(COUNT(K150:AG150)=0,"",(P150*8+Q150*7+R150*5+S150*5)/3)</f>
        <v/>
      </c>
      <c r="H150" s="33">
        <f>IF(COUNT(K150:AG150)=0,"",(U150*6+V150*6+W150*4+X150*3+Y150*3+Z150*3)/3)</f>
        <v/>
      </c>
      <c r="I150" s="33">
        <f>IF(COUNT(K150:AG150)=0,"",AB150*3+AC150*2+AD150*2+AE150*1)</f>
        <v/>
      </c>
      <c r="J150" s="33">
        <f>IF(COUNT(K150:AG150)=0,"",(AF150*5+AG150*5)/3)</f>
        <v/>
      </c>
      <c r="K150" s="52" t="n"/>
      <c r="L150" s="52" t="n"/>
      <c r="M150" s="52" t="n"/>
      <c r="N150" s="52" t="n"/>
      <c r="O150" s="53" t="n"/>
      <c r="P150" s="52" t="n"/>
      <c r="Q150" s="52" t="n"/>
      <c r="R150" s="52" t="n"/>
      <c r="S150" s="52" t="n"/>
      <c r="T150" s="53" t="n"/>
      <c r="U150" s="52" t="n"/>
      <c r="V150" s="52" t="n"/>
      <c r="W150" s="52" t="n"/>
      <c r="X150" s="52" t="n"/>
      <c r="Y150" s="52" t="n"/>
      <c r="Z150" s="52" t="n"/>
      <c r="AA150" s="53" t="n"/>
      <c r="AB150" s="52" t="n"/>
      <c r="AC150" s="52" t="n"/>
      <c r="AD150" s="52" t="n"/>
      <c r="AE150" s="52" t="n"/>
      <c r="AF150" s="52" t="n"/>
      <c r="AG150" s="52" t="n"/>
      <c r="AH150" s="53" t="n"/>
      <c r="AI150" s="53" t="n"/>
    </row>
    <row r="151" ht="14.25" customHeight="1" s="65">
      <c r="A151" s="53" t="n"/>
      <c r="B151" s="53" t="n"/>
      <c r="C151" s="53" t="n"/>
      <c r="D151" s="53" t="n"/>
      <c r="E151" s="32">
        <f>IF(COUNT(K151:AG151)=0,"",ROUND((F151+G151+H151+I151+J151)/10,2))</f>
        <v/>
      </c>
      <c r="F151" s="33">
        <f>IF(COUNT(K151:AG151)=0,"",(K151*10+L151*8+M151*7+N151*5)/3)</f>
        <v/>
      </c>
      <c r="G151" s="33">
        <f>IF(COUNT(K151:AG151)=0,"",(P151*8+Q151*7+R151*5+S151*5)/3)</f>
        <v/>
      </c>
      <c r="H151" s="33">
        <f>IF(COUNT(K151:AG151)=0,"",(U151*6+V151*6+W151*4+X151*3+Y151*3+Z151*3)/3)</f>
        <v/>
      </c>
      <c r="I151" s="33">
        <f>IF(COUNT(K151:AG151)=0,"",AB151*3+AC151*2+AD151*2+AE151*1)</f>
        <v/>
      </c>
      <c r="J151" s="33">
        <f>IF(COUNT(K151:AG151)=0,"",(AF151*5+AG151*5)/3)</f>
        <v/>
      </c>
      <c r="K151" s="52" t="n"/>
      <c r="L151" s="52" t="n"/>
      <c r="M151" s="52" t="n"/>
      <c r="N151" s="52" t="n"/>
      <c r="O151" s="53" t="n"/>
      <c r="P151" s="52" t="n"/>
      <c r="Q151" s="52" t="n"/>
      <c r="R151" s="52" t="n"/>
      <c r="S151" s="52" t="n"/>
      <c r="T151" s="53" t="n"/>
      <c r="U151" s="52" t="n"/>
      <c r="V151" s="52" t="n"/>
      <c r="W151" s="52" t="n"/>
      <c r="X151" s="52" t="n"/>
      <c r="Y151" s="52" t="n"/>
      <c r="Z151" s="52" t="n"/>
      <c r="AA151" s="53" t="n"/>
      <c r="AB151" s="52" t="n"/>
      <c r="AC151" s="52" t="n"/>
      <c r="AD151" s="52" t="n"/>
      <c r="AE151" s="52" t="n"/>
      <c r="AF151" s="52" t="n"/>
      <c r="AG151" s="52" t="n"/>
      <c r="AH151" s="53" t="n"/>
      <c r="AI151" s="53" t="n"/>
    </row>
    <row r="152" ht="14.25" customHeight="1" s="65">
      <c r="A152" s="53" t="n"/>
      <c r="B152" s="53" t="n"/>
      <c r="C152" s="53" t="n"/>
      <c r="D152" s="53" t="n"/>
      <c r="E152" s="32">
        <f>IF(COUNT(K152:AG152)=0,"",ROUND((F152+G152+H152+I152+J152)/10,2))</f>
        <v/>
      </c>
      <c r="F152" s="33">
        <f>IF(COUNT(K152:AG152)=0,"",(K152*10+L152*8+M152*7+N152*5)/3)</f>
        <v/>
      </c>
      <c r="G152" s="33">
        <f>IF(COUNT(K152:AG152)=0,"",(P152*8+Q152*7+R152*5+S152*5)/3)</f>
        <v/>
      </c>
      <c r="H152" s="33">
        <f>IF(COUNT(K152:AG152)=0,"",(U152*6+V152*6+W152*4+X152*3+Y152*3+Z152*3)/3)</f>
        <v/>
      </c>
      <c r="I152" s="33">
        <f>IF(COUNT(K152:AG152)=0,"",AB152*3+AC152*2+AD152*2+AE152*1)</f>
        <v/>
      </c>
      <c r="J152" s="33">
        <f>IF(COUNT(K152:AG152)=0,"",(AF152*5+AG152*5)/3)</f>
        <v/>
      </c>
      <c r="K152" s="52" t="n"/>
      <c r="L152" s="52" t="n"/>
      <c r="M152" s="52" t="n"/>
      <c r="N152" s="52" t="n"/>
      <c r="O152" s="53" t="n"/>
      <c r="P152" s="52" t="n"/>
      <c r="Q152" s="52" t="n"/>
      <c r="R152" s="52" t="n"/>
      <c r="S152" s="52" t="n"/>
      <c r="T152" s="53" t="n"/>
      <c r="U152" s="52" t="n"/>
      <c r="V152" s="52" t="n"/>
      <c r="W152" s="52" t="n"/>
      <c r="X152" s="52" t="n"/>
      <c r="Y152" s="52" t="n"/>
      <c r="Z152" s="52" t="n"/>
      <c r="AA152" s="53" t="n"/>
      <c r="AB152" s="52" t="n"/>
      <c r="AC152" s="52" t="n"/>
      <c r="AD152" s="52" t="n"/>
      <c r="AE152" s="52" t="n"/>
      <c r="AF152" s="52" t="n"/>
      <c r="AG152" s="52" t="n"/>
      <c r="AH152" s="53" t="n"/>
      <c r="AI152" s="53" t="n"/>
    </row>
    <row r="153" ht="14.25" customHeight="1" s="65">
      <c r="A153" s="53" t="n"/>
      <c r="B153" s="53" t="n"/>
      <c r="C153" s="53" t="n"/>
      <c r="D153" s="53" t="n"/>
      <c r="E153" s="32">
        <f>IF(COUNT(K153:AG153)=0,"",ROUND((F153+G153+H153+I153+J153)/10,2))</f>
        <v/>
      </c>
      <c r="F153" s="33">
        <f>IF(COUNT(K153:AG153)=0,"",(K153*10+L153*8+M153*7+N153*5)/3)</f>
        <v/>
      </c>
      <c r="G153" s="33">
        <f>IF(COUNT(K153:AG153)=0,"",(P153*8+Q153*7+R153*5+S153*5)/3)</f>
        <v/>
      </c>
      <c r="H153" s="33">
        <f>IF(COUNT(K153:AG153)=0,"",(U153*6+V153*6+W153*4+X153*3+Y153*3+Z153*3)/3)</f>
        <v/>
      </c>
      <c r="I153" s="33">
        <f>IF(COUNT(K153:AG153)=0,"",AB153*3+AC153*2+AD153*2+AE153*1)</f>
        <v/>
      </c>
      <c r="J153" s="33">
        <f>IF(COUNT(K153:AG153)=0,"",(AF153*5+AG153*5)/3)</f>
        <v/>
      </c>
      <c r="K153" s="52" t="n"/>
      <c r="L153" s="52" t="n"/>
      <c r="M153" s="52" t="n"/>
      <c r="N153" s="52" t="n"/>
      <c r="O153" s="53" t="n"/>
      <c r="P153" s="52" t="n"/>
      <c r="Q153" s="52" t="n"/>
      <c r="R153" s="52" t="n"/>
      <c r="S153" s="52" t="n"/>
      <c r="T153" s="53" t="n"/>
      <c r="U153" s="52" t="n"/>
      <c r="V153" s="52" t="n"/>
      <c r="W153" s="52" t="n"/>
      <c r="X153" s="52" t="n"/>
      <c r="Y153" s="52" t="n"/>
      <c r="Z153" s="52" t="n"/>
      <c r="AA153" s="53" t="n"/>
      <c r="AB153" s="52" t="n"/>
      <c r="AC153" s="52" t="n"/>
      <c r="AD153" s="52" t="n"/>
      <c r="AE153" s="52" t="n"/>
      <c r="AF153" s="52" t="n"/>
      <c r="AG153" s="52" t="n"/>
      <c r="AH153" s="53" t="n"/>
      <c r="AI153" s="53" t="n"/>
    </row>
    <row r="154" ht="14.25" customHeight="1" s="65">
      <c r="A154" s="53" t="n"/>
      <c r="B154" s="53" t="n"/>
      <c r="C154" s="53" t="n"/>
      <c r="D154" s="53" t="n"/>
      <c r="E154" s="32">
        <f>IF(COUNT(K154:AG154)=0,"",ROUND((F154+G154+H154+I154+J154)/10,2))</f>
        <v/>
      </c>
      <c r="F154" s="33">
        <f>IF(COUNT(K154:AG154)=0,"",(K154*10+L154*8+M154*7+N154*5)/3)</f>
        <v/>
      </c>
      <c r="G154" s="33">
        <f>IF(COUNT(K154:AG154)=0,"",(P154*8+Q154*7+R154*5+S154*5)/3)</f>
        <v/>
      </c>
      <c r="H154" s="33">
        <f>IF(COUNT(K154:AG154)=0,"",(U154*6+V154*6+W154*4+X154*3+Y154*3+Z154*3)/3)</f>
        <v/>
      </c>
      <c r="I154" s="33">
        <f>IF(COUNT(K154:AG154)=0,"",AB154*3+AC154*2+AD154*2+AE154*1)</f>
        <v/>
      </c>
      <c r="J154" s="33">
        <f>IF(COUNT(K154:AG154)=0,"",(AF154*5+AG154*5)/3)</f>
        <v/>
      </c>
      <c r="K154" s="52" t="n"/>
      <c r="L154" s="52" t="n"/>
      <c r="M154" s="52" t="n"/>
      <c r="N154" s="52" t="n"/>
      <c r="O154" s="53" t="n"/>
      <c r="P154" s="52" t="n"/>
      <c r="Q154" s="52" t="n"/>
      <c r="R154" s="52" t="n"/>
      <c r="S154" s="52" t="n"/>
      <c r="T154" s="53" t="n"/>
      <c r="U154" s="52" t="n"/>
      <c r="V154" s="52" t="n"/>
      <c r="W154" s="52" t="n"/>
      <c r="X154" s="52" t="n"/>
      <c r="Y154" s="52" t="n"/>
      <c r="Z154" s="52" t="n"/>
      <c r="AA154" s="53" t="n"/>
      <c r="AB154" s="52" t="n"/>
      <c r="AC154" s="52" t="n"/>
      <c r="AD154" s="52" t="n"/>
      <c r="AE154" s="52" t="n"/>
      <c r="AF154" s="52" t="n"/>
      <c r="AG154" s="52" t="n"/>
      <c r="AH154" s="53" t="n"/>
      <c r="AI154" s="53" t="n"/>
    </row>
    <row r="155" ht="14.25" customHeight="1" s="65">
      <c r="A155" s="53" t="n"/>
      <c r="B155" s="53" t="n"/>
      <c r="C155" s="53" t="n"/>
      <c r="D155" s="53" t="n"/>
      <c r="E155" s="32">
        <f>IF(COUNT(K155:AG155)=0,"",ROUND((F155+G155+H155+I155+J155)/10,2))</f>
        <v/>
      </c>
      <c r="F155" s="33">
        <f>IF(COUNT(K155:AG155)=0,"",(K155*10+L155*8+M155*7+N155*5)/3)</f>
        <v/>
      </c>
      <c r="G155" s="33">
        <f>IF(COUNT(K155:AG155)=0,"",(P155*8+Q155*7+R155*5+S155*5)/3)</f>
        <v/>
      </c>
      <c r="H155" s="33">
        <f>IF(COUNT(K155:AG155)=0,"",(U155*6+V155*6+W155*4+X155*3+Y155*3+Z155*3)/3)</f>
        <v/>
      </c>
      <c r="I155" s="33">
        <f>IF(COUNT(K155:AG155)=0,"",AB155*3+AC155*2+AD155*2+AE155*1)</f>
        <v/>
      </c>
      <c r="J155" s="33">
        <f>IF(COUNT(K155:AG155)=0,"",(AF155*5+AG155*5)/3)</f>
        <v/>
      </c>
      <c r="K155" s="52" t="n"/>
      <c r="L155" s="52" t="n"/>
      <c r="M155" s="52" t="n"/>
      <c r="N155" s="52" t="n"/>
      <c r="O155" s="53" t="n"/>
      <c r="P155" s="52" t="n"/>
      <c r="Q155" s="52" t="n"/>
      <c r="R155" s="52" t="n"/>
      <c r="S155" s="52" t="n"/>
      <c r="T155" s="53" t="n"/>
      <c r="U155" s="52" t="n"/>
      <c r="V155" s="52" t="n"/>
      <c r="W155" s="52" t="n"/>
      <c r="X155" s="52" t="n"/>
      <c r="Y155" s="52" t="n"/>
      <c r="Z155" s="52" t="n"/>
      <c r="AA155" s="53" t="n"/>
      <c r="AB155" s="52" t="n"/>
      <c r="AC155" s="52" t="n"/>
      <c r="AD155" s="52" t="n"/>
      <c r="AE155" s="52" t="n"/>
      <c r="AF155" s="52" t="n"/>
      <c r="AG155" s="52" t="n"/>
      <c r="AH155" s="53" t="n"/>
      <c r="AI155" s="53" t="n"/>
    </row>
    <row r="156" ht="14.25" customHeight="1" s="65">
      <c r="A156" s="53" t="n"/>
      <c r="B156" s="53" t="n"/>
      <c r="C156" s="53" t="n"/>
      <c r="D156" s="53" t="n"/>
      <c r="E156" s="32">
        <f>IF(COUNT(K156:AG156)=0,"",ROUND((F156+G156+H156+I156+J156)/10,2))</f>
        <v/>
      </c>
      <c r="F156" s="33">
        <f>IF(COUNT(K156:AG156)=0,"",(K156*10+L156*8+M156*7+N156*5)/3)</f>
        <v/>
      </c>
      <c r="G156" s="33">
        <f>IF(COUNT(K156:AG156)=0,"",(P156*8+Q156*7+R156*5+S156*5)/3)</f>
        <v/>
      </c>
      <c r="H156" s="33">
        <f>IF(COUNT(K156:AG156)=0,"",(U156*6+V156*6+W156*4+X156*3+Y156*3+Z156*3)/3)</f>
        <v/>
      </c>
      <c r="I156" s="33">
        <f>IF(COUNT(K156:AG156)=0,"",AB156*3+AC156*2+AD156*2+AE156*1)</f>
        <v/>
      </c>
      <c r="J156" s="33">
        <f>IF(COUNT(K156:AG156)=0,"",(AF156*5+AG156*5)/3)</f>
        <v/>
      </c>
      <c r="K156" s="52" t="n"/>
      <c r="L156" s="52" t="n"/>
      <c r="M156" s="52" t="n"/>
      <c r="N156" s="52" t="n"/>
      <c r="O156" s="53" t="n"/>
      <c r="P156" s="52" t="n"/>
      <c r="Q156" s="52" t="n"/>
      <c r="R156" s="52" t="n"/>
      <c r="S156" s="52" t="n"/>
      <c r="T156" s="53" t="n"/>
      <c r="U156" s="52" t="n"/>
      <c r="V156" s="52" t="n"/>
      <c r="W156" s="52" t="n"/>
      <c r="X156" s="52" t="n"/>
      <c r="Y156" s="52" t="n"/>
      <c r="Z156" s="52" t="n"/>
      <c r="AA156" s="53" t="n"/>
      <c r="AB156" s="52" t="n"/>
      <c r="AC156" s="52" t="n"/>
      <c r="AD156" s="52" t="n"/>
      <c r="AE156" s="52" t="n"/>
      <c r="AF156" s="52" t="n"/>
      <c r="AG156" s="52" t="n"/>
      <c r="AH156" s="53" t="n"/>
      <c r="AI156" s="53" t="n"/>
    </row>
    <row r="157" ht="14.25" customHeight="1" s="65">
      <c r="A157" s="53" t="n"/>
      <c r="B157" s="53" t="n"/>
      <c r="C157" s="53" t="n"/>
      <c r="D157" s="53" t="n"/>
      <c r="E157" s="32">
        <f>IF(COUNT(K157:AG157)=0,"",ROUND((F157+G157+H157+I157+J157)/10,2))</f>
        <v/>
      </c>
      <c r="F157" s="33">
        <f>IF(COUNT(K157:AG157)=0,"",(K157*10+L157*8+M157*7+N157*5)/3)</f>
        <v/>
      </c>
      <c r="G157" s="33">
        <f>IF(COUNT(K157:AG157)=0,"",(P157*8+Q157*7+R157*5+S157*5)/3)</f>
        <v/>
      </c>
      <c r="H157" s="33">
        <f>IF(COUNT(K157:AG157)=0,"",(U157*6+V157*6+W157*4+X157*3+Y157*3+Z157*3)/3)</f>
        <v/>
      </c>
      <c r="I157" s="33">
        <f>IF(COUNT(K157:AG157)=0,"",AB157*3+AC157*2+AD157*2+AE157*1)</f>
        <v/>
      </c>
      <c r="J157" s="33">
        <f>IF(COUNT(K157:AG157)=0,"",(AF157*5+AG157*5)/3)</f>
        <v/>
      </c>
      <c r="K157" s="52" t="n"/>
      <c r="L157" s="52" t="n"/>
      <c r="M157" s="52" t="n"/>
      <c r="N157" s="52" t="n"/>
      <c r="O157" s="53" t="n"/>
      <c r="P157" s="52" t="n"/>
      <c r="Q157" s="52" t="n"/>
      <c r="R157" s="52" t="n"/>
      <c r="S157" s="52" t="n"/>
      <c r="T157" s="53" t="n"/>
      <c r="U157" s="52" t="n"/>
      <c r="V157" s="52" t="n"/>
      <c r="W157" s="52" t="n"/>
      <c r="X157" s="52" t="n"/>
      <c r="Y157" s="52" t="n"/>
      <c r="Z157" s="52" t="n"/>
      <c r="AA157" s="53" t="n"/>
      <c r="AB157" s="52" t="n"/>
      <c r="AC157" s="52" t="n"/>
      <c r="AD157" s="52" t="n"/>
      <c r="AE157" s="52" t="n"/>
      <c r="AF157" s="52" t="n"/>
      <c r="AG157" s="52" t="n"/>
      <c r="AH157" s="53" t="n"/>
      <c r="AI157" s="53" t="n"/>
    </row>
    <row r="158" ht="14.25" customHeight="1" s="65">
      <c r="A158" s="53" t="n"/>
      <c r="B158" s="53" t="n"/>
      <c r="C158" s="53" t="n"/>
      <c r="D158" s="53" t="n"/>
      <c r="E158" s="32">
        <f>IF(COUNT(K158:AG158)=0,"",ROUND((F158+G158+H158+I158+J158)/10,2))</f>
        <v/>
      </c>
      <c r="F158" s="33">
        <f>IF(COUNT(K158:AG158)=0,"",(K158*10+L158*8+M158*7+N158*5)/3)</f>
        <v/>
      </c>
      <c r="G158" s="33">
        <f>IF(COUNT(K158:AG158)=0,"",(P158*8+Q158*7+R158*5+S158*5)/3)</f>
        <v/>
      </c>
      <c r="H158" s="33">
        <f>IF(COUNT(K158:AG158)=0,"",(U158*6+V158*6+W158*4+X158*3+Y158*3+Z158*3)/3)</f>
        <v/>
      </c>
      <c r="I158" s="33">
        <f>IF(COUNT(K158:AG158)=0,"",AB158*3+AC158*2+AD158*2+AE158*1)</f>
        <v/>
      </c>
      <c r="J158" s="33">
        <f>IF(COUNT(K158:AG158)=0,"",(AF158*5+AG158*5)/3)</f>
        <v/>
      </c>
      <c r="K158" s="52" t="n"/>
      <c r="L158" s="52" t="n"/>
      <c r="M158" s="52" t="n"/>
      <c r="N158" s="52" t="n"/>
      <c r="O158" s="53" t="n"/>
      <c r="P158" s="52" t="n"/>
      <c r="Q158" s="52" t="n"/>
      <c r="R158" s="52" t="n"/>
      <c r="S158" s="52" t="n"/>
      <c r="T158" s="53" t="n"/>
      <c r="U158" s="52" t="n"/>
      <c r="V158" s="52" t="n"/>
      <c r="W158" s="52" t="n"/>
      <c r="X158" s="52" t="n"/>
      <c r="Y158" s="52" t="n"/>
      <c r="Z158" s="52" t="n"/>
      <c r="AA158" s="53" t="n"/>
      <c r="AB158" s="52" t="n"/>
      <c r="AC158" s="52" t="n"/>
      <c r="AD158" s="52" t="n"/>
      <c r="AE158" s="52" t="n"/>
      <c r="AF158" s="52" t="n"/>
      <c r="AG158" s="52" t="n"/>
      <c r="AH158" s="53" t="n"/>
      <c r="AI158" s="53" t="n"/>
    </row>
    <row r="159" ht="14.25" customHeight="1" s="65">
      <c r="A159" s="53" t="n"/>
      <c r="B159" s="53" t="n"/>
      <c r="C159" s="53" t="n"/>
      <c r="D159" s="53" t="n"/>
      <c r="E159" s="32">
        <f>IF(COUNT(K159:AG159)=0,"",ROUND((F159+G159+H159+I159+J159)/10,2))</f>
        <v/>
      </c>
      <c r="F159" s="33">
        <f>IF(COUNT(K159:AG159)=0,"",(K159*10+L159*8+M159*7+N159*5)/3)</f>
        <v/>
      </c>
      <c r="G159" s="33">
        <f>IF(COUNT(K159:AG159)=0,"",(P159*8+Q159*7+R159*5+S159*5)/3)</f>
        <v/>
      </c>
      <c r="H159" s="33">
        <f>IF(COUNT(K159:AG159)=0,"",(U159*6+V159*6+W159*4+X159*3+Y159*3+Z159*3)/3)</f>
        <v/>
      </c>
      <c r="I159" s="33">
        <f>IF(COUNT(K159:AG159)=0,"",AB159*3+AC159*2+AD159*2+AE159*1)</f>
        <v/>
      </c>
      <c r="J159" s="33">
        <f>IF(COUNT(K159:AG159)=0,"",(AF159*5+AG159*5)/3)</f>
        <v/>
      </c>
      <c r="K159" s="52" t="n"/>
      <c r="L159" s="52" t="n"/>
      <c r="M159" s="52" t="n"/>
      <c r="N159" s="52" t="n"/>
      <c r="O159" s="53" t="n"/>
      <c r="P159" s="52" t="n"/>
      <c r="Q159" s="52" t="n"/>
      <c r="R159" s="52" t="n"/>
      <c r="S159" s="52" t="n"/>
      <c r="T159" s="53" t="n"/>
      <c r="U159" s="52" t="n"/>
      <c r="V159" s="52" t="n"/>
      <c r="W159" s="52" t="n"/>
      <c r="X159" s="52" t="n"/>
      <c r="Y159" s="52" t="n"/>
      <c r="Z159" s="52" t="n"/>
      <c r="AA159" s="53" t="n"/>
      <c r="AB159" s="52" t="n"/>
      <c r="AC159" s="52" t="n"/>
      <c r="AD159" s="52" t="n"/>
      <c r="AE159" s="52" t="n"/>
      <c r="AF159" s="52" t="n"/>
      <c r="AG159" s="52" t="n"/>
      <c r="AH159" s="53" t="n"/>
      <c r="AI159" s="53" t="n"/>
    </row>
    <row r="160" ht="14.25" customHeight="1" s="65">
      <c r="A160" s="53" t="n"/>
      <c r="B160" s="53" t="n"/>
      <c r="C160" s="53" t="n"/>
      <c r="D160" s="53" t="n"/>
      <c r="E160" s="32">
        <f>IF(COUNT(K160:AG160)=0,"",ROUND((F160+G160+H160+I160+J160)/10,2))</f>
        <v/>
      </c>
      <c r="F160" s="33">
        <f>IF(COUNT(K160:AG160)=0,"",(K160*10+L160*8+M160*7+N160*5)/3)</f>
        <v/>
      </c>
      <c r="G160" s="33">
        <f>IF(COUNT(K160:AG160)=0,"",(P160*8+Q160*7+R160*5+S160*5)/3)</f>
        <v/>
      </c>
      <c r="H160" s="33">
        <f>IF(COUNT(K160:AG160)=0,"",(U160*6+V160*6+W160*4+X160*3+Y160*3+Z160*3)/3)</f>
        <v/>
      </c>
      <c r="I160" s="33">
        <f>IF(COUNT(K160:AG160)=0,"",AB160*3+AC160*2+AD160*2+AE160*1)</f>
        <v/>
      </c>
      <c r="J160" s="33">
        <f>IF(COUNT(K160:AG160)=0,"",(AF160*5+AG160*5)/3)</f>
        <v/>
      </c>
      <c r="K160" s="52" t="n"/>
      <c r="L160" s="52" t="n"/>
      <c r="M160" s="52" t="n"/>
      <c r="N160" s="52" t="n"/>
      <c r="O160" s="53" t="n"/>
      <c r="P160" s="52" t="n"/>
      <c r="Q160" s="52" t="n"/>
      <c r="R160" s="52" t="n"/>
      <c r="S160" s="52" t="n"/>
      <c r="T160" s="53" t="n"/>
      <c r="U160" s="52" t="n"/>
      <c r="V160" s="52" t="n"/>
      <c r="W160" s="52" t="n"/>
      <c r="X160" s="52" t="n"/>
      <c r="Y160" s="52" t="n"/>
      <c r="Z160" s="52" t="n"/>
      <c r="AA160" s="53" t="n"/>
      <c r="AB160" s="52" t="n"/>
      <c r="AC160" s="52" t="n"/>
      <c r="AD160" s="52" t="n"/>
      <c r="AE160" s="52" t="n"/>
      <c r="AF160" s="52" t="n"/>
      <c r="AG160" s="52" t="n"/>
      <c r="AH160" s="53" t="n"/>
      <c r="AI160" s="53" t="n"/>
    </row>
    <row r="161" ht="14.25" customHeight="1" s="65">
      <c r="A161" s="53" t="n"/>
      <c r="B161" s="53" t="n"/>
      <c r="C161" s="53" t="n"/>
      <c r="D161" s="53" t="n"/>
      <c r="E161" s="32">
        <f>IF(COUNT(K161:AG161)=0,"",ROUND((F161+G161+H161+I161+J161)/10,2))</f>
        <v/>
      </c>
      <c r="F161" s="33">
        <f>IF(COUNT(K161:AG161)=0,"",(K161*10+L161*8+M161*7+N161*5)/3)</f>
        <v/>
      </c>
      <c r="G161" s="33">
        <f>IF(COUNT(K161:AG161)=0,"",(P161*8+Q161*7+R161*5+S161*5)/3)</f>
        <v/>
      </c>
      <c r="H161" s="33">
        <f>IF(COUNT(K161:AG161)=0,"",(U161*6+V161*6+W161*4+X161*3+Y161*3+Z161*3)/3)</f>
        <v/>
      </c>
      <c r="I161" s="33">
        <f>IF(COUNT(K161:AG161)=0,"",AB161*3+AC161*2+AD161*2+AE161*1)</f>
        <v/>
      </c>
      <c r="J161" s="33">
        <f>IF(COUNT(K161:AG161)=0,"",(AF161*5+AG161*5)/3)</f>
        <v/>
      </c>
      <c r="K161" s="52" t="n"/>
      <c r="L161" s="52" t="n"/>
      <c r="M161" s="52" t="n"/>
      <c r="N161" s="52" t="n"/>
      <c r="O161" s="53" t="n"/>
      <c r="P161" s="52" t="n"/>
      <c r="Q161" s="52" t="n"/>
      <c r="R161" s="52" t="n"/>
      <c r="S161" s="52" t="n"/>
      <c r="T161" s="53" t="n"/>
      <c r="U161" s="52" t="n"/>
      <c r="V161" s="52" t="n"/>
      <c r="W161" s="52" t="n"/>
      <c r="X161" s="52" t="n"/>
      <c r="Y161" s="52" t="n"/>
      <c r="Z161" s="52" t="n"/>
      <c r="AA161" s="53" t="n"/>
      <c r="AB161" s="52" t="n"/>
      <c r="AC161" s="52" t="n"/>
      <c r="AD161" s="52" t="n"/>
      <c r="AE161" s="52" t="n"/>
      <c r="AF161" s="52" t="n"/>
      <c r="AG161" s="52" t="n"/>
      <c r="AH161" s="53" t="n"/>
      <c r="AI161" s="53" t="n"/>
    </row>
    <row r="162" ht="14.25" customHeight="1" s="65">
      <c r="A162" s="53" t="n"/>
      <c r="B162" s="53" t="n"/>
      <c r="C162" s="53" t="n"/>
      <c r="D162" s="53" t="n"/>
      <c r="E162" s="32">
        <f>IF(COUNT(K162:AG162)=0,"",ROUND((F162+G162+H162+I162+J162)/10,2))</f>
        <v/>
      </c>
      <c r="F162" s="33">
        <f>IF(COUNT(K162:AG162)=0,"",(K162*10+L162*8+M162*7+N162*5)/3)</f>
        <v/>
      </c>
      <c r="G162" s="33">
        <f>IF(COUNT(K162:AG162)=0,"",(P162*8+Q162*7+R162*5+S162*5)/3)</f>
        <v/>
      </c>
      <c r="H162" s="33">
        <f>IF(COUNT(K162:AG162)=0,"",(U162*6+V162*6+W162*4+X162*3+Y162*3+Z162*3)/3)</f>
        <v/>
      </c>
      <c r="I162" s="33">
        <f>IF(COUNT(K162:AG162)=0,"",AB162*3+AC162*2+AD162*2+AE162*1)</f>
        <v/>
      </c>
      <c r="J162" s="33">
        <f>IF(COUNT(K162:AG162)=0,"",(AF162*5+AG162*5)/3)</f>
        <v/>
      </c>
      <c r="K162" s="52" t="n"/>
      <c r="L162" s="52" t="n"/>
      <c r="M162" s="52" t="n"/>
      <c r="N162" s="52" t="n"/>
      <c r="O162" s="53" t="n"/>
      <c r="P162" s="52" t="n"/>
      <c r="Q162" s="52" t="n"/>
      <c r="R162" s="52" t="n"/>
      <c r="S162" s="52" t="n"/>
      <c r="T162" s="53" t="n"/>
      <c r="U162" s="52" t="n"/>
      <c r="V162" s="52" t="n"/>
      <c r="W162" s="52" t="n"/>
      <c r="X162" s="52" t="n"/>
      <c r="Y162" s="52" t="n"/>
      <c r="Z162" s="52" t="n"/>
      <c r="AA162" s="53" t="n"/>
      <c r="AB162" s="52" t="n"/>
      <c r="AC162" s="52" t="n"/>
      <c r="AD162" s="52" t="n"/>
      <c r="AE162" s="52" t="n"/>
      <c r="AF162" s="52" t="n"/>
      <c r="AG162" s="52" t="n"/>
      <c r="AH162" s="53" t="n"/>
      <c r="AI162" s="53" t="n"/>
    </row>
    <row r="163" ht="14.25" customHeight="1" s="65">
      <c r="A163" s="53" t="n"/>
      <c r="B163" s="53" t="n"/>
      <c r="C163" s="53" t="n"/>
      <c r="D163" s="53" t="n"/>
      <c r="E163" s="32">
        <f>IF(COUNT(K163:AG163)=0,"",ROUND((F163+G163+H163+I163+J163)/10,2))</f>
        <v/>
      </c>
      <c r="F163" s="33">
        <f>IF(COUNT(K163:AG163)=0,"",(K163*10+L163*8+M163*7+N163*5)/3)</f>
        <v/>
      </c>
      <c r="G163" s="33">
        <f>IF(COUNT(K163:AG163)=0,"",(P163*8+Q163*7+R163*5+S163*5)/3)</f>
        <v/>
      </c>
      <c r="H163" s="33">
        <f>IF(COUNT(K163:AG163)=0,"",(U163*6+V163*6+W163*4+X163*3+Y163*3+Z163*3)/3)</f>
        <v/>
      </c>
      <c r="I163" s="33">
        <f>IF(COUNT(K163:AG163)=0,"",AB163*3+AC163*2+AD163*2+AE163*1)</f>
        <v/>
      </c>
      <c r="J163" s="33">
        <f>IF(COUNT(K163:AG163)=0,"",(AF163*5+AG163*5)/3)</f>
        <v/>
      </c>
      <c r="K163" s="52" t="n"/>
      <c r="L163" s="52" t="n"/>
      <c r="M163" s="52" t="n"/>
      <c r="N163" s="52" t="n"/>
      <c r="O163" s="53" t="n"/>
      <c r="P163" s="52" t="n"/>
      <c r="Q163" s="52" t="n"/>
      <c r="R163" s="52" t="n"/>
      <c r="S163" s="52" t="n"/>
      <c r="T163" s="53" t="n"/>
      <c r="U163" s="52" t="n"/>
      <c r="V163" s="52" t="n"/>
      <c r="W163" s="52" t="n"/>
      <c r="X163" s="52" t="n"/>
      <c r="Y163" s="52" t="n"/>
      <c r="Z163" s="52" t="n"/>
      <c r="AA163" s="53" t="n"/>
      <c r="AB163" s="52" t="n"/>
      <c r="AC163" s="52" t="n"/>
      <c r="AD163" s="52" t="n"/>
      <c r="AE163" s="52" t="n"/>
      <c r="AF163" s="52" t="n"/>
      <c r="AG163" s="52" t="n"/>
      <c r="AH163" s="53" t="n"/>
      <c r="AI163" s="53" t="n"/>
    </row>
    <row r="164" ht="14.25" customHeight="1" s="65">
      <c r="A164" s="53" t="n"/>
      <c r="B164" s="53" t="n"/>
      <c r="C164" s="53" t="n"/>
      <c r="D164" s="53" t="n"/>
      <c r="E164" s="32">
        <f>IF(COUNT(K164:AG164)=0,"",ROUND((F164+G164+H164+I164+J164)/10,2))</f>
        <v/>
      </c>
      <c r="F164" s="33">
        <f>IF(COUNT(K164:AG164)=0,"",(K164*10+L164*8+M164*7+N164*5)/3)</f>
        <v/>
      </c>
      <c r="G164" s="33">
        <f>IF(COUNT(K164:AG164)=0,"",(P164*8+Q164*7+R164*5+S164*5)/3)</f>
        <v/>
      </c>
      <c r="H164" s="33">
        <f>IF(COUNT(K164:AG164)=0,"",(U164*6+V164*6+W164*4+X164*3+Y164*3+Z164*3)/3)</f>
        <v/>
      </c>
      <c r="I164" s="33">
        <f>IF(COUNT(K164:AG164)=0,"",AB164*3+AC164*2+AD164*2+AE164*1)</f>
        <v/>
      </c>
      <c r="J164" s="33">
        <f>IF(COUNT(K164:AG164)=0,"",(AF164*5+AG164*5)/3)</f>
        <v/>
      </c>
      <c r="K164" s="52" t="n"/>
      <c r="L164" s="52" t="n"/>
      <c r="M164" s="52" t="n"/>
      <c r="N164" s="52" t="n"/>
      <c r="O164" s="53" t="n"/>
      <c r="P164" s="52" t="n"/>
      <c r="Q164" s="52" t="n"/>
      <c r="R164" s="52" t="n"/>
      <c r="S164" s="52" t="n"/>
      <c r="T164" s="53" t="n"/>
      <c r="U164" s="52" t="n"/>
      <c r="V164" s="52" t="n"/>
      <c r="W164" s="52" t="n"/>
      <c r="X164" s="52" t="n"/>
      <c r="Y164" s="52" t="n"/>
      <c r="Z164" s="52" t="n"/>
      <c r="AA164" s="53" t="n"/>
      <c r="AB164" s="52" t="n"/>
      <c r="AC164" s="52" t="n"/>
      <c r="AD164" s="52" t="n"/>
      <c r="AE164" s="52" t="n"/>
      <c r="AF164" s="52" t="n"/>
      <c r="AG164" s="52" t="n"/>
      <c r="AH164" s="53" t="n"/>
      <c r="AI164" s="53" t="n"/>
    </row>
    <row r="165" ht="14.25" customHeight="1" s="65">
      <c r="A165" s="53" t="n"/>
      <c r="B165" s="53" t="n"/>
      <c r="C165" s="53" t="n"/>
      <c r="D165" s="53" t="n"/>
      <c r="E165" s="32">
        <f>IF(COUNT(K165:AG165)=0,"",ROUND((F165+G165+H165+I165+J165)/10,2))</f>
        <v/>
      </c>
      <c r="F165" s="33">
        <f>IF(COUNT(K165:AG165)=0,"",(K165*10+L165*8+M165*7+N165*5)/3)</f>
        <v/>
      </c>
      <c r="G165" s="33">
        <f>IF(COUNT(K165:AG165)=0,"",(P165*8+Q165*7+R165*5+S165*5)/3)</f>
        <v/>
      </c>
      <c r="H165" s="33">
        <f>IF(COUNT(K165:AG165)=0,"",(U165*6+V165*6+W165*4+X165*3+Y165*3+Z165*3)/3)</f>
        <v/>
      </c>
      <c r="I165" s="33">
        <f>IF(COUNT(K165:AG165)=0,"",AB165*3+AC165*2+AD165*2+AE165*1)</f>
        <v/>
      </c>
      <c r="J165" s="33">
        <f>IF(COUNT(K165:AG165)=0,"",(AF165*5+AG165*5)/3)</f>
        <v/>
      </c>
      <c r="K165" s="52" t="n"/>
      <c r="L165" s="52" t="n"/>
      <c r="M165" s="52" t="n"/>
      <c r="N165" s="52" t="n"/>
      <c r="O165" s="53" t="n"/>
      <c r="P165" s="52" t="n"/>
      <c r="Q165" s="52" t="n"/>
      <c r="R165" s="52" t="n"/>
      <c r="S165" s="52" t="n"/>
      <c r="T165" s="53" t="n"/>
      <c r="U165" s="52" t="n"/>
      <c r="V165" s="52" t="n"/>
      <c r="W165" s="52" t="n"/>
      <c r="X165" s="52" t="n"/>
      <c r="Y165" s="52" t="n"/>
      <c r="Z165" s="52" t="n"/>
      <c r="AA165" s="53" t="n"/>
      <c r="AB165" s="52" t="n"/>
      <c r="AC165" s="52" t="n"/>
      <c r="AD165" s="52" t="n"/>
      <c r="AE165" s="52" t="n"/>
      <c r="AF165" s="52" t="n"/>
      <c r="AG165" s="52" t="n"/>
      <c r="AH165" s="53" t="n"/>
      <c r="AI165" s="53" t="n"/>
    </row>
    <row r="166" ht="14.25" customHeight="1" s="65">
      <c r="A166" s="53" t="n"/>
      <c r="B166" s="53" t="n"/>
      <c r="C166" s="53" t="n"/>
      <c r="D166" s="53" t="n"/>
      <c r="E166" s="32">
        <f>IF(COUNT(K166:AG166)=0,"",ROUND((F166+G166+H166+I166+J166)/10,2))</f>
        <v/>
      </c>
      <c r="F166" s="33">
        <f>IF(COUNT(K166:AG166)=0,"",(K166*10+L166*8+M166*7+N166*5)/3)</f>
        <v/>
      </c>
      <c r="G166" s="33">
        <f>IF(COUNT(K166:AG166)=0,"",(P166*8+Q166*7+R166*5+S166*5)/3)</f>
        <v/>
      </c>
      <c r="H166" s="33">
        <f>IF(COUNT(K166:AG166)=0,"",(U166*6+V166*6+W166*4+X166*3+Y166*3+Z166*3)/3)</f>
        <v/>
      </c>
      <c r="I166" s="33">
        <f>IF(COUNT(K166:AG166)=0,"",AB166*3+AC166*2+AD166*2+AE166*1)</f>
        <v/>
      </c>
      <c r="J166" s="33">
        <f>IF(COUNT(K166:AG166)=0,"",(AF166*5+AG166*5)/3)</f>
        <v/>
      </c>
      <c r="K166" s="52" t="n"/>
      <c r="L166" s="52" t="n"/>
      <c r="M166" s="52" t="n"/>
      <c r="N166" s="52" t="n"/>
      <c r="O166" s="53" t="n"/>
      <c r="P166" s="52" t="n"/>
      <c r="Q166" s="52" t="n"/>
      <c r="R166" s="52" t="n"/>
      <c r="S166" s="52" t="n"/>
      <c r="T166" s="53" t="n"/>
      <c r="U166" s="52" t="n"/>
      <c r="V166" s="52" t="n"/>
      <c r="W166" s="52" t="n"/>
      <c r="X166" s="52" t="n"/>
      <c r="Y166" s="52" t="n"/>
      <c r="Z166" s="52" t="n"/>
      <c r="AA166" s="53" t="n"/>
      <c r="AB166" s="52" t="n"/>
      <c r="AC166" s="52" t="n"/>
      <c r="AD166" s="52" t="n"/>
      <c r="AE166" s="52" t="n"/>
      <c r="AF166" s="52" t="n"/>
      <c r="AG166" s="52" t="n"/>
      <c r="AH166" s="53" t="n"/>
      <c r="AI166" s="53" t="n"/>
    </row>
    <row r="167" ht="14.25" customHeight="1" s="65">
      <c r="A167" s="53" t="n"/>
      <c r="B167" s="53" t="n"/>
      <c r="C167" s="53" t="n"/>
      <c r="D167" s="53" t="n"/>
      <c r="E167" s="32">
        <f>IF(COUNT(K167:AG167)=0,"",ROUND((F167+G167+H167+I167+J167)/10,2))</f>
        <v/>
      </c>
      <c r="F167" s="33">
        <f>IF(COUNT(K167:AG167)=0,"",(K167*10+L167*8+M167*7+N167*5)/3)</f>
        <v/>
      </c>
      <c r="G167" s="33">
        <f>IF(COUNT(K167:AG167)=0,"",(P167*8+Q167*7+R167*5+S167*5)/3)</f>
        <v/>
      </c>
      <c r="H167" s="33">
        <f>IF(COUNT(K167:AG167)=0,"",(U167*6+V167*6+W167*4+X167*3+Y167*3+Z167*3)/3)</f>
        <v/>
      </c>
      <c r="I167" s="33">
        <f>IF(COUNT(K167:AG167)=0,"",AB167*3+AC167*2+AD167*2+AE167*1)</f>
        <v/>
      </c>
      <c r="J167" s="33">
        <f>IF(COUNT(K167:AG167)=0,"",(AF167*5+AG167*5)/3)</f>
        <v/>
      </c>
      <c r="K167" s="52" t="n"/>
      <c r="L167" s="52" t="n"/>
      <c r="M167" s="52" t="n"/>
      <c r="N167" s="52" t="n"/>
      <c r="O167" s="53" t="n"/>
      <c r="P167" s="52" t="n"/>
      <c r="Q167" s="52" t="n"/>
      <c r="R167" s="52" t="n"/>
      <c r="S167" s="52" t="n"/>
      <c r="T167" s="53" t="n"/>
      <c r="U167" s="52" t="n"/>
      <c r="V167" s="52" t="n"/>
      <c r="W167" s="52" t="n"/>
      <c r="X167" s="52" t="n"/>
      <c r="Y167" s="52" t="n"/>
      <c r="Z167" s="52" t="n"/>
      <c r="AA167" s="53" t="n"/>
      <c r="AB167" s="52" t="n"/>
      <c r="AC167" s="52" t="n"/>
      <c r="AD167" s="52" t="n"/>
      <c r="AE167" s="52" t="n"/>
      <c r="AF167" s="52" t="n"/>
      <c r="AG167" s="52" t="n"/>
      <c r="AH167" s="53" t="n"/>
      <c r="AI167" s="53" t="n"/>
    </row>
    <row r="168" ht="14.25" customHeight="1" s="65">
      <c r="A168" s="53" t="n"/>
      <c r="B168" s="53" t="n"/>
      <c r="C168" s="53" t="n"/>
      <c r="D168" s="53" t="n"/>
      <c r="E168" s="32">
        <f>IF(COUNT(K168:AG168)=0,"",ROUND((F168+G168+H168+I168+J168)/10,2))</f>
        <v/>
      </c>
      <c r="F168" s="33">
        <f>IF(COUNT(K168:AG168)=0,"",(K168*10+L168*8+M168*7+N168*5)/3)</f>
        <v/>
      </c>
      <c r="G168" s="33">
        <f>IF(COUNT(K168:AG168)=0,"",(P168*8+Q168*7+R168*5+S168*5)/3)</f>
        <v/>
      </c>
      <c r="H168" s="33">
        <f>IF(COUNT(K168:AG168)=0,"",(U168*6+V168*6+W168*4+X168*3+Y168*3+Z168*3)/3)</f>
        <v/>
      </c>
      <c r="I168" s="33">
        <f>IF(COUNT(K168:AG168)=0,"",AB168*3+AC168*2+AD168*2+AE168*1)</f>
        <v/>
      </c>
      <c r="J168" s="33">
        <f>IF(COUNT(K168:AG168)=0,"",(AF168*5+AG168*5)/3)</f>
        <v/>
      </c>
      <c r="K168" s="52" t="n"/>
      <c r="L168" s="52" t="n"/>
      <c r="M168" s="52" t="n"/>
      <c r="N168" s="52" t="n"/>
      <c r="O168" s="53" t="n"/>
      <c r="P168" s="52" t="n"/>
      <c r="Q168" s="52" t="n"/>
      <c r="R168" s="52" t="n"/>
      <c r="S168" s="52" t="n"/>
      <c r="T168" s="53" t="n"/>
      <c r="U168" s="52" t="n"/>
      <c r="V168" s="52" t="n"/>
      <c r="W168" s="52" t="n"/>
      <c r="X168" s="52" t="n"/>
      <c r="Y168" s="52" t="n"/>
      <c r="Z168" s="52" t="n"/>
      <c r="AA168" s="53" t="n"/>
      <c r="AB168" s="52" t="n"/>
      <c r="AC168" s="52" t="n"/>
      <c r="AD168" s="52" t="n"/>
      <c r="AE168" s="52" t="n"/>
      <c r="AF168" s="52" t="n"/>
      <c r="AG168" s="52" t="n"/>
      <c r="AH168" s="53" t="n"/>
      <c r="AI168" s="53" t="n"/>
    </row>
    <row r="169" ht="14.25" customHeight="1" s="65">
      <c r="A169" s="53" t="n"/>
      <c r="B169" s="53" t="n"/>
      <c r="C169" s="53" t="n"/>
      <c r="D169" s="53" t="n"/>
      <c r="E169" s="32">
        <f>IF(COUNT(K169:AG169)=0,"",ROUND((F169+G169+H169+I169+J169)/10,2))</f>
        <v/>
      </c>
      <c r="F169" s="33">
        <f>IF(COUNT(K169:AG169)=0,"",(K169*10+L169*8+M169*7+N169*5)/3)</f>
        <v/>
      </c>
      <c r="G169" s="33">
        <f>IF(COUNT(K169:AG169)=0,"",(P169*8+Q169*7+R169*5+S169*5)/3)</f>
        <v/>
      </c>
      <c r="H169" s="33">
        <f>IF(COUNT(K169:AG169)=0,"",(U169*6+V169*6+W169*4+X169*3+Y169*3+Z169*3)/3)</f>
        <v/>
      </c>
      <c r="I169" s="33">
        <f>IF(COUNT(K169:AG169)=0,"",AB169*3+AC169*2+AD169*2+AE169*1)</f>
        <v/>
      </c>
      <c r="J169" s="33">
        <f>IF(COUNT(K169:AG169)=0,"",(AF169*5+AG169*5)/3)</f>
        <v/>
      </c>
      <c r="K169" s="52" t="n"/>
      <c r="L169" s="52" t="n"/>
      <c r="M169" s="52" t="n"/>
      <c r="N169" s="52" t="n"/>
      <c r="O169" s="53" t="n"/>
      <c r="P169" s="52" t="n"/>
      <c r="Q169" s="52" t="n"/>
      <c r="R169" s="52" t="n"/>
      <c r="S169" s="52" t="n"/>
      <c r="T169" s="53" t="n"/>
      <c r="U169" s="52" t="n"/>
      <c r="V169" s="52" t="n"/>
      <c r="W169" s="52" t="n"/>
      <c r="X169" s="52" t="n"/>
      <c r="Y169" s="52" t="n"/>
      <c r="Z169" s="52" t="n"/>
      <c r="AA169" s="53" t="n"/>
      <c r="AB169" s="52" t="n"/>
      <c r="AC169" s="52" t="n"/>
      <c r="AD169" s="52" t="n"/>
      <c r="AE169" s="52" t="n"/>
      <c r="AF169" s="52" t="n"/>
      <c r="AG169" s="52" t="n"/>
      <c r="AH169" s="53" t="n"/>
      <c r="AI169" s="53" t="n"/>
    </row>
    <row r="170" ht="14.25" customHeight="1" s="65">
      <c r="A170" s="53" t="n"/>
      <c r="B170" s="53" t="n"/>
      <c r="C170" s="53" t="n"/>
      <c r="D170" s="53" t="n"/>
      <c r="E170" s="32">
        <f>IF(COUNT(K170:AG170)=0,"",ROUND((F170+G170+H170+I170+J170)/10,2))</f>
        <v/>
      </c>
      <c r="F170" s="33">
        <f>IF(COUNT(K170:AG170)=0,"",(K170*10+L170*8+M170*7+N170*5)/3)</f>
        <v/>
      </c>
      <c r="G170" s="33">
        <f>IF(COUNT(K170:AG170)=0,"",(P170*8+Q170*7+R170*5+S170*5)/3)</f>
        <v/>
      </c>
      <c r="H170" s="33">
        <f>IF(COUNT(K170:AG170)=0,"",(U170*6+V170*6+W170*4+X170*3+Y170*3+Z170*3)/3)</f>
        <v/>
      </c>
      <c r="I170" s="33">
        <f>IF(COUNT(K170:AG170)=0,"",AB170*3+AC170*2+AD170*2+AE170*1)</f>
        <v/>
      </c>
      <c r="J170" s="33">
        <f>IF(COUNT(K170:AG170)=0,"",(AF170*5+AG170*5)/3)</f>
        <v/>
      </c>
      <c r="K170" s="52" t="n"/>
      <c r="L170" s="52" t="n"/>
      <c r="M170" s="52" t="n"/>
      <c r="N170" s="52" t="n"/>
      <c r="O170" s="53" t="n"/>
      <c r="P170" s="52" t="n"/>
      <c r="Q170" s="52" t="n"/>
      <c r="R170" s="52" t="n"/>
      <c r="S170" s="52" t="n"/>
      <c r="T170" s="53" t="n"/>
      <c r="U170" s="52" t="n"/>
      <c r="V170" s="52" t="n"/>
      <c r="W170" s="52" t="n"/>
      <c r="X170" s="52" t="n"/>
      <c r="Y170" s="52" t="n"/>
      <c r="Z170" s="52" t="n"/>
      <c r="AA170" s="53" t="n"/>
      <c r="AB170" s="52" t="n"/>
      <c r="AC170" s="52" t="n"/>
      <c r="AD170" s="52" t="n"/>
      <c r="AE170" s="52" t="n"/>
      <c r="AF170" s="52" t="n"/>
      <c r="AG170" s="52" t="n"/>
      <c r="AH170" s="53" t="n"/>
      <c r="AI170" s="53" t="n"/>
    </row>
    <row r="171" ht="14.25" customHeight="1" s="65">
      <c r="A171" s="53" t="n"/>
      <c r="B171" s="53" t="n"/>
      <c r="C171" s="53" t="n"/>
      <c r="D171" s="53" t="n"/>
      <c r="E171" s="32">
        <f>IF(COUNT(K171:AG171)=0,"",ROUND((F171+G171+H171+I171+J171)/10,2))</f>
        <v/>
      </c>
      <c r="F171" s="33">
        <f>IF(COUNT(K171:AG171)=0,"",(K171*10+L171*8+M171*7+N171*5)/3)</f>
        <v/>
      </c>
      <c r="G171" s="33">
        <f>IF(COUNT(K171:AG171)=0,"",(P171*8+Q171*7+R171*5+S171*5)/3)</f>
        <v/>
      </c>
      <c r="H171" s="33">
        <f>IF(COUNT(K171:AG171)=0,"",(U171*6+V171*6+W171*4+X171*3+Y171*3+Z171*3)/3)</f>
        <v/>
      </c>
      <c r="I171" s="33">
        <f>IF(COUNT(K171:AG171)=0,"",AB171*3+AC171*2+AD171*2+AE171*1)</f>
        <v/>
      </c>
      <c r="J171" s="33">
        <f>IF(COUNT(K171:AG171)=0,"",(AF171*5+AG171*5)/3)</f>
        <v/>
      </c>
      <c r="K171" s="52" t="n"/>
      <c r="L171" s="52" t="n"/>
      <c r="M171" s="52" t="n"/>
      <c r="N171" s="52" t="n"/>
      <c r="O171" s="53" t="n"/>
      <c r="P171" s="52" t="n"/>
      <c r="Q171" s="52" t="n"/>
      <c r="R171" s="52" t="n"/>
      <c r="S171" s="52" t="n"/>
      <c r="T171" s="53" t="n"/>
      <c r="U171" s="52" t="n"/>
      <c r="V171" s="52" t="n"/>
      <c r="W171" s="52" t="n"/>
      <c r="X171" s="52" t="n"/>
      <c r="Y171" s="52" t="n"/>
      <c r="Z171" s="52" t="n"/>
      <c r="AA171" s="53" t="n"/>
      <c r="AB171" s="52" t="n"/>
      <c r="AC171" s="52" t="n"/>
      <c r="AD171" s="52" t="n"/>
      <c r="AE171" s="52" t="n"/>
      <c r="AF171" s="52" t="n"/>
      <c r="AG171" s="52" t="n"/>
      <c r="AH171" s="53" t="n"/>
      <c r="AI171" s="53" t="n"/>
    </row>
    <row r="172" ht="14.25" customHeight="1" s="65">
      <c r="A172" s="53" t="n"/>
      <c r="B172" s="53" t="n"/>
      <c r="C172" s="53" t="n"/>
      <c r="D172" s="53" t="n"/>
      <c r="E172" s="32">
        <f>IF(COUNT(K172:AG172)=0,"",ROUND((F172+G172+H172+I172+J172)/10,2))</f>
        <v/>
      </c>
      <c r="F172" s="33">
        <f>IF(COUNT(K172:AG172)=0,"",(K172*10+L172*8+M172*7+N172*5)/3)</f>
        <v/>
      </c>
      <c r="G172" s="33">
        <f>IF(COUNT(K172:AG172)=0,"",(P172*8+Q172*7+R172*5+S172*5)/3)</f>
        <v/>
      </c>
      <c r="H172" s="33">
        <f>IF(COUNT(K172:AG172)=0,"",(U172*6+V172*6+W172*4+X172*3+Y172*3+Z172*3)/3)</f>
        <v/>
      </c>
      <c r="I172" s="33">
        <f>IF(COUNT(K172:AG172)=0,"",AB172*3+AC172*2+AD172*2+AE172*1)</f>
        <v/>
      </c>
      <c r="J172" s="33">
        <f>IF(COUNT(K172:AG172)=0,"",(AF172*5+AG172*5)/3)</f>
        <v/>
      </c>
      <c r="K172" s="52" t="n"/>
      <c r="L172" s="52" t="n"/>
      <c r="M172" s="52" t="n"/>
      <c r="N172" s="52" t="n"/>
      <c r="O172" s="53" t="n"/>
      <c r="P172" s="52" t="n"/>
      <c r="Q172" s="52" t="n"/>
      <c r="R172" s="52" t="n"/>
      <c r="S172" s="52" t="n"/>
      <c r="T172" s="53" t="n"/>
      <c r="U172" s="52" t="n"/>
      <c r="V172" s="52" t="n"/>
      <c r="W172" s="52" t="n"/>
      <c r="X172" s="52" t="n"/>
      <c r="Y172" s="52" t="n"/>
      <c r="Z172" s="52" t="n"/>
      <c r="AA172" s="53" t="n"/>
      <c r="AB172" s="52" t="n"/>
      <c r="AC172" s="52" t="n"/>
      <c r="AD172" s="52" t="n"/>
      <c r="AE172" s="52" t="n"/>
      <c r="AF172" s="52" t="n"/>
      <c r="AG172" s="52" t="n"/>
      <c r="AH172" s="53" t="n"/>
      <c r="AI172" s="53" t="n"/>
    </row>
    <row r="173" ht="14.25" customHeight="1" s="65">
      <c r="A173" s="53" t="n"/>
      <c r="B173" s="53" t="n"/>
      <c r="C173" s="53" t="n"/>
      <c r="D173" s="53" t="n"/>
      <c r="E173" s="32">
        <f>IF(COUNT(K173:AG173)=0,"",ROUND((F173+G173+H173+I173+J173)/10,2))</f>
        <v/>
      </c>
      <c r="F173" s="33">
        <f>IF(COUNT(K173:AG173)=0,"",(K173*10+L173*8+M173*7+N173*5)/3)</f>
        <v/>
      </c>
      <c r="G173" s="33">
        <f>IF(COUNT(K173:AG173)=0,"",(P173*8+Q173*7+R173*5+S173*5)/3)</f>
        <v/>
      </c>
      <c r="H173" s="33">
        <f>IF(COUNT(K173:AG173)=0,"",(U173*6+V173*6+W173*4+X173*3+Y173*3+Z173*3)/3)</f>
        <v/>
      </c>
      <c r="I173" s="33">
        <f>IF(COUNT(K173:AG173)=0,"",AB173*3+AC173*2+AD173*2+AE173*1)</f>
        <v/>
      </c>
      <c r="J173" s="33">
        <f>IF(COUNT(K173:AG173)=0,"",(AF173*5+AG173*5)/3)</f>
        <v/>
      </c>
      <c r="K173" s="52" t="n"/>
      <c r="L173" s="52" t="n"/>
      <c r="M173" s="52" t="n"/>
      <c r="N173" s="52" t="n"/>
      <c r="O173" s="53" t="n"/>
      <c r="P173" s="52" t="n"/>
      <c r="Q173" s="52" t="n"/>
      <c r="R173" s="52" t="n"/>
      <c r="S173" s="52" t="n"/>
      <c r="T173" s="53" t="n"/>
      <c r="U173" s="52" t="n"/>
      <c r="V173" s="52" t="n"/>
      <c r="W173" s="52" t="n"/>
      <c r="X173" s="52" t="n"/>
      <c r="Y173" s="52" t="n"/>
      <c r="Z173" s="52" t="n"/>
      <c r="AA173" s="53" t="n"/>
      <c r="AB173" s="52" t="n"/>
      <c r="AC173" s="52" t="n"/>
      <c r="AD173" s="52" t="n"/>
      <c r="AE173" s="52" t="n"/>
      <c r="AF173" s="52" t="n"/>
      <c r="AG173" s="52" t="n"/>
      <c r="AH173" s="53" t="n"/>
      <c r="AI173" s="53" t="n"/>
    </row>
    <row r="174" ht="14.25" customHeight="1" s="65">
      <c r="A174" s="53" t="n"/>
      <c r="B174" s="53" t="n"/>
      <c r="C174" s="53" t="n"/>
      <c r="D174" s="53" t="n"/>
      <c r="E174" s="32">
        <f>IF(COUNT(K174:AG174)=0,"",ROUND((F174+G174+H174+I174+J174)/10,2))</f>
        <v/>
      </c>
      <c r="F174" s="33">
        <f>IF(COUNT(K174:AG174)=0,"",(K174*10+L174*8+M174*7+N174*5)/3)</f>
        <v/>
      </c>
      <c r="G174" s="33">
        <f>IF(COUNT(K174:AG174)=0,"",(P174*8+Q174*7+R174*5+S174*5)/3)</f>
        <v/>
      </c>
      <c r="H174" s="33">
        <f>IF(COUNT(K174:AG174)=0,"",(U174*6+V174*6+W174*4+X174*3+Y174*3+Z174*3)/3)</f>
        <v/>
      </c>
      <c r="I174" s="33">
        <f>IF(COUNT(K174:AG174)=0,"",AB174*3+AC174*2+AD174*2+AE174*1)</f>
        <v/>
      </c>
      <c r="J174" s="33">
        <f>IF(COUNT(K174:AG174)=0,"",(AF174*5+AG174*5)/3)</f>
        <v/>
      </c>
      <c r="K174" s="52" t="n"/>
      <c r="L174" s="52" t="n"/>
      <c r="M174" s="52" t="n"/>
      <c r="N174" s="52" t="n"/>
      <c r="O174" s="53" t="n"/>
      <c r="P174" s="52" t="n"/>
      <c r="Q174" s="52" t="n"/>
      <c r="R174" s="52" t="n"/>
      <c r="S174" s="52" t="n"/>
      <c r="T174" s="53" t="n"/>
      <c r="U174" s="52" t="n"/>
      <c r="V174" s="52" t="n"/>
      <c r="W174" s="52" t="n"/>
      <c r="X174" s="52" t="n"/>
      <c r="Y174" s="52" t="n"/>
      <c r="Z174" s="52" t="n"/>
      <c r="AA174" s="53" t="n"/>
      <c r="AB174" s="52" t="n"/>
      <c r="AC174" s="52" t="n"/>
      <c r="AD174" s="52" t="n"/>
      <c r="AE174" s="52" t="n"/>
      <c r="AF174" s="52" t="n"/>
      <c r="AG174" s="52" t="n"/>
      <c r="AH174" s="53" t="n"/>
      <c r="AI174" s="53" t="n"/>
    </row>
    <row r="175" ht="14.25" customHeight="1" s="65">
      <c r="A175" s="53" t="n"/>
      <c r="B175" s="53" t="n"/>
      <c r="C175" s="53" t="n"/>
      <c r="D175" s="53" t="n"/>
      <c r="E175" s="32">
        <f>IF(COUNT(K175:AG175)=0,"",ROUND((F175+G175+H175+I175+J175)/10,2))</f>
        <v/>
      </c>
      <c r="F175" s="33">
        <f>IF(COUNT(K175:AG175)=0,"",(K175*10+L175*8+M175*7+N175*5)/3)</f>
        <v/>
      </c>
      <c r="G175" s="33">
        <f>IF(COUNT(K175:AG175)=0,"",(P175*8+Q175*7+R175*5+S175*5)/3)</f>
        <v/>
      </c>
      <c r="H175" s="33">
        <f>IF(COUNT(K175:AG175)=0,"",(U175*6+V175*6+W175*4+X175*3+Y175*3+Z175*3)/3)</f>
        <v/>
      </c>
      <c r="I175" s="33">
        <f>IF(COUNT(K175:AG175)=0,"",AB175*3+AC175*2+AD175*2+AE175*1)</f>
        <v/>
      </c>
      <c r="J175" s="33">
        <f>IF(COUNT(K175:AG175)=0,"",(AF175*5+AG175*5)/3)</f>
        <v/>
      </c>
      <c r="K175" s="52" t="n"/>
      <c r="L175" s="52" t="n"/>
      <c r="M175" s="52" t="n"/>
      <c r="N175" s="52" t="n"/>
      <c r="O175" s="53" t="n"/>
      <c r="P175" s="52" t="n"/>
      <c r="Q175" s="52" t="n"/>
      <c r="R175" s="52" t="n"/>
      <c r="S175" s="52" t="n"/>
      <c r="T175" s="53" t="n"/>
      <c r="U175" s="52" t="n"/>
      <c r="V175" s="52" t="n"/>
      <c r="W175" s="52" t="n"/>
      <c r="X175" s="52" t="n"/>
      <c r="Y175" s="52" t="n"/>
      <c r="Z175" s="52" t="n"/>
      <c r="AA175" s="53" t="n"/>
      <c r="AB175" s="52" t="n"/>
      <c r="AC175" s="52" t="n"/>
      <c r="AD175" s="52" t="n"/>
      <c r="AE175" s="52" t="n"/>
      <c r="AF175" s="52" t="n"/>
      <c r="AG175" s="52" t="n"/>
      <c r="AH175" s="53" t="n"/>
      <c r="AI175" s="53" t="n"/>
    </row>
    <row r="176" ht="14.25" customHeight="1" s="65">
      <c r="A176" s="53" t="n"/>
      <c r="B176" s="53" t="n"/>
      <c r="C176" s="53" t="n"/>
      <c r="D176" s="53" t="n"/>
      <c r="E176" s="32">
        <f>IF(COUNT(K176:AG176)=0,"",ROUND((F176+G176+H176+I176+J176)/10,2))</f>
        <v/>
      </c>
      <c r="F176" s="33">
        <f>IF(COUNT(K176:AG176)=0,"",(K176*10+L176*8+M176*7+N176*5)/3)</f>
        <v/>
      </c>
      <c r="G176" s="33">
        <f>IF(COUNT(K176:AG176)=0,"",(P176*8+Q176*7+R176*5+S176*5)/3)</f>
        <v/>
      </c>
      <c r="H176" s="33">
        <f>IF(COUNT(K176:AG176)=0,"",(U176*6+V176*6+W176*4+X176*3+Y176*3+Z176*3)/3)</f>
        <v/>
      </c>
      <c r="I176" s="33">
        <f>IF(COUNT(K176:AG176)=0,"",AB176*3+AC176*2+AD176*2+AE176*1)</f>
        <v/>
      </c>
      <c r="J176" s="33">
        <f>IF(COUNT(K176:AG176)=0,"",(AF176*5+AG176*5)/3)</f>
        <v/>
      </c>
      <c r="K176" s="52" t="n"/>
      <c r="L176" s="52" t="n"/>
      <c r="M176" s="52" t="n"/>
      <c r="N176" s="52" t="n"/>
      <c r="O176" s="53" t="n"/>
      <c r="P176" s="52" t="n"/>
      <c r="Q176" s="52" t="n"/>
      <c r="R176" s="52" t="n"/>
      <c r="S176" s="52" t="n"/>
      <c r="T176" s="53" t="n"/>
      <c r="U176" s="52" t="n"/>
      <c r="V176" s="52" t="n"/>
      <c r="W176" s="52" t="n"/>
      <c r="X176" s="52" t="n"/>
      <c r="Y176" s="52" t="n"/>
      <c r="Z176" s="52" t="n"/>
      <c r="AA176" s="53" t="n"/>
      <c r="AB176" s="52" t="n"/>
      <c r="AC176" s="52" t="n"/>
      <c r="AD176" s="52" t="n"/>
      <c r="AE176" s="52" t="n"/>
      <c r="AF176" s="52" t="n"/>
      <c r="AG176" s="52" t="n"/>
      <c r="AH176" s="53" t="n"/>
      <c r="AI176" s="53" t="n"/>
    </row>
    <row r="177" ht="14.25" customHeight="1" s="65">
      <c r="A177" s="53" t="n"/>
      <c r="B177" s="53" t="n"/>
      <c r="C177" s="53" t="n"/>
      <c r="D177" s="53" t="n"/>
      <c r="E177" s="32">
        <f>IF(COUNT(K177:AG177)=0,"",ROUND((F177+G177+H177+I177+J177)/10,2))</f>
        <v/>
      </c>
      <c r="F177" s="33">
        <f>IF(COUNT(K177:AG177)=0,"",(K177*10+L177*8+M177*7+N177*5)/3)</f>
        <v/>
      </c>
      <c r="G177" s="33">
        <f>IF(COUNT(K177:AG177)=0,"",(P177*8+Q177*7+R177*5+S177*5)/3)</f>
        <v/>
      </c>
      <c r="H177" s="33">
        <f>IF(COUNT(K177:AG177)=0,"",(U177*6+V177*6+W177*4+X177*3+Y177*3+Z177*3)/3)</f>
        <v/>
      </c>
      <c r="I177" s="33">
        <f>IF(COUNT(K177:AG177)=0,"",AB177*3+AC177*2+AD177*2+AE177*1)</f>
        <v/>
      </c>
      <c r="J177" s="33">
        <f>IF(COUNT(K177:AG177)=0,"",(AF177*5+AG177*5)/3)</f>
        <v/>
      </c>
      <c r="K177" s="52" t="n"/>
      <c r="L177" s="52" t="n"/>
      <c r="M177" s="52" t="n"/>
      <c r="N177" s="52" t="n"/>
      <c r="O177" s="53" t="n"/>
      <c r="P177" s="52" t="n"/>
      <c r="Q177" s="52" t="n"/>
      <c r="R177" s="52" t="n"/>
      <c r="S177" s="52" t="n"/>
      <c r="T177" s="53" t="n"/>
      <c r="U177" s="52" t="n"/>
      <c r="V177" s="52" t="n"/>
      <c r="W177" s="52" t="n"/>
      <c r="X177" s="52" t="n"/>
      <c r="Y177" s="52" t="n"/>
      <c r="Z177" s="52" t="n"/>
      <c r="AA177" s="53" t="n"/>
      <c r="AB177" s="52" t="n"/>
      <c r="AC177" s="52" t="n"/>
      <c r="AD177" s="52" t="n"/>
      <c r="AE177" s="52" t="n"/>
      <c r="AF177" s="52" t="n"/>
      <c r="AG177" s="52" t="n"/>
      <c r="AH177" s="53" t="n"/>
      <c r="AI177" s="53" t="n"/>
    </row>
    <row r="178" ht="14.25" customHeight="1" s="65">
      <c r="A178" s="53" t="n"/>
      <c r="B178" s="53" t="n"/>
      <c r="C178" s="53" t="n"/>
      <c r="D178" s="53" t="n"/>
      <c r="E178" s="32">
        <f>IF(COUNT(K178:AG178)=0,"",ROUND((F178+G178+H178+I178+J178)/10,2))</f>
        <v/>
      </c>
      <c r="F178" s="33">
        <f>IF(COUNT(K178:AG178)=0,"",(K178*10+L178*8+M178*7+N178*5)/3)</f>
        <v/>
      </c>
      <c r="G178" s="33">
        <f>IF(COUNT(K178:AG178)=0,"",(P178*8+Q178*7+R178*5+S178*5)/3)</f>
        <v/>
      </c>
      <c r="H178" s="33">
        <f>IF(COUNT(K178:AG178)=0,"",(U178*6+V178*6+W178*4+X178*3+Y178*3+Z178*3)/3)</f>
        <v/>
      </c>
      <c r="I178" s="33">
        <f>IF(COUNT(K178:AG178)=0,"",AB178*3+AC178*2+AD178*2+AE178*1)</f>
        <v/>
      </c>
      <c r="J178" s="33">
        <f>IF(COUNT(K178:AG178)=0,"",(AF178*5+AG178*5)/3)</f>
        <v/>
      </c>
      <c r="K178" s="52" t="n"/>
      <c r="L178" s="52" t="n"/>
      <c r="M178" s="52" t="n"/>
      <c r="N178" s="52" t="n"/>
      <c r="O178" s="53" t="n"/>
      <c r="P178" s="52" t="n"/>
      <c r="Q178" s="52" t="n"/>
      <c r="R178" s="52" t="n"/>
      <c r="S178" s="52" t="n"/>
      <c r="T178" s="53" t="n"/>
      <c r="U178" s="52" t="n"/>
      <c r="V178" s="52" t="n"/>
      <c r="W178" s="52" t="n"/>
      <c r="X178" s="52" t="n"/>
      <c r="Y178" s="52" t="n"/>
      <c r="Z178" s="52" t="n"/>
      <c r="AA178" s="53" t="n"/>
      <c r="AB178" s="52" t="n"/>
      <c r="AC178" s="52" t="n"/>
      <c r="AD178" s="52" t="n"/>
      <c r="AE178" s="52" t="n"/>
      <c r="AF178" s="52" t="n"/>
      <c r="AG178" s="52" t="n"/>
      <c r="AH178" s="53" t="n"/>
      <c r="AI178" s="53" t="n"/>
    </row>
    <row r="179" ht="14.25" customHeight="1" s="65">
      <c r="A179" s="53" t="n"/>
      <c r="B179" s="53" t="n"/>
      <c r="C179" s="53" t="n"/>
      <c r="D179" s="53" t="n"/>
      <c r="E179" s="32">
        <f>IF(COUNT(K179:AG179)=0,"",ROUND((F179+G179+H179+I179+J179)/10,2))</f>
        <v/>
      </c>
      <c r="F179" s="33">
        <f>IF(COUNT(K179:AG179)=0,"",(K179*10+L179*8+M179*7+N179*5)/3)</f>
        <v/>
      </c>
      <c r="G179" s="33">
        <f>IF(COUNT(K179:AG179)=0,"",(P179*8+Q179*7+R179*5+S179*5)/3)</f>
        <v/>
      </c>
      <c r="H179" s="33">
        <f>IF(COUNT(K179:AG179)=0,"",(U179*6+V179*6+W179*4+X179*3+Y179*3+Z179*3)/3)</f>
        <v/>
      </c>
      <c r="I179" s="33">
        <f>IF(COUNT(K179:AG179)=0,"",AB179*3+AC179*2+AD179*2+AE179*1)</f>
        <v/>
      </c>
      <c r="J179" s="33">
        <f>IF(COUNT(K179:AG179)=0,"",(AF179*5+AG179*5)/3)</f>
        <v/>
      </c>
      <c r="K179" s="52" t="n"/>
      <c r="L179" s="52" t="n"/>
      <c r="M179" s="52" t="n"/>
      <c r="N179" s="52" t="n"/>
      <c r="O179" s="53" t="n"/>
      <c r="P179" s="52" t="n"/>
      <c r="Q179" s="52" t="n"/>
      <c r="R179" s="52" t="n"/>
      <c r="S179" s="52" t="n"/>
      <c r="T179" s="53" t="n"/>
      <c r="U179" s="52" t="n"/>
      <c r="V179" s="52" t="n"/>
      <c r="W179" s="52" t="n"/>
      <c r="X179" s="52" t="n"/>
      <c r="Y179" s="52" t="n"/>
      <c r="Z179" s="52" t="n"/>
      <c r="AA179" s="53" t="n"/>
      <c r="AB179" s="52" t="n"/>
      <c r="AC179" s="52" t="n"/>
      <c r="AD179" s="52" t="n"/>
      <c r="AE179" s="52" t="n"/>
      <c r="AF179" s="52" t="n"/>
      <c r="AG179" s="52" t="n"/>
      <c r="AH179" s="53" t="n"/>
      <c r="AI179" s="53" t="n"/>
    </row>
    <row r="180" ht="14.25" customHeight="1" s="65">
      <c r="A180" s="53" t="n"/>
      <c r="B180" s="53" t="n"/>
      <c r="C180" s="53" t="n"/>
      <c r="D180" s="53" t="n"/>
      <c r="E180" s="32">
        <f>IF(COUNT(K180:AG180)=0,"",ROUND((F180+G180+H180+I180+J180)/10,2))</f>
        <v/>
      </c>
      <c r="F180" s="33">
        <f>IF(COUNT(K180:AG180)=0,"",(K180*10+L180*8+M180*7+N180*5)/3)</f>
        <v/>
      </c>
      <c r="G180" s="33">
        <f>IF(COUNT(K180:AG180)=0,"",(P180*8+Q180*7+R180*5+S180*5)/3)</f>
        <v/>
      </c>
      <c r="H180" s="33">
        <f>IF(COUNT(K180:AG180)=0,"",(U180*6+V180*6+W180*4+X180*3+Y180*3+Z180*3)/3)</f>
        <v/>
      </c>
      <c r="I180" s="33">
        <f>IF(COUNT(K180:AG180)=0,"",AB180*3+AC180*2+AD180*2+AE180*1)</f>
        <v/>
      </c>
      <c r="J180" s="33">
        <f>IF(COUNT(K180:AG180)=0,"",(AF180*5+AG180*5)/3)</f>
        <v/>
      </c>
      <c r="K180" s="52" t="n"/>
      <c r="L180" s="52" t="n"/>
      <c r="M180" s="52" t="n"/>
      <c r="N180" s="52" t="n"/>
      <c r="O180" s="53" t="n"/>
      <c r="P180" s="52" t="n"/>
      <c r="Q180" s="52" t="n"/>
      <c r="R180" s="52" t="n"/>
      <c r="S180" s="52" t="n"/>
      <c r="T180" s="53" t="n"/>
      <c r="U180" s="52" t="n"/>
      <c r="V180" s="52" t="n"/>
      <c r="W180" s="52" t="n"/>
      <c r="X180" s="52" t="n"/>
      <c r="Y180" s="52" t="n"/>
      <c r="Z180" s="52" t="n"/>
      <c r="AA180" s="53" t="n"/>
      <c r="AB180" s="52" t="n"/>
      <c r="AC180" s="52" t="n"/>
      <c r="AD180" s="52" t="n"/>
      <c r="AE180" s="52" t="n"/>
      <c r="AF180" s="52" t="n"/>
      <c r="AG180" s="52" t="n"/>
      <c r="AH180" s="53" t="n"/>
      <c r="AI180" s="53" t="n"/>
    </row>
    <row r="181" ht="14.25" customHeight="1" s="65">
      <c r="A181" s="53" t="n"/>
      <c r="B181" s="53" t="n"/>
      <c r="C181" s="53" t="n"/>
      <c r="D181" s="53" t="n"/>
      <c r="E181" s="32">
        <f>IF(COUNT(K181:AG181)=0,"",ROUND((F181+G181+H181+I181+J181)/10,2))</f>
        <v/>
      </c>
      <c r="F181" s="33">
        <f>IF(COUNT(K181:AG181)=0,"",(K181*10+L181*8+M181*7+N181*5)/3)</f>
        <v/>
      </c>
      <c r="G181" s="33">
        <f>IF(COUNT(K181:AG181)=0,"",(P181*8+Q181*7+R181*5+S181*5)/3)</f>
        <v/>
      </c>
      <c r="H181" s="33">
        <f>IF(COUNT(K181:AG181)=0,"",(U181*6+V181*6+W181*4+X181*3+Y181*3+Z181*3)/3)</f>
        <v/>
      </c>
      <c r="I181" s="33">
        <f>IF(COUNT(K181:AG181)=0,"",AB181*3+AC181*2+AD181*2+AE181*1)</f>
        <v/>
      </c>
      <c r="J181" s="33">
        <f>IF(COUNT(K181:AG181)=0,"",(AF181*5+AG181*5)/3)</f>
        <v/>
      </c>
      <c r="K181" s="52" t="n"/>
      <c r="L181" s="52" t="n"/>
      <c r="M181" s="52" t="n"/>
      <c r="N181" s="52" t="n"/>
      <c r="O181" s="53" t="n"/>
      <c r="P181" s="52" t="n"/>
      <c r="Q181" s="52" t="n"/>
      <c r="R181" s="52" t="n"/>
      <c r="S181" s="52" t="n"/>
      <c r="T181" s="53" t="n"/>
      <c r="U181" s="52" t="n"/>
      <c r="V181" s="52" t="n"/>
      <c r="W181" s="52" t="n"/>
      <c r="X181" s="52" t="n"/>
      <c r="Y181" s="52" t="n"/>
      <c r="Z181" s="52" t="n"/>
      <c r="AA181" s="53" t="n"/>
      <c r="AB181" s="52" t="n"/>
      <c r="AC181" s="52" t="n"/>
      <c r="AD181" s="52" t="n"/>
      <c r="AE181" s="52" t="n"/>
      <c r="AF181" s="52" t="n"/>
      <c r="AG181" s="52" t="n"/>
      <c r="AH181" s="53" t="n"/>
      <c r="AI181" s="53" t="n"/>
    </row>
    <row r="182" ht="14.25" customHeight="1" s="65">
      <c r="A182" s="53" t="n"/>
      <c r="B182" s="53" t="n"/>
      <c r="C182" s="53" t="n"/>
      <c r="D182" s="53" t="n"/>
      <c r="E182" s="32">
        <f>IF(COUNT(K182:AG182)=0,"",ROUND((F182+G182+H182+I182+J182)/10,2))</f>
        <v/>
      </c>
      <c r="F182" s="33">
        <f>IF(COUNT(K182:AG182)=0,"",(K182*10+L182*8+M182*7+N182*5)/3)</f>
        <v/>
      </c>
      <c r="G182" s="33">
        <f>IF(COUNT(K182:AG182)=0,"",(P182*8+Q182*7+R182*5+S182*5)/3)</f>
        <v/>
      </c>
      <c r="H182" s="33">
        <f>IF(COUNT(K182:AG182)=0,"",(U182*6+V182*6+W182*4+X182*3+Y182*3+Z182*3)/3)</f>
        <v/>
      </c>
      <c r="I182" s="33">
        <f>IF(COUNT(K182:AG182)=0,"",AB182*3+AC182*2+AD182*2+AE182*1)</f>
        <v/>
      </c>
      <c r="J182" s="33">
        <f>IF(COUNT(K182:AG182)=0,"",(AF182*5+AG182*5)/3)</f>
        <v/>
      </c>
      <c r="K182" s="52" t="n"/>
      <c r="L182" s="52" t="n"/>
      <c r="M182" s="52" t="n"/>
      <c r="N182" s="52" t="n"/>
      <c r="O182" s="53" t="n"/>
      <c r="P182" s="52" t="n"/>
      <c r="Q182" s="52" t="n"/>
      <c r="R182" s="52" t="n"/>
      <c r="S182" s="52" t="n"/>
      <c r="T182" s="53" t="n"/>
      <c r="U182" s="52" t="n"/>
      <c r="V182" s="52" t="n"/>
      <c r="W182" s="52" t="n"/>
      <c r="X182" s="52" t="n"/>
      <c r="Y182" s="52" t="n"/>
      <c r="Z182" s="52" t="n"/>
      <c r="AA182" s="53" t="n"/>
      <c r="AB182" s="52" t="n"/>
      <c r="AC182" s="52" t="n"/>
      <c r="AD182" s="52" t="n"/>
      <c r="AE182" s="52" t="n"/>
      <c r="AF182" s="52" t="n"/>
      <c r="AG182" s="52" t="n"/>
      <c r="AH182" s="53" t="n"/>
      <c r="AI182" s="53" t="n"/>
    </row>
    <row r="183" ht="14.25" customHeight="1" s="65">
      <c r="A183" s="53" t="n"/>
      <c r="B183" s="53" t="n"/>
      <c r="C183" s="53" t="n"/>
      <c r="D183" s="53" t="n"/>
      <c r="E183" s="32">
        <f>IF(COUNT(K183:AG183)=0,"",ROUND((F183+G183+H183+I183+J183)/10,2))</f>
        <v/>
      </c>
      <c r="F183" s="33">
        <f>IF(COUNT(K183:AG183)=0,"",(K183*10+L183*8+M183*7+N183*5)/3)</f>
        <v/>
      </c>
      <c r="G183" s="33">
        <f>IF(COUNT(K183:AG183)=0,"",(P183*8+Q183*7+R183*5+S183*5)/3)</f>
        <v/>
      </c>
      <c r="H183" s="33">
        <f>IF(COUNT(K183:AG183)=0,"",(U183*6+V183*6+W183*4+X183*3+Y183*3+Z183*3)/3)</f>
        <v/>
      </c>
      <c r="I183" s="33">
        <f>IF(COUNT(K183:AG183)=0,"",AB183*3+AC183*2+AD183*2+AE183*1)</f>
        <v/>
      </c>
      <c r="J183" s="33">
        <f>IF(COUNT(K183:AG183)=0,"",(AF183*5+AG183*5)/3)</f>
        <v/>
      </c>
      <c r="K183" s="52" t="n"/>
      <c r="L183" s="52" t="n"/>
      <c r="M183" s="52" t="n"/>
      <c r="N183" s="52" t="n"/>
      <c r="O183" s="53" t="n"/>
      <c r="P183" s="52" t="n"/>
      <c r="Q183" s="52" t="n"/>
      <c r="R183" s="52" t="n"/>
      <c r="S183" s="52" t="n"/>
      <c r="T183" s="53" t="n"/>
      <c r="U183" s="52" t="n"/>
      <c r="V183" s="52" t="n"/>
      <c r="W183" s="52" t="n"/>
      <c r="X183" s="52" t="n"/>
      <c r="Y183" s="52" t="n"/>
      <c r="Z183" s="52" t="n"/>
      <c r="AA183" s="53" t="n"/>
      <c r="AB183" s="52" t="n"/>
      <c r="AC183" s="52" t="n"/>
      <c r="AD183" s="52" t="n"/>
      <c r="AE183" s="52" t="n"/>
      <c r="AF183" s="52" t="n"/>
      <c r="AG183" s="52" t="n"/>
      <c r="AH183" s="53" t="n"/>
      <c r="AI183" s="53" t="n"/>
    </row>
    <row r="184" ht="14.25" customHeight="1" s="65">
      <c r="A184" s="53" t="n"/>
      <c r="B184" s="53" t="n"/>
      <c r="C184" s="53" t="n"/>
      <c r="D184" s="53" t="n"/>
      <c r="E184" s="32">
        <f>IF(COUNT(K184:AG184)=0,"",ROUND((F184+G184+H184+I184+J184)/10,2))</f>
        <v/>
      </c>
      <c r="F184" s="33">
        <f>IF(COUNT(K184:AG184)=0,"",(K184*10+L184*8+M184*7+N184*5)/3)</f>
        <v/>
      </c>
      <c r="G184" s="33">
        <f>IF(COUNT(K184:AG184)=0,"",(P184*8+Q184*7+R184*5+S184*5)/3)</f>
        <v/>
      </c>
      <c r="H184" s="33">
        <f>IF(COUNT(K184:AG184)=0,"",(U184*6+V184*6+W184*4+X184*3+Y184*3+Z184*3)/3)</f>
        <v/>
      </c>
      <c r="I184" s="33">
        <f>IF(COUNT(K184:AG184)=0,"",AB184*3+AC184*2+AD184*2+AE184*1)</f>
        <v/>
      </c>
      <c r="J184" s="33">
        <f>IF(COUNT(K184:AG184)=0,"",(AF184*5+AG184*5)/3)</f>
        <v/>
      </c>
      <c r="K184" s="52" t="n"/>
      <c r="L184" s="52" t="n"/>
      <c r="M184" s="52" t="n"/>
      <c r="N184" s="52" t="n"/>
      <c r="O184" s="53" t="n"/>
      <c r="P184" s="52" t="n"/>
      <c r="Q184" s="52" t="n"/>
      <c r="R184" s="52" t="n"/>
      <c r="S184" s="52" t="n"/>
      <c r="T184" s="53" t="n"/>
      <c r="U184" s="52" t="n"/>
      <c r="V184" s="52" t="n"/>
      <c r="W184" s="52" t="n"/>
      <c r="X184" s="52" t="n"/>
      <c r="Y184" s="52" t="n"/>
      <c r="Z184" s="52" t="n"/>
      <c r="AA184" s="53" t="n"/>
      <c r="AB184" s="52" t="n"/>
      <c r="AC184" s="52" t="n"/>
      <c r="AD184" s="52" t="n"/>
      <c r="AE184" s="52" t="n"/>
      <c r="AF184" s="52" t="n"/>
      <c r="AG184" s="52" t="n"/>
      <c r="AH184" s="53" t="n"/>
      <c r="AI184" s="53" t="n"/>
    </row>
    <row r="185" ht="14.25" customHeight="1" s="65">
      <c r="A185" s="53" t="n"/>
      <c r="B185" s="53" t="n"/>
      <c r="C185" s="53" t="n"/>
      <c r="D185" s="53" t="n"/>
      <c r="E185" s="32">
        <f>IF(COUNT(K185:AG185)=0,"",ROUND((F185+G185+H185+I185+J185)/10,2))</f>
        <v/>
      </c>
      <c r="F185" s="33">
        <f>IF(COUNT(K185:AG185)=0,"",(K185*10+L185*8+M185*7+N185*5)/3)</f>
        <v/>
      </c>
      <c r="G185" s="33">
        <f>IF(COUNT(K185:AG185)=0,"",(P185*8+Q185*7+R185*5+S185*5)/3)</f>
        <v/>
      </c>
      <c r="H185" s="33">
        <f>IF(COUNT(K185:AG185)=0,"",(U185*6+V185*6+W185*4+X185*3+Y185*3+Z185*3)/3)</f>
        <v/>
      </c>
      <c r="I185" s="33">
        <f>IF(COUNT(K185:AG185)=0,"",AB185*3+AC185*2+AD185*2+AE185*1)</f>
        <v/>
      </c>
      <c r="J185" s="33">
        <f>IF(COUNT(K185:AG185)=0,"",(AF185*5+AG185*5)/3)</f>
        <v/>
      </c>
      <c r="K185" s="52" t="n"/>
      <c r="L185" s="52" t="n"/>
      <c r="M185" s="52" t="n"/>
      <c r="N185" s="52" t="n"/>
      <c r="O185" s="53" t="n"/>
      <c r="P185" s="52" t="n"/>
      <c r="Q185" s="52" t="n"/>
      <c r="R185" s="52" t="n"/>
      <c r="S185" s="52" t="n"/>
      <c r="T185" s="53" t="n"/>
      <c r="U185" s="52" t="n"/>
      <c r="V185" s="52" t="n"/>
      <c r="W185" s="52" t="n"/>
      <c r="X185" s="52" t="n"/>
      <c r="Y185" s="52" t="n"/>
      <c r="Z185" s="52" t="n"/>
      <c r="AA185" s="53" t="n"/>
      <c r="AB185" s="52" t="n"/>
      <c r="AC185" s="52" t="n"/>
      <c r="AD185" s="52" t="n"/>
      <c r="AE185" s="52" t="n"/>
      <c r="AF185" s="52" t="n"/>
      <c r="AG185" s="52" t="n"/>
      <c r="AH185" s="53" t="n"/>
      <c r="AI185" s="53" t="n"/>
    </row>
    <row r="186" ht="14.25" customHeight="1" s="65">
      <c r="A186" s="53" t="n"/>
      <c r="B186" s="53" t="n"/>
      <c r="C186" s="53" t="n"/>
      <c r="D186" s="53" t="n"/>
      <c r="E186" s="32">
        <f>IF(COUNT(K186:AG186)=0,"",ROUND((F186+G186+H186+I186+J186)/10,2))</f>
        <v/>
      </c>
      <c r="F186" s="33">
        <f>IF(COUNT(K186:AG186)=0,"",(K186*10+L186*8+M186*7+N186*5)/3)</f>
        <v/>
      </c>
      <c r="G186" s="33">
        <f>IF(COUNT(K186:AG186)=0,"",(P186*8+Q186*7+R186*5+S186*5)/3)</f>
        <v/>
      </c>
      <c r="H186" s="33">
        <f>IF(COUNT(K186:AG186)=0,"",(U186*6+V186*6+W186*4+X186*3+Y186*3+Z186*3)/3)</f>
        <v/>
      </c>
      <c r="I186" s="33">
        <f>IF(COUNT(K186:AG186)=0,"",AB186*3+AC186*2+AD186*2+AE186*1)</f>
        <v/>
      </c>
      <c r="J186" s="33">
        <f>IF(COUNT(K186:AG186)=0,"",(AF186*5+AG186*5)/3)</f>
        <v/>
      </c>
      <c r="K186" s="52" t="n"/>
      <c r="L186" s="52" t="n"/>
      <c r="M186" s="52" t="n"/>
      <c r="N186" s="52" t="n"/>
      <c r="O186" s="53" t="n"/>
      <c r="P186" s="52" t="n"/>
      <c r="Q186" s="52" t="n"/>
      <c r="R186" s="52" t="n"/>
      <c r="S186" s="52" t="n"/>
      <c r="T186" s="53" t="n"/>
      <c r="U186" s="52" t="n"/>
      <c r="V186" s="52" t="n"/>
      <c r="W186" s="52" t="n"/>
      <c r="X186" s="52" t="n"/>
      <c r="Y186" s="52" t="n"/>
      <c r="Z186" s="52" t="n"/>
      <c r="AA186" s="53" t="n"/>
      <c r="AB186" s="52" t="n"/>
      <c r="AC186" s="52" t="n"/>
      <c r="AD186" s="52" t="n"/>
      <c r="AE186" s="52" t="n"/>
      <c r="AF186" s="52" t="n"/>
      <c r="AG186" s="52" t="n"/>
      <c r="AH186" s="53" t="n"/>
      <c r="AI186" s="53" t="n"/>
    </row>
    <row r="187" ht="14.25" customHeight="1" s="65">
      <c r="A187" s="53" t="n"/>
      <c r="B187" s="53" t="n"/>
      <c r="C187" s="53" t="n"/>
      <c r="D187" s="53" t="n"/>
      <c r="E187" s="32">
        <f>IF(COUNT(K187:AG187)=0,"",ROUND((F187+G187+H187+I187+J187)/10,2))</f>
        <v/>
      </c>
      <c r="F187" s="33">
        <f>IF(COUNT(K187:AG187)=0,"",(K187*10+L187*8+M187*7+N187*5)/3)</f>
        <v/>
      </c>
      <c r="G187" s="33">
        <f>IF(COUNT(K187:AG187)=0,"",(P187*8+Q187*7+R187*5+S187*5)/3)</f>
        <v/>
      </c>
      <c r="H187" s="33">
        <f>IF(COUNT(K187:AG187)=0,"",(U187*6+V187*6+W187*4+X187*3+Y187*3+Z187*3)/3)</f>
        <v/>
      </c>
      <c r="I187" s="33">
        <f>IF(COUNT(K187:AG187)=0,"",AB187*3+AC187*2+AD187*2+AE187*1)</f>
        <v/>
      </c>
      <c r="J187" s="33">
        <f>IF(COUNT(K187:AG187)=0,"",(AF187*5+AG187*5)/3)</f>
        <v/>
      </c>
      <c r="K187" s="52" t="n"/>
      <c r="L187" s="52" t="n"/>
      <c r="M187" s="52" t="n"/>
      <c r="N187" s="52" t="n"/>
      <c r="O187" s="53" t="n"/>
      <c r="P187" s="52" t="n"/>
      <c r="Q187" s="52" t="n"/>
      <c r="R187" s="52" t="n"/>
      <c r="S187" s="52" t="n"/>
      <c r="T187" s="53" t="n"/>
      <c r="U187" s="52" t="n"/>
      <c r="V187" s="52" t="n"/>
      <c r="W187" s="52" t="n"/>
      <c r="X187" s="52" t="n"/>
      <c r="Y187" s="52" t="n"/>
      <c r="Z187" s="52" t="n"/>
      <c r="AA187" s="53" t="n"/>
      <c r="AB187" s="52" t="n"/>
      <c r="AC187" s="52" t="n"/>
      <c r="AD187" s="52" t="n"/>
      <c r="AE187" s="52" t="n"/>
      <c r="AF187" s="52" t="n"/>
      <c r="AG187" s="52" t="n"/>
      <c r="AH187" s="53" t="n"/>
      <c r="AI187" s="53" t="n"/>
    </row>
    <row r="188" ht="14.25" customHeight="1" s="65">
      <c r="A188" s="53" t="n"/>
      <c r="B188" s="53" t="n"/>
      <c r="C188" s="53" t="n"/>
      <c r="D188" s="53" t="n"/>
      <c r="E188" s="32">
        <f>IF(COUNT(K188:AG188)=0,"",ROUND((F188+G188+H188+I188+J188)/10,2))</f>
        <v/>
      </c>
      <c r="F188" s="33">
        <f>IF(COUNT(K188:AG188)=0,"",(K188*10+L188*8+M188*7+N188*5)/3)</f>
        <v/>
      </c>
      <c r="G188" s="33">
        <f>IF(COUNT(K188:AG188)=0,"",(P188*8+Q188*7+R188*5+S188*5)/3)</f>
        <v/>
      </c>
      <c r="H188" s="33">
        <f>IF(COUNT(K188:AG188)=0,"",(U188*6+V188*6+W188*4+X188*3+Y188*3+Z188*3)/3)</f>
        <v/>
      </c>
      <c r="I188" s="33">
        <f>IF(COUNT(K188:AG188)=0,"",AB188*3+AC188*2+AD188*2+AE188*1)</f>
        <v/>
      </c>
      <c r="J188" s="33">
        <f>IF(COUNT(K188:AG188)=0,"",(AF188*5+AG188*5)/3)</f>
        <v/>
      </c>
      <c r="K188" s="52" t="n"/>
      <c r="L188" s="52" t="n"/>
      <c r="M188" s="52" t="n"/>
      <c r="N188" s="52" t="n"/>
      <c r="O188" s="53" t="n"/>
      <c r="P188" s="52" t="n"/>
      <c r="Q188" s="52" t="n"/>
      <c r="R188" s="52" t="n"/>
      <c r="S188" s="52" t="n"/>
      <c r="T188" s="53" t="n"/>
      <c r="U188" s="52" t="n"/>
      <c r="V188" s="52" t="n"/>
      <c r="W188" s="52" t="n"/>
      <c r="X188" s="52" t="n"/>
      <c r="Y188" s="52" t="n"/>
      <c r="Z188" s="52" t="n"/>
      <c r="AA188" s="53" t="n"/>
      <c r="AB188" s="52" t="n"/>
      <c r="AC188" s="52" t="n"/>
      <c r="AD188" s="52" t="n"/>
      <c r="AE188" s="52" t="n"/>
      <c r="AF188" s="52" t="n"/>
      <c r="AG188" s="52" t="n"/>
      <c r="AH188" s="53" t="n"/>
      <c r="AI188" s="53" t="n"/>
    </row>
    <row r="189" ht="14.25" customHeight="1" s="65">
      <c r="A189" s="53" t="n"/>
      <c r="B189" s="53" t="n"/>
      <c r="C189" s="53" t="n"/>
      <c r="D189" s="53" t="n"/>
      <c r="E189" s="32">
        <f>IF(COUNT(K189:AG189)=0,"",ROUND((F189+G189+H189+I189+J189)/10,2))</f>
        <v/>
      </c>
      <c r="F189" s="33">
        <f>IF(COUNT(K189:AG189)=0,"",(K189*10+L189*8+M189*7+N189*5)/3)</f>
        <v/>
      </c>
      <c r="G189" s="33">
        <f>IF(COUNT(K189:AG189)=0,"",(P189*8+Q189*7+R189*5+S189*5)/3)</f>
        <v/>
      </c>
      <c r="H189" s="33">
        <f>IF(COUNT(K189:AG189)=0,"",(U189*6+V189*6+W189*4+X189*3+Y189*3+Z189*3)/3)</f>
        <v/>
      </c>
      <c r="I189" s="33">
        <f>IF(COUNT(K189:AG189)=0,"",AB189*3+AC189*2+AD189*2+AE189*1)</f>
        <v/>
      </c>
      <c r="J189" s="33">
        <f>IF(COUNT(K189:AG189)=0,"",(AF189*5+AG189*5)/3)</f>
        <v/>
      </c>
      <c r="K189" s="52" t="n"/>
      <c r="L189" s="52" t="n"/>
      <c r="M189" s="52" t="n"/>
      <c r="N189" s="52" t="n"/>
      <c r="O189" s="53" t="n"/>
      <c r="P189" s="52" t="n"/>
      <c r="Q189" s="52" t="n"/>
      <c r="R189" s="52" t="n"/>
      <c r="S189" s="52" t="n"/>
      <c r="T189" s="53" t="n"/>
      <c r="U189" s="52" t="n"/>
      <c r="V189" s="52" t="n"/>
      <c r="W189" s="52" t="n"/>
      <c r="X189" s="52" t="n"/>
      <c r="Y189" s="52" t="n"/>
      <c r="Z189" s="52" t="n"/>
      <c r="AA189" s="53" t="n"/>
      <c r="AB189" s="52" t="n"/>
      <c r="AC189" s="52" t="n"/>
      <c r="AD189" s="52" t="n"/>
      <c r="AE189" s="52" t="n"/>
      <c r="AF189" s="52" t="n"/>
      <c r="AG189" s="52" t="n"/>
      <c r="AH189" s="53" t="n"/>
      <c r="AI189" s="53" t="n"/>
    </row>
    <row r="190" ht="14.25" customHeight="1" s="65">
      <c r="A190" s="53" t="n"/>
      <c r="B190" s="53" t="n"/>
      <c r="C190" s="53" t="n"/>
      <c r="D190" s="53" t="n"/>
      <c r="E190" s="32">
        <f>IF(COUNT(K190:AG190)=0,"",ROUND((F190+G190+H190+I190+J190)/10,2))</f>
        <v/>
      </c>
      <c r="F190" s="33">
        <f>IF(COUNT(K190:AG190)=0,"",(K190*10+L190*8+M190*7+N190*5)/3)</f>
        <v/>
      </c>
      <c r="G190" s="33">
        <f>IF(COUNT(K190:AG190)=0,"",(P190*8+Q190*7+R190*5+S190*5)/3)</f>
        <v/>
      </c>
      <c r="H190" s="33">
        <f>IF(COUNT(K190:AG190)=0,"",(U190*6+V190*6+W190*4+X190*3+Y190*3+Z190*3)/3)</f>
        <v/>
      </c>
      <c r="I190" s="33">
        <f>IF(COUNT(K190:AG190)=0,"",AB190*3+AC190*2+AD190*2+AE190*1)</f>
        <v/>
      </c>
      <c r="J190" s="33">
        <f>IF(COUNT(K190:AG190)=0,"",(AF190*5+AG190*5)/3)</f>
        <v/>
      </c>
      <c r="K190" s="52" t="n"/>
      <c r="L190" s="52" t="n"/>
      <c r="M190" s="52" t="n"/>
      <c r="N190" s="52" t="n"/>
      <c r="O190" s="53" t="n"/>
      <c r="P190" s="52" t="n"/>
      <c r="Q190" s="52" t="n"/>
      <c r="R190" s="52" t="n"/>
      <c r="S190" s="52" t="n"/>
      <c r="T190" s="53" t="n"/>
      <c r="U190" s="52" t="n"/>
      <c r="V190" s="52" t="n"/>
      <c r="W190" s="52" t="n"/>
      <c r="X190" s="52" t="n"/>
      <c r="Y190" s="52" t="n"/>
      <c r="Z190" s="52" t="n"/>
      <c r="AA190" s="53" t="n"/>
      <c r="AB190" s="52" t="n"/>
      <c r="AC190" s="52" t="n"/>
      <c r="AD190" s="52" t="n"/>
      <c r="AE190" s="52" t="n"/>
      <c r="AF190" s="52" t="n"/>
      <c r="AG190" s="52" t="n"/>
      <c r="AH190" s="53" t="n"/>
      <c r="AI190" s="53" t="n"/>
    </row>
    <row r="191" ht="14.25" customHeight="1" s="65">
      <c r="A191" s="53" t="n"/>
      <c r="B191" s="53" t="n"/>
      <c r="C191" s="53" t="n"/>
      <c r="D191" s="53" t="n"/>
      <c r="E191" s="32">
        <f>IF(COUNT(K191:AG191)=0,"",ROUND((F191+G191+H191+I191+J191)/10,2))</f>
        <v/>
      </c>
      <c r="F191" s="33">
        <f>IF(COUNT(K191:AG191)=0,"",(K191*10+L191*8+M191*7+N191*5)/3)</f>
        <v/>
      </c>
      <c r="G191" s="33">
        <f>IF(COUNT(K191:AG191)=0,"",(P191*8+Q191*7+R191*5+S191*5)/3)</f>
        <v/>
      </c>
      <c r="H191" s="33">
        <f>IF(COUNT(K191:AG191)=0,"",(U191*6+V191*6+W191*4+X191*3+Y191*3+Z191*3)/3)</f>
        <v/>
      </c>
      <c r="I191" s="33">
        <f>IF(COUNT(K191:AG191)=0,"",AB191*3+AC191*2+AD191*2+AE191*1)</f>
        <v/>
      </c>
      <c r="J191" s="33">
        <f>IF(COUNT(K191:AG191)=0,"",(AF191*5+AG191*5)/3)</f>
        <v/>
      </c>
      <c r="K191" s="52" t="n"/>
      <c r="L191" s="52" t="n"/>
      <c r="M191" s="52" t="n"/>
      <c r="N191" s="52" t="n"/>
      <c r="O191" s="53" t="n"/>
      <c r="P191" s="52" t="n"/>
      <c r="Q191" s="52" t="n"/>
      <c r="R191" s="52" t="n"/>
      <c r="S191" s="52" t="n"/>
      <c r="T191" s="53" t="n"/>
      <c r="U191" s="52" t="n"/>
      <c r="V191" s="52" t="n"/>
      <c r="W191" s="52" t="n"/>
      <c r="X191" s="52" t="n"/>
      <c r="Y191" s="52" t="n"/>
      <c r="Z191" s="52" t="n"/>
      <c r="AA191" s="53" t="n"/>
      <c r="AB191" s="52" t="n"/>
      <c r="AC191" s="52" t="n"/>
      <c r="AD191" s="52" t="n"/>
      <c r="AE191" s="52" t="n"/>
      <c r="AF191" s="52" t="n"/>
      <c r="AG191" s="52" t="n"/>
      <c r="AH191" s="53" t="n"/>
      <c r="AI191" s="53" t="n"/>
    </row>
    <row r="192" ht="14.25" customHeight="1" s="65">
      <c r="A192" s="53" t="n"/>
      <c r="B192" s="53" t="n"/>
      <c r="C192" s="53" t="n"/>
      <c r="D192" s="53" t="n"/>
      <c r="E192" s="32">
        <f>IF(COUNT(K192:AG192)=0,"",ROUND((F192+G192+H192+I192+J192)/10,2))</f>
        <v/>
      </c>
      <c r="F192" s="33">
        <f>IF(COUNT(K192:AG192)=0,"",(K192*10+L192*8+M192*7+N192*5)/3)</f>
        <v/>
      </c>
      <c r="G192" s="33">
        <f>IF(COUNT(K192:AG192)=0,"",(P192*8+Q192*7+R192*5+S192*5)/3)</f>
        <v/>
      </c>
      <c r="H192" s="33">
        <f>IF(COUNT(K192:AG192)=0,"",(U192*6+V192*6+W192*4+X192*3+Y192*3+Z192*3)/3)</f>
        <v/>
      </c>
      <c r="I192" s="33">
        <f>IF(COUNT(K192:AG192)=0,"",AB192*3+AC192*2+AD192*2+AE192*1)</f>
        <v/>
      </c>
      <c r="J192" s="33">
        <f>IF(COUNT(K192:AG192)=0,"",(AF192*5+AG192*5)/3)</f>
        <v/>
      </c>
      <c r="K192" s="52" t="n"/>
      <c r="L192" s="52" t="n"/>
      <c r="M192" s="52" t="n"/>
      <c r="N192" s="52" t="n"/>
      <c r="O192" s="53" t="n"/>
      <c r="P192" s="52" t="n"/>
      <c r="Q192" s="52" t="n"/>
      <c r="R192" s="52" t="n"/>
      <c r="S192" s="52" t="n"/>
      <c r="T192" s="53" t="n"/>
      <c r="U192" s="52" t="n"/>
      <c r="V192" s="52" t="n"/>
      <c r="W192" s="52" t="n"/>
      <c r="X192" s="52" t="n"/>
      <c r="Y192" s="52" t="n"/>
      <c r="Z192" s="52" t="n"/>
      <c r="AA192" s="53" t="n"/>
      <c r="AB192" s="52" t="n"/>
      <c r="AC192" s="52" t="n"/>
      <c r="AD192" s="52" t="n"/>
      <c r="AE192" s="52" t="n"/>
      <c r="AF192" s="52" t="n"/>
      <c r="AG192" s="52" t="n"/>
      <c r="AH192" s="53" t="n"/>
      <c r="AI192" s="53" t="n"/>
    </row>
    <row r="193" ht="14.25" customHeight="1" s="65">
      <c r="A193" s="53" t="n"/>
      <c r="B193" s="53" t="n"/>
      <c r="C193" s="53" t="n"/>
      <c r="D193" s="53" t="n"/>
      <c r="E193" s="32">
        <f>IF(COUNT(K193:AG193)=0,"",ROUND((F193+G193+H193+I193+J193)/10,2))</f>
        <v/>
      </c>
      <c r="F193" s="33">
        <f>IF(COUNT(K193:AG193)=0,"",(K193*10+L193*8+M193*7+N193*5)/3)</f>
        <v/>
      </c>
      <c r="G193" s="33">
        <f>IF(COUNT(K193:AG193)=0,"",(P193*8+Q193*7+R193*5+S193*5)/3)</f>
        <v/>
      </c>
      <c r="H193" s="33">
        <f>IF(COUNT(K193:AG193)=0,"",(U193*6+V193*6+W193*4+X193*3+Y193*3+Z193*3)/3)</f>
        <v/>
      </c>
      <c r="I193" s="33">
        <f>IF(COUNT(K193:AG193)=0,"",AB193*3+AC193*2+AD193*2+AE193*1)</f>
        <v/>
      </c>
      <c r="J193" s="33">
        <f>IF(COUNT(K193:AG193)=0,"",(AF193*5+AG193*5)/3)</f>
        <v/>
      </c>
      <c r="K193" s="52" t="n"/>
      <c r="L193" s="52" t="n"/>
      <c r="M193" s="52" t="n"/>
      <c r="N193" s="52" t="n"/>
      <c r="O193" s="53" t="n"/>
      <c r="P193" s="52" t="n"/>
      <c r="Q193" s="52" t="n"/>
      <c r="R193" s="52" t="n"/>
      <c r="S193" s="52" t="n"/>
      <c r="T193" s="53" t="n"/>
      <c r="U193" s="52" t="n"/>
      <c r="V193" s="52" t="n"/>
      <c r="W193" s="52" t="n"/>
      <c r="X193" s="52" t="n"/>
      <c r="Y193" s="52" t="n"/>
      <c r="Z193" s="52" t="n"/>
      <c r="AA193" s="53" t="n"/>
      <c r="AB193" s="52" t="n"/>
      <c r="AC193" s="52" t="n"/>
      <c r="AD193" s="52" t="n"/>
      <c r="AE193" s="52" t="n"/>
      <c r="AF193" s="52" t="n"/>
      <c r="AG193" s="52" t="n"/>
      <c r="AH193" s="53" t="n"/>
      <c r="AI193" s="53" t="n"/>
    </row>
    <row r="194" ht="14.25" customHeight="1" s="65">
      <c r="A194" s="53" t="n"/>
      <c r="B194" s="53" t="n"/>
      <c r="C194" s="53" t="n"/>
      <c r="D194" s="53" t="n"/>
      <c r="E194" s="32">
        <f>IF(COUNT(K194:AG194)=0,"",ROUND((F194+G194+H194+I194+J194)/10,2))</f>
        <v/>
      </c>
      <c r="F194" s="33">
        <f>IF(COUNT(K194:AG194)=0,"",(K194*10+L194*8+M194*7+N194*5)/3)</f>
        <v/>
      </c>
      <c r="G194" s="33">
        <f>IF(COUNT(K194:AG194)=0,"",(P194*8+Q194*7+R194*5+S194*5)/3)</f>
        <v/>
      </c>
      <c r="H194" s="33">
        <f>IF(COUNT(K194:AG194)=0,"",(U194*6+V194*6+W194*4+X194*3+Y194*3+Z194*3)/3)</f>
        <v/>
      </c>
      <c r="I194" s="33">
        <f>IF(COUNT(K194:AG194)=0,"",AB194*3+AC194*2+AD194*2+AE194*1)</f>
        <v/>
      </c>
      <c r="J194" s="33">
        <f>IF(COUNT(K194:AG194)=0,"",(AF194*5+AG194*5)/3)</f>
        <v/>
      </c>
      <c r="K194" s="52" t="n"/>
      <c r="L194" s="52" t="n"/>
      <c r="M194" s="52" t="n"/>
      <c r="N194" s="52" t="n"/>
      <c r="O194" s="53" t="n"/>
      <c r="P194" s="52" t="n"/>
      <c r="Q194" s="52" t="n"/>
      <c r="R194" s="52" t="n"/>
      <c r="S194" s="52" t="n"/>
      <c r="T194" s="53" t="n"/>
      <c r="U194" s="52" t="n"/>
      <c r="V194" s="52" t="n"/>
      <c r="W194" s="52" t="n"/>
      <c r="X194" s="52" t="n"/>
      <c r="Y194" s="52" t="n"/>
      <c r="Z194" s="52" t="n"/>
      <c r="AA194" s="53" t="n"/>
      <c r="AB194" s="52" t="n"/>
      <c r="AC194" s="52" t="n"/>
      <c r="AD194" s="52" t="n"/>
      <c r="AE194" s="52" t="n"/>
      <c r="AF194" s="52" t="n"/>
      <c r="AG194" s="52" t="n"/>
      <c r="AH194" s="53" t="n"/>
      <c r="AI194" s="53" t="n"/>
    </row>
    <row r="195" ht="14.25" customHeight="1" s="65">
      <c r="A195" s="53" t="n"/>
      <c r="B195" s="53" t="n"/>
      <c r="C195" s="53" t="n"/>
      <c r="D195" s="53" t="n"/>
      <c r="E195" s="32">
        <f>IF(COUNT(K195:AG195)=0,"",ROUND((F195+G195+H195+I195+J195)/10,2))</f>
        <v/>
      </c>
      <c r="F195" s="33">
        <f>IF(COUNT(K195:AG195)=0,"",(K195*10+L195*8+M195*7+N195*5)/3)</f>
        <v/>
      </c>
      <c r="G195" s="33">
        <f>IF(COUNT(K195:AG195)=0,"",(P195*8+Q195*7+R195*5+S195*5)/3)</f>
        <v/>
      </c>
      <c r="H195" s="33">
        <f>IF(COUNT(K195:AG195)=0,"",(U195*6+V195*6+W195*4+X195*3+Y195*3+Z195*3)/3)</f>
        <v/>
      </c>
      <c r="I195" s="33">
        <f>IF(COUNT(K195:AG195)=0,"",AB195*3+AC195*2+AD195*2+AE195*1)</f>
        <v/>
      </c>
      <c r="J195" s="33">
        <f>IF(COUNT(K195:AG195)=0,"",(AF195*5+AG195*5)/3)</f>
        <v/>
      </c>
      <c r="K195" s="52" t="n"/>
      <c r="L195" s="52" t="n"/>
      <c r="M195" s="52" t="n"/>
      <c r="N195" s="52" t="n"/>
      <c r="O195" s="53" t="n"/>
      <c r="P195" s="52" t="n"/>
      <c r="Q195" s="52" t="n"/>
      <c r="R195" s="52" t="n"/>
      <c r="S195" s="52" t="n"/>
      <c r="T195" s="53" t="n"/>
      <c r="U195" s="52" t="n"/>
      <c r="V195" s="52" t="n"/>
      <c r="W195" s="52" t="n"/>
      <c r="X195" s="52" t="n"/>
      <c r="Y195" s="52" t="n"/>
      <c r="Z195" s="52" t="n"/>
      <c r="AA195" s="53" t="n"/>
      <c r="AB195" s="52" t="n"/>
      <c r="AC195" s="52" t="n"/>
      <c r="AD195" s="52" t="n"/>
      <c r="AE195" s="52" t="n"/>
      <c r="AF195" s="52" t="n"/>
      <c r="AG195" s="52" t="n"/>
      <c r="AH195" s="53" t="n"/>
      <c r="AI195" s="53" t="n"/>
    </row>
    <row r="196" ht="14.25" customHeight="1" s="65">
      <c r="A196" s="53" t="n"/>
      <c r="B196" s="53" t="n"/>
      <c r="C196" s="53" t="n"/>
      <c r="D196" s="53" t="n"/>
      <c r="E196" s="32">
        <f>IF(COUNT(K196:AG196)=0,"",ROUND((F196+G196+H196+I196+J196)/10,2))</f>
        <v/>
      </c>
      <c r="F196" s="33">
        <f>IF(COUNT(K196:AG196)=0,"",(K196*10+L196*8+M196*7+N196*5)/3)</f>
        <v/>
      </c>
      <c r="G196" s="33">
        <f>IF(COUNT(K196:AG196)=0,"",(P196*8+Q196*7+R196*5+S196*5)/3)</f>
        <v/>
      </c>
      <c r="H196" s="33">
        <f>IF(COUNT(K196:AG196)=0,"",(U196*6+V196*6+W196*4+X196*3+Y196*3+Z196*3)/3)</f>
        <v/>
      </c>
      <c r="I196" s="33">
        <f>IF(COUNT(K196:AG196)=0,"",AB196*3+AC196*2+AD196*2+AE196*1)</f>
        <v/>
      </c>
      <c r="J196" s="33">
        <f>IF(COUNT(K196:AG196)=0,"",(AF196*5+AG196*5)/3)</f>
        <v/>
      </c>
      <c r="K196" s="52" t="n"/>
      <c r="L196" s="52" t="n"/>
      <c r="M196" s="52" t="n"/>
      <c r="N196" s="52" t="n"/>
      <c r="O196" s="53" t="n"/>
      <c r="P196" s="52" t="n"/>
      <c r="Q196" s="52" t="n"/>
      <c r="R196" s="52" t="n"/>
      <c r="S196" s="52" t="n"/>
      <c r="T196" s="53" t="n"/>
      <c r="U196" s="52" t="n"/>
      <c r="V196" s="52" t="n"/>
      <c r="W196" s="52" t="n"/>
      <c r="X196" s="52" t="n"/>
      <c r="Y196" s="52" t="n"/>
      <c r="Z196" s="52" t="n"/>
      <c r="AA196" s="53" t="n"/>
      <c r="AB196" s="52" t="n"/>
      <c r="AC196" s="52" t="n"/>
      <c r="AD196" s="52" t="n"/>
      <c r="AE196" s="52" t="n"/>
      <c r="AF196" s="52" t="n"/>
      <c r="AG196" s="52" t="n"/>
      <c r="AH196" s="53" t="n"/>
      <c r="AI196" s="53" t="n"/>
    </row>
    <row r="197" ht="14.25" customHeight="1" s="65">
      <c r="A197" s="53" t="n"/>
      <c r="B197" s="53" t="n"/>
      <c r="C197" s="53" t="n"/>
      <c r="D197" s="53" t="n"/>
      <c r="E197" s="32">
        <f>IF(COUNT(K197:AG197)=0,"",ROUND((F197+G197+H197+I197+J197)/10,2))</f>
        <v/>
      </c>
      <c r="F197" s="33">
        <f>IF(COUNT(K197:AG197)=0,"",(K197*10+L197*8+M197*7+N197*5)/3)</f>
        <v/>
      </c>
      <c r="G197" s="33">
        <f>IF(COUNT(K197:AG197)=0,"",(P197*8+Q197*7+R197*5+S197*5)/3)</f>
        <v/>
      </c>
      <c r="H197" s="33">
        <f>IF(COUNT(K197:AG197)=0,"",(U197*6+V197*6+W197*4+X197*3+Y197*3+Z197*3)/3)</f>
        <v/>
      </c>
      <c r="I197" s="33">
        <f>IF(COUNT(K197:AG197)=0,"",AB197*3+AC197*2+AD197*2+AE197*1)</f>
        <v/>
      </c>
      <c r="J197" s="33">
        <f>IF(COUNT(K197:AG197)=0,"",(AF197*5+AG197*5)/3)</f>
        <v/>
      </c>
      <c r="K197" s="52" t="n"/>
      <c r="L197" s="52" t="n"/>
      <c r="M197" s="52" t="n"/>
      <c r="N197" s="52" t="n"/>
      <c r="O197" s="53" t="n"/>
      <c r="P197" s="52" t="n"/>
      <c r="Q197" s="52" t="n"/>
      <c r="R197" s="52" t="n"/>
      <c r="S197" s="52" t="n"/>
      <c r="T197" s="53" t="n"/>
      <c r="U197" s="52" t="n"/>
      <c r="V197" s="52" t="n"/>
      <c r="W197" s="52" t="n"/>
      <c r="X197" s="52" t="n"/>
      <c r="Y197" s="52" t="n"/>
      <c r="Z197" s="52" t="n"/>
      <c r="AA197" s="53" t="n"/>
      <c r="AB197" s="52" t="n"/>
      <c r="AC197" s="52" t="n"/>
      <c r="AD197" s="52" t="n"/>
      <c r="AE197" s="52" t="n"/>
      <c r="AF197" s="52" t="n"/>
      <c r="AG197" s="52" t="n"/>
      <c r="AH197" s="53" t="n"/>
      <c r="AI197" s="53" t="n"/>
    </row>
    <row r="198" ht="14.25" customHeight="1" s="65">
      <c r="A198" s="53" t="n"/>
      <c r="B198" s="53" t="n"/>
      <c r="C198" s="53" t="n"/>
      <c r="D198" s="53" t="n"/>
      <c r="E198" s="32">
        <f>IF(COUNT(K198:AG198)=0,"",ROUND((F198+G198+H198+I198+J198)/10,2))</f>
        <v/>
      </c>
      <c r="F198" s="33">
        <f>IF(COUNT(K198:AG198)=0,"",(K198*10+L198*8+M198*7+N198*5)/3)</f>
        <v/>
      </c>
      <c r="G198" s="33">
        <f>IF(COUNT(K198:AG198)=0,"",(P198*8+Q198*7+R198*5+S198*5)/3)</f>
        <v/>
      </c>
      <c r="H198" s="33">
        <f>IF(COUNT(K198:AG198)=0,"",(U198*6+V198*6+W198*4+X198*3+Y198*3+Z198*3)/3)</f>
        <v/>
      </c>
      <c r="I198" s="33">
        <f>IF(COUNT(K198:AG198)=0,"",AB198*3+AC198*2+AD198*2+AE198*1)</f>
        <v/>
      </c>
      <c r="J198" s="33">
        <f>IF(COUNT(K198:AG198)=0,"",(AF198*5+AG198*5)/3)</f>
        <v/>
      </c>
      <c r="K198" s="52" t="n"/>
      <c r="L198" s="52" t="n"/>
      <c r="M198" s="52" t="n"/>
      <c r="N198" s="52" t="n"/>
      <c r="O198" s="53" t="n"/>
      <c r="P198" s="52" t="n"/>
      <c r="Q198" s="52" t="n"/>
      <c r="R198" s="52" t="n"/>
      <c r="S198" s="52" t="n"/>
      <c r="T198" s="53" t="n"/>
      <c r="U198" s="52" t="n"/>
      <c r="V198" s="52" t="n"/>
      <c r="W198" s="52" t="n"/>
      <c r="X198" s="52" t="n"/>
      <c r="Y198" s="52" t="n"/>
      <c r="Z198" s="52" t="n"/>
      <c r="AA198" s="53" t="n"/>
      <c r="AB198" s="52" t="n"/>
      <c r="AC198" s="52" t="n"/>
      <c r="AD198" s="52" t="n"/>
      <c r="AE198" s="52" t="n"/>
      <c r="AF198" s="52" t="n"/>
      <c r="AG198" s="52" t="n"/>
      <c r="AH198" s="53" t="n"/>
      <c r="AI198" s="53" t="n"/>
    </row>
    <row r="199" ht="14.25" customHeight="1" s="65">
      <c r="A199" s="53" t="n"/>
      <c r="B199" s="53" t="n"/>
      <c r="C199" s="53" t="n"/>
      <c r="D199" s="53" t="n"/>
      <c r="E199" s="32">
        <f>IF(COUNT(K199:AG199)=0,"",ROUND((F199+G199+H199+I199+J199)/10,2))</f>
        <v/>
      </c>
      <c r="F199" s="33">
        <f>IF(COUNT(K199:AG199)=0,"",(K199*10+L199*8+M199*7+N199*5)/3)</f>
        <v/>
      </c>
      <c r="G199" s="33">
        <f>IF(COUNT(K199:AG199)=0,"",(P199*8+Q199*7+R199*5+S199*5)/3)</f>
        <v/>
      </c>
      <c r="H199" s="33">
        <f>IF(COUNT(K199:AG199)=0,"",(U199*6+V199*6+W199*4+X199*3+Y199*3+Z199*3)/3)</f>
        <v/>
      </c>
      <c r="I199" s="33">
        <f>IF(COUNT(K199:AG199)=0,"",AB199*3+AC199*2+AD199*2+AE199*1)</f>
        <v/>
      </c>
      <c r="J199" s="33">
        <f>IF(COUNT(K199:AG199)=0,"",(AF199*5+AG199*5)/3)</f>
        <v/>
      </c>
      <c r="K199" s="52" t="n"/>
      <c r="L199" s="52" t="n"/>
      <c r="M199" s="52" t="n"/>
      <c r="N199" s="52" t="n"/>
      <c r="O199" s="53" t="n"/>
      <c r="P199" s="52" t="n"/>
      <c r="Q199" s="52" t="n"/>
      <c r="R199" s="52" t="n"/>
      <c r="S199" s="52" t="n"/>
      <c r="T199" s="53" t="n"/>
      <c r="U199" s="52" t="n"/>
      <c r="V199" s="52" t="n"/>
      <c r="W199" s="52" t="n"/>
      <c r="X199" s="52" t="n"/>
      <c r="Y199" s="52" t="n"/>
      <c r="Z199" s="52" t="n"/>
      <c r="AA199" s="53" t="n"/>
      <c r="AB199" s="52" t="n"/>
      <c r="AC199" s="52" t="n"/>
      <c r="AD199" s="52" t="n"/>
      <c r="AE199" s="52" t="n"/>
      <c r="AF199" s="52" t="n"/>
      <c r="AG199" s="52" t="n"/>
      <c r="AH199" s="53" t="n"/>
      <c r="AI199" s="53" t="n"/>
    </row>
    <row r="200" ht="14.25" customHeight="1" s="65">
      <c r="A200" s="53" t="n"/>
      <c r="B200" s="53" t="n"/>
      <c r="C200" s="53" t="n"/>
      <c r="D200" s="53" t="n"/>
      <c r="E200" s="32">
        <f>IF(COUNT(K200:AG200)=0,"",ROUND((F200+G200+H200+I200+J200)/10,2))</f>
        <v/>
      </c>
      <c r="F200" s="33">
        <f>IF(COUNT(K200:AG200)=0,"",(K200*10+L200*8+M200*7+N200*5)/3)</f>
        <v/>
      </c>
      <c r="G200" s="33">
        <f>IF(COUNT(K200:AG200)=0,"",(P200*8+Q200*7+R200*5+S200*5)/3)</f>
        <v/>
      </c>
      <c r="H200" s="33">
        <f>IF(COUNT(K200:AG200)=0,"",(U200*6+V200*6+W200*4+X200*3+Y200*3+Z200*3)/3)</f>
        <v/>
      </c>
      <c r="I200" s="33">
        <f>IF(COUNT(K200:AG200)=0,"",AB200*3+AC200*2+AD200*2+AE200*1)</f>
        <v/>
      </c>
      <c r="J200" s="33">
        <f>IF(COUNT(K200:AG200)=0,"",(AF200*5+AG200*5)/3)</f>
        <v/>
      </c>
      <c r="K200" s="52" t="n"/>
      <c r="L200" s="52" t="n"/>
      <c r="M200" s="52" t="n"/>
      <c r="N200" s="52" t="n"/>
      <c r="O200" s="53" t="n"/>
      <c r="P200" s="52" t="n"/>
      <c r="Q200" s="52" t="n"/>
      <c r="R200" s="52" t="n"/>
      <c r="S200" s="52" t="n"/>
      <c r="T200" s="53" t="n"/>
      <c r="U200" s="52" t="n"/>
      <c r="V200" s="52" t="n"/>
      <c r="W200" s="52" t="n"/>
      <c r="X200" s="52" t="n"/>
      <c r="Y200" s="52" t="n"/>
      <c r="Z200" s="52" t="n"/>
      <c r="AA200" s="53" t="n"/>
      <c r="AB200" s="52" t="n"/>
      <c r="AC200" s="52" t="n"/>
      <c r="AD200" s="52" t="n"/>
      <c r="AE200" s="52" t="n"/>
      <c r="AF200" s="52" t="n"/>
      <c r="AG200" s="52" t="n"/>
      <c r="AH200" s="53" t="n"/>
      <c r="AI200" s="53" t="n"/>
    </row>
    <row r="201" ht="14.25" customHeight="1" s="65">
      <c r="A201" s="53" t="n"/>
      <c r="B201" s="53" t="n"/>
      <c r="C201" s="53" t="n"/>
      <c r="D201" s="53" t="n"/>
      <c r="E201" s="32">
        <f>IF(COUNT(K201:AG201)=0,"",ROUND((F201+G201+H201+I201+J201)/10,2))</f>
        <v/>
      </c>
      <c r="F201" s="33">
        <f>IF(COUNT(K201:AG201)=0,"",(K201*10+L201*8+M201*7+N201*5)/3)</f>
        <v/>
      </c>
      <c r="G201" s="33">
        <f>IF(COUNT(K201:AG201)=0,"",(P201*8+Q201*7+R201*5+S201*5)/3)</f>
        <v/>
      </c>
      <c r="H201" s="33">
        <f>IF(COUNT(K201:AG201)=0,"",(U201*6+V201*6+W201*4+X201*3+Y201*3+Z201*3)/3)</f>
        <v/>
      </c>
      <c r="I201" s="33">
        <f>IF(COUNT(K201:AG201)=0,"",AB201*3+AC201*2+AD201*2+AE201*1)</f>
        <v/>
      </c>
      <c r="J201" s="33">
        <f>IF(COUNT(K201:AG201)=0,"",(AF201*5+AG201*5)/3)</f>
        <v/>
      </c>
      <c r="K201" s="52" t="n"/>
      <c r="L201" s="52" t="n"/>
      <c r="M201" s="52" t="n"/>
      <c r="N201" s="52" t="n"/>
      <c r="O201" s="53" t="n"/>
      <c r="P201" s="52" t="n"/>
      <c r="Q201" s="52" t="n"/>
      <c r="R201" s="52" t="n"/>
      <c r="S201" s="52" t="n"/>
      <c r="T201" s="53" t="n"/>
      <c r="U201" s="52" t="n"/>
      <c r="V201" s="52" t="n"/>
      <c r="W201" s="52" t="n"/>
      <c r="X201" s="52" t="n"/>
      <c r="Y201" s="52" t="n"/>
      <c r="Z201" s="52" t="n"/>
      <c r="AA201" s="53" t="n"/>
      <c r="AB201" s="52" t="n"/>
      <c r="AC201" s="52" t="n"/>
      <c r="AD201" s="52" t="n"/>
      <c r="AE201" s="52" t="n"/>
      <c r="AF201" s="52" t="n"/>
      <c r="AG201" s="52" t="n"/>
      <c r="AH201" s="53" t="n"/>
      <c r="AI201" s="53" t="n"/>
    </row>
    <row r="202" ht="14.25" customHeight="1" s="65">
      <c r="A202" s="53" t="n"/>
      <c r="B202" s="53" t="n"/>
      <c r="C202" s="53" t="n"/>
      <c r="D202" s="53" t="n"/>
      <c r="E202" s="32">
        <f>IF(COUNT(K202:AG202)=0,"",ROUND((F202+G202+H202+I202+J202)/10,2))</f>
        <v/>
      </c>
      <c r="F202" s="33">
        <f>IF(COUNT(K202:AG202)=0,"",(K202*10+L202*8+M202*7+N202*5)/3)</f>
        <v/>
      </c>
      <c r="G202" s="33">
        <f>IF(COUNT(K202:AG202)=0,"",(P202*8+Q202*7+R202*5+S202*5)/3)</f>
        <v/>
      </c>
      <c r="H202" s="33">
        <f>IF(COUNT(K202:AG202)=0,"",(U202*6+V202*6+W202*4+X202*3+Y202*3+Z202*3)/3)</f>
        <v/>
      </c>
      <c r="I202" s="33">
        <f>IF(COUNT(K202:AG202)=0,"",AB202*3+AC202*2+AD202*2+AE202*1)</f>
        <v/>
      </c>
      <c r="J202" s="33">
        <f>IF(COUNT(K202:AG202)=0,"",(AF202*5+AG202*5)/3)</f>
        <v/>
      </c>
      <c r="K202" s="52" t="n"/>
      <c r="L202" s="52" t="n"/>
      <c r="M202" s="52" t="n"/>
      <c r="N202" s="52" t="n"/>
      <c r="O202" s="53" t="n"/>
      <c r="P202" s="52" t="n"/>
      <c r="Q202" s="52" t="n"/>
      <c r="R202" s="52" t="n"/>
      <c r="S202" s="52" t="n"/>
      <c r="T202" s="53" t="n"/>
      <c r="U202" s="52" t="n"/>
      <c r="V202" s="52" t="n"/>
      <c r="W202" s="52" t="n"/>
      <c r="X202" s="52" t="n"/>
      <c r="Y202" s="52" t="n"/>
      <c r="Z202" s="52" t="n"/>
      <c r="AA202" s="53" t="n"/>
      <c r="AB202" s="52" t="n"/>
      <c r="AC202" s="52" t="n"/>
      <c r="AD202" s="52" t="n"/>
      <c r="AE202" s="52" t="n"/>
      <c r="AF202" s="52" t="n"/>
      <c r="AG202" s="52" t="n"/>
      <c r="AH202" s="53" t="n"/>
      <c r="AI202" s="53" t="n"/>
    </row>
    <row r="203" ht="14.25" customHeight="1" s="65">
      <c r="A203" s="53" t="n"/>
      <c r="B203" s="53" t="n"/>
      <c r="C203" s="53" t="n"/>
      <c r="D203" s="53" t="n"/>
      <c r="E203" s="32">
        <f>IF(COUNT(K203:AG203)=0,"",ROUND((F203+G203+H203+I203+J203)/10,2))</f>
        <v/>
      </c>
      <c r="F203" s="33">
        <f>IF(COUNT(K203:AG203)=0,"",(K203*10+L203*8+M203*7+N203*5)/3)</f>
        <v/>
      </c>
      <c r="G203" s="33">
        <f>IF(COUNT(K203:AG203)=0,"",(P203*8+Q203*7+R203*5+S203*5)/3)</f>
        <v/>
      </c>
      <c r="H203" s="33">
        <f>IF(COUNT(K203:AG203)=0,"",(U203*6+V203*6+W203*4+X203*3+Y203*3+Z203*3)/3)</f>
        <v/>
      </c>
      <c r="I203" s="33">
        <f>IF(COUNT(K203:AG203)=0,"",AB203*3+AC203*2+AD203*2+AE203*1)</f>
        <v/>
      </c>
      <c r="J203" s="33">
        <f>IF(COUNT(K203:AG203)=0,"",(AF203*5+AG203*5)/3)</f>
        <v/>
      </c>
      <c r="K203" s="52" t="n"/>
      <c r="L203" s="52" t="n"/>
      <c r="M203" s="52" t="n"/>
      <c r="N203" s="52" t="n"/>
      <c r="O203" s="53" t="n"/>
      <c r="P203" s="52" t="n"/>
      <c r="Q203" s="52" t="n"/>
      <c r="R203" s="52" t="n"/>
      <c r="S203" s="52" t="n"/>
      <c r="T203" s="53" t="n"/>
      <c r="U203" s="52" t="n"/>
      <c r="V203" s="52" t="n"/>
      <c r="W203" s="52" t="n"/>
      <c r="X203" s="52" t="n"/>
      <c r="Y203" s="52" t="n"/>
      <c r="Z203" s="52" t="n"/>
      <c r="AA203" s="53" t="n"/>
      <c r="AB203" s="52" t="n"/>
      <c r="AC203" s="52" t="n"/>
      <c r="AD203" s="52" t="n"/>
      <c r="AE203" s="52" t="n"/>
      <c r="AF203" s="52" t="n"/>
      <c r="AG203" s="52" t="n"/>
      <c r="AH203" s="53" t="n"/>
      <c r="AI203" s="53" t="n"/>
    </row>
    <row r="204" ht="14.25" customHeight="1" s="65">
      <c r="A204" s="53" t="n"/>
      <c r="B204" s="53" t="n"/>
      <c r="C204" s="53" t="n"/>
      <c r="D204" s="53" t="n"/>
      <c r="E204" s="32">
        <f>IF(COUNT(K204:AG204)=0,"",ROUND((F204+G204+H204+I204+J204)/10,2))</f>
        <v/>
      </c>
      <c r="F204" s="33">
        <f>IF(COUNT(K204:AG204)=0,"",(K204*10+L204*8+M204*7+N204*5)/3)</f>
        <v/>
      </c>
      <c r="G204" s="33">
        <f>IF(COUNT(K204:AG204)=0,"",(P204*8+Q204*7+R204*5+S204*5)/3)</f>
        <v/>
      </c>
      <c r="H204" s="33">
        <f>IF(COUNT(K204:AG204)=0,"",(U204*6+V204*6+W204*4+X204*3+Y204*3+Z204*3)/3)</f>
        <v/>
      </c>
      <c r="I204" s="33">
        <f>IF(COUNT(K204:AG204)=0,"",AB204*3+AC204*2+AD204*2+AE204*1)</f>
        <v/>
      </c>
      <c r="J204" s="33">
        <f>IF(COUNT(K204:AG204)=0,"",(AF204*5+AG204*5)/3)</f>
        <v/>
      </c>
      <c r="K204" s="52" t="n"/>
      <c r="L204" s="52" t="n"/>
      <c r="M204" s="52" t="n"/>
      <c r="N204" s="52" t="n"/>
      <c r="O204" s="53" t="n"/>
      <c r="P204" s="52" t="n"/>
      <c r="Q204" s="52" t="n"/>
      <c r="R204" s="52" t="n"/>
      <c r="S204" s="52" t="n"/>
      <c r="T204" s="53" t="n"/>
      <c r="U204" s="52" t="n"/>
      <c r="V204" s="52" t="n"/>
      <c r="W204" s="52" t="n"/>
      <c r="X204" s="52" t="n"/>
      <c r="Y204" s="52" t="n"/>
      <c r="Z204" s="52" t="n"/>
      <c r="AA204" s="53" t="n"/>
      <c r="AB204" s="52" t="n"/>
      <c r="AC204" s="52" t="n"/>
      <c r="AD204" s="52" t="n"/>
      <c r="AE204" s="52" t="n"/>
      <c r="AF204" s="52" t="n"/>
      <c r="AG204" s="52" t="n"/>
      <c r="AH204" s="53" t="n"/>
      <c r="AI204" s="53" t="n"/>
    </row>
    <row r="205" ht="14.25" customHeight="1" s="65">
      <c r="A205" s="53" t="n"/>
      <c r="B205" s="53" t="n"/>
      <c r="C205" s="53" t="n"/>
      <c r="D205" s="53" t="n"/>
      <c r="E205" s="32">
        <f>IF(COUNT(K205:AG205)=0,"",ROUND((F205+G205+H205+I205+J205)/10,2))</f>
        <v/>
      </c>
      <c r="F205" s="33">
        <f>IF(COUNT(K205:AG205)=0,"",(K205*10+L205*8+M205*7+N205*5)/3)</f>
        <v/>
      </c>
      <c r="G205" s="33">
        <f>IF(COUNT(K205:AG205)=0,"",(P205*8+Q205*7+R205*5+S205*5)/3)</f>
        <v/>
      </c>
      <c r="H205" s="33">
        <f>IF(COUNT(K205:AG205)=0,"",(U205*6+V205*6+W205*4+X205*3+Y205*3+Z205*3)/3)</f>
        <v/>
      </c>
      <c r="I205" s="33">
        <f>IF(COUNT(K205:AG205)=0,"",AB205*3+AC205*2+AD205*2+AE205*1)</f>
        <v/>
      </c>
      <c r="J205" s="33">
        <f>IF(COUNT(K205:AG205)=0,"",(AF205*5+AG205*5)/3)</f>
        <v/>
      </c>
      <c r="K205" s="52" t="n"/>
      <c r="L205" s="52" t="n"/>
      <c r="M205" s="52" t="n"/>
      <c r="N205" s="52" t="n"/>
      <c r="O205" s="53" t="n"/>
      <c r="P205" s="52" t="n"/>
      <c r="Q205" s="52" t="n"/>
      <c r="R205" s="52" t="n"/>
      <c r="S205" s="52" t="n"/>
      <c r="T205" s="53" t="n"/>
      <c r="U205" s="52" t="n"/>
      <c r="V205" s="52" t="n"/>
      <c r="W205" s="52" t="n"/>
      <c r="X205" s="52" t="n"/>
      <c r="Y205" s="52" t="n"/>
      <c r="Z205" s="52" t="n"/>
      <c r="AA205" s="53" t="n"/>
      <c r="AB205" s="52" t="n"/>
      <c r="AC205" s="52" t="n"/>
      <c r="AD205" s="52" t="n"/>
      <c r="AE205" s="52" t="n"/>
      <c r="AF205" s="52" t="n"/>
      <c r="AG205" s="52" t="n"/>
      <c r="AH205" s="53" t="n"/>
      <c r="AI205" s="53" t="n"/>
    </row>
    <row r="206" ht="14.25" customHeight="1" s="65">
      <c r="A206" s="53" t="n"/>
      <c r="B206" s="53" t="n"/>
      <c r="C206" s="53" t="n"/>
      <c r="D206" s="53" t="n"/>
      <c r="E206" s="32">
        <f>IF(COUNT(K206:AG206)=0,"",ROUND((F206+G206+H206+I206+J206)/10,2))</f>
        <v/>
      </c>
      <c r="F206" s="33">
        <f>IF(COUNT(K206:AG206)=0,"",(K206*10+L206*8+M206*7+N206*5)/3)</f>
        <v/>
      </c>
      <c r="G206" s="33">
        <f>IF(COUNT(K206:AG206)=0,"",(P206*8+Q206*7+R206*5+S206*5)/3)</f>
        <v/>
      </c>
      <c r="H206" s="33">
        <f>IF(COUNT(K206:AG206)=0,"",(U206*6+V206*6+W206*4+X206*3+Y206*3+Z206*3)/3)</f>
        <v/>
      </c>
      <c r="I206" s="33">
        <f>IF(COUNT(K206:AG206)=0,"",AB206*3+AC206*2+AD206*2+AE206*1)</f>
        <v/>
      </c>
      <c r="J206" s="33">
        <f>IF(COUNT(K206:AG206)=0,"",(AF206*5+AG206*5)/3)</f>
        <v/>
      </c>
      <c r="K206" s="52" t="n"/>
      <c r="L206" s="52" t="n"/>
      <c r="M206" s="52" t="n"/>
      <c r="N206" s="52" t="n"/>
      <c r="O206" s="53" t="n"/>
      <c r="P206" s="52" t="n"/>
      <c r="Q206" s="52" t="n"/>
      <c r="R206" s="52" t="n"/>
      <c r="S206" s="52" t="n"/>
      <c r="T206" s="53" t="n"/>
      <c r="U206" s="52" t="n"/>
      <c r="V206" s="52" t="n"/>
      <c r="W206" s="52" t="n"/>
      <c r="X206" s="52" t="n"/>
      <c r="Y206" s="52" t="n"/>
      <c r="Z206" s="52" t="n"/>
      <c r="AA206" s="53" t="n"/>
      <c r="AB206" s="52" t="n"/>
      <c r="AC206" s="52" t="n"/>
      <c r="AD206" s="52" t="n"/>
      <c r="AE206" s="52" t="n"/>
      <c r="AF206" s="52" t="n"/>
      <c r="AG206" s="52" t="n"/>
      <c r="AH206" s="53" t="n"/>
      <c r="AI206" s="53" t="n"/>
    </row>
    <row r="207" ht="14.25" customHeight="1" s="65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</row>
    <row r="208" ht="14.25" customHeight="1" s="65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</row>
    <row r="209" ht="14.25" customHeight="1" s="65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</row>
    <row r="210" ht="14.25" customHeight="1" s="65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</row>
    <row r="211" ht="14.25" customHeight="1" s="65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</row>
    <row r="212" ht="14.25" customHeight="1" s="65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</row>
    <row r="213" ht="14.25" customHeight="1" s="65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</row>
    <row r="214" ht="14.25" customHeight="1" s="65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</row>
    <row r="215" ht="14.25" customHeight="1" s="6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</row>
    <row r="216" ht="14.25" customHeight="1" s="65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</row>
    <row r="217" ht="14.25" customHeight="1" s="65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</row>
    <row r="218" ht="14.25" customHeight="1" s="65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</row>
    <row r="219" ht="14.25" customHeight="1" s="65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</row>
    <row r="220" ht="14.25" customHeight="1" s="65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</row>
    <row r="221" ht="14.25" customHeight="1" s="65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</row>
    <row r="222" ht="14.25" customHeight="1" s="65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</row>
    <row r="223" ht="14.25" customHeight="1" s="65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</row>
    <row r="224" ht="14.25" customHeight="1" s="65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</row>
    <row r="225" ht="14.25" customHeight="1" s="6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</row>
    <row r="226" ht="14.25" customHeight="1" s="65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</row>
    <row r="227" ht="14.25" customHeight="1" s="65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</row>
    <row r="228" ht="14.25" customHeight="1" s="65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</row>
    <row r="229" ht="14.25" customHeight="1" s="65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</row>
    <row r="230" ht="14.25" customHeight="1" s="65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</row>
    <row r="231" ht="14.25" customHeight="1" s="65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</row>
    <row r="232" ht="14.25" customHeight="1" s="65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</row>
    <row r="233" ht="14.25" customHeight="1" s="65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</row>
    <row r="234" ht="14.25" customHeight="1" s="65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</row>
    <row r="235" ht="14.25" customHeight="1" s="6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</row>
    <row r="236" ht="14.25" customHeight="1" s="65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</row>
    <row r="237" ht="14.25" customHeight="1" s="65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</row>
    <row r="238" ht="14.25" customHeight="1" s="65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</row>
    <row r="239" ht="14.25" customHeight="1" s="65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</row>
    <row r="240" ht="14.25" customHeight="1" s="65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</row>
    <row r="241" ht="14.25" customHeight="1" s="65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</row>
    <row r="242" ht="14.25" customHeight="1" s="65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</row>
    <row r="243" ht="14.25" customHeight="1" s="65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</row>
    <row r="244" ht="14.25" customHeight="1" s="65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</row>
    <row r="245" ht="14.25" customHeight="1" s="6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</row>
    <row r="246" ht="14.25" customHeight="1" s="65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</row>
    <row r="247" ht="14.25" customHeight="1" s="65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</row>
    <row r="248" ht="14.25" customHeight="1" s="65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</row>
    <row r="249" ht="14.25" customHeight="1" s="65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</row>
    <row r="250" ht="14.25" customHeight="1" s="65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</row>
    <row r="251" ht="14.25" customHeight="1" s="65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</row>
    <row r="252" ht="14.25" customHeight="1" s="65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</row>
    <row r="253" ht="14.25" customHeight="1" s="65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</row>
    <row r="254" ht="14.25" customHeight="1" s="65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</row>
    <row r="255" ht="14.25" customHeight="1" s="6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</row>
    <row r="256" ht="14.25" customHeight="1" s="65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</row>
    <row r="257" ht="14.25" customHeight="1" s="65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</row>
    <row r="258" ht="14.25" customHeight="1" s="65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</row>
    <row r="259" ht="14.25" customHeight="1" s="65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</row>
    <row r="260" ht="14.25" customHeight="1" s="65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</row>
    <row r="261" ht="14.25" customHeight="1" s="65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</row>
    <row r="262" ht="14.25" customHeight="1" s="65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</row>
    <row r="263" ht="14.25" customHeight="1" s="65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</row>
    <row r="264" ht="14.25" customHeight="1" s="65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</row>
    <row r="265" ht="14.25" customHeight="1" s="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</row>
    <row r="266" ht="14.25" customHeight="1" s="65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</row>
    <row r="267" ht="14.25" customHeight="1" s="65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</row>
    <row r="268" ht="14.25" customHeight="1" s="65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</row>
    <row r="269" ht="14.25" customHeight="1" s="65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</row>
    <row r="270" ht="14.25" customHeight="1" s="65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</row>
    <row r="271" ht="14.25" customHeight="1" s="65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</row>
    <row r="272" ht="14.25" customHeight="1" s="65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</row>
    <row r="273" ht="14.25" customHeight="1" s="65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</row>
    <row r="274" ht="14.25" customHeight="1" s="65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</row>
    <row r="275" ht="14.25" customHeight="1" s="6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</row>
    <row r="276" ht="14.25" customHeight="1" s="65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</row>
    <row r="277" ht="14.25" customHeight="1" s="65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</row>
    <row r="278" ht="14.25" customHeight="1" s="65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</row>
    <row r="279" ht="14.25" customHeight="1" s="65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</row>
    <row r="280" ht="14.25" customHeight="1" s="65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</row>
    <row r="281" ht="14.25" customHeight="1" s="65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</row>
    <row r="282" ht="14.25" customHeight="1" s="65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</row>
    <row r="283" ht="14.25" customHeight="1" s="65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</row>
    <row r="284" ht="14.25" customHeight="1" s="65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</row>
    <row r="285" ht="14.25" customHeight="1" s="6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</row>
    <row r="286" ht="14.25" customHeight="1" s="65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</row>
    <row r="287" ht="14.25" customHeight="1" s="65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</row>
    <row r="288" ht="14.25" customHeight="1" s="65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</row>
    <row r="289" ht="14.25" customHeight="1" s="65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</row>
    <row r="290" ht="14.25" customHeight="1" s="65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</row>
    <row r="291" ht="14.25" customHeight="1" s="65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</row>
    <row r="292" ht="14.25" customHeight="1" s="65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</row>
    <row r="293" ht="14.25" customHeight="1" s="65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</row>
    <row r="294" ht="14.25" customHeight="1" s="65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</row>
    <row r="295" ht="14.25" customHeight="1" s="6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</row>
    <row r="296" ht="14.25" customHeight="1" s="65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</row>
    <row r="297" ht="14.25" customHeight="1" s="65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</row>
    <row r="298" ht="14.25" customHeight="1" s="65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</row>
    <row r="299" ht="14.25" customHeight="1" s="65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</row>
    <row r="300" ht="14.25" customHeight="1" s="65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</row>
    <row r="301" ht="14.25" customHeight="1" s="65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</row>
    <row r="302" ht="14.25" customHeight="1" s="65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</row>
    <row r="303" ht="14.25" customHeight="1" s="65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</row>
    <row r="304" ht="14.25" customHeight="1" s="65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</row>
    <row r="305" ht="14.25" customHeight="1" s="6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</row>
    <row r="306" ht="14.25" customHeight="1" s="65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</row>
    <row r="307" ht="14.25" customHeight="1" s="65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</row>
    <row r="308" ht="14.25" customHeight="1" s="65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</row>
    <row r="309" ht="14.25" customHeight="1" s="65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</row>
    <row r="310" ht="14.25" customHeight="1" s="65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</row>
    <row r="311" ht="14.25" customHeight="1" s="65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</row>
    <row r="312" ht="14.25" customHeight="1" s="65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</row>
    <row r="313" ht="14.25" customHeight="1" s="65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</row>
    <row r="314" ht="14.25" customHeight="1" s="65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</row>
    <row r="315" ht="14.25" customHeight="1" s="6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</row>
    <row r="316" ht="14.25" customHeight="1" s="65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</row>
    <row r="317" ht="14.25" customHeight="1" s="65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</row>
    <row r="318" ht="14.25" customHeight="1" s="65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</row>
    <row r="319" ht="14.25" customHeight="1" s="65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</row>
    <row r="320" ht="14.25" customHeight="1" s="65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</row>
    <row r="321" ht="14.25" customHeight="1" s="65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</row>
    <row r="322" ht="14.25" customHeight="1" s="65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</row>
    <row r="323" ht="14.25" customHeight="1" s="65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</row>
    <row r="324" ht="14.25" customHeight="1" s="65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</row>
    <row r="325" ht="14.25" customHeight="1" s="6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</row>
    <row r="326" ht="14.25" customHeight="1" s="65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</row>
    <row r="327" ht="14.25" customHeight="1" s="65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</row>
    <row r="328" ht="14.25" customHeight="1" s="65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</row>
    <row r="329" ht="14.25" customHeight="1" s="65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</row>
    <row r="330" ht="14.25" customHeight="1" s="65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</row>
    <row r="331" ht="14.25" customHeight="1" s="65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</row>
    <row r="332" ht="14.25" customHeight="1" s="65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</row>
    <row r="333" ht="14.25" customHeight="1" s="65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</row>
    <row r="334" ht="14.25" customHeight="1" s="65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</row>
    <row r="335" ht="14.25" customHeight="1" s="6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</row>
    <row r="336" ht="14.25" customHeight="1" s="65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</row>
    <row r="337" ht="14.25" customHeight="1" s="65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</row>
    <row r="338" ht="14.25" customHeight="1" s="65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</row>
    <row r="339" ht="14.25" customHeight="1" s="65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</row>
    <row r="340" ht="14.25" customHeight="1" s="65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</row>
    <row r="341" ht="14.25" customHeight="1" s="65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</row>
    <row r="342" ht="14.25" customHeight="1" s="65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</row>
    <row r="343" ht="14.25" customHeight="1" s="65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</row>
    <row r="344" ht="14.25" customHeight="1" s="65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</row>
    <row r="345" ht="14.25" customHeight="1" s="6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</row>
    <row r="346" ht="14.25" customHeight="1" s="65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</row>
    <row r="347" ht="14.25" customHeight="1" s="65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</row>
    <row r="348" ht="14.25" customHeight="1" s="65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</row>
    <row r="349" ht="14.25" customHeight="1" s="65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</row>
    <row r="350" ht="14.25" customHeight="1" s="65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</row>
    <row r="351" ht="14.25" customHeight="1" s="65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</row>
    <row r="352" ht="14.25" customHeight="1" s="65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</row>
    <row r="353" ht="14.25" customHeight="1" s="65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</row>
    <row r="354" ht="14.25" customHeight="1" s="65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</row>
    <row r="355" ht="14.25" customHeight="1" s="6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</row>
    <row r="356" ht="14.25" customHeight="1" s="65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</row>
    <row r="357" ht="14.25" customHeight="1" s="65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</row>
    <row r="358" ht="14.25" customHeight="1" s="65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</row>
    <row r="359" ht="14.25" customHeight="1" s="65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</row>
    <row r="360" ht="14.25" customHeight="1" s="65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</row>
    <row r="361" ht="14.25" customHeight="1" s="65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</row>
    <row r="362" ht="14.25" customHeight="1" s="65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</row>
    <row r="363" ht="14.25" customHeight="1" s="65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</row>
    <row r="364" ht="14.25" customHeight="1" s="65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</row>
    <row r="365" ht="14.25" customHeight="1" s="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</row>
    <row r="366" ht="14.25" customHeight="1" s="65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</row>
    <row r="367" ht="14.25" customHeight="1" s="65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</row>
    <row r="368" ht="14.25" customHeight="1" s="65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</row>
    <row r="369" ht="14.25" customHeight="1" s="65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</row>
    <row r="370" ht="14.25" customHeight="1" s="65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</row>
    <row r="371" ht="14.25" customHeight="1" s="65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</row>
    <row r="372" ht="14.25" customHeight="1" s="65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</row>
    <row r="373" ht="14.25" customHeight="1" s="65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</row>
    <row r="374" ht="14.25" customHeight="1" s="65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</row>
    <row r="375" ht="14.25" customHeight="1" s="6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</row>
    <row r="376" ht="14.25" customHeight="1" s="65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</row>
    <row r="377" ht="14.25" customHeight="1" s="65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</row>
    <row r="378" ht="14.25" customHeight="1" s="65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</row>
    <row r="379" ht="14.25" customHeight="1" s="65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</row>
    <row r="380" ht="14.25" customHeight="1" s="65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</row>
    <row r="381" ht="14.25" customHeight="1" s="65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</row>
    <row r="382" ht="14.25" customHeight="1" s="65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</row>
    <row r="383" ht="14.25" customHeight="1" s="65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</row>
    <row r="384" ht="14.25" customHeight="1" s="65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</row>
    <row r="385" ht="14.25" customHeight="1" s="6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</row>
    <row r="386" ht="14.25" customHeight="1" s="65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</row>
    <row r="387" ht="14.25" customHeight="1" s="65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</row>
    <row r="388" ht="14.25" customHeight="1" s="65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</row>
    <row r="389" ht="14.25" customHeight="1" s="65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</row>
    <row r="390" ht="14.25" customHeight="1" s="65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</row>
    <row r="391" ht="14.25" customHeight="1" s="65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</row>
    <row r="392" ht="14.25" customHeight="1" s="65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</row>
    <row r="393" ht="14.25" customHeight="1" s="65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</row>
    <row r="394" ht="14.25" customHeight="1" s="65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</row>
    <row r="395" ht="14.25" customHeight="1" s="6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</row>
    <row r="396" ht="14.25" customHeight="1" s="65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</row>
    <row r="397" ht="14.25" customHeight="1" s="65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</row>
    <row r="398" ht="14.25" customHeight="1" s="65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</row>
    <row r="399" ht="14.25" customHeight="1" s="65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</row>
    <row r="400" ht="14.25" customHeight="1" s="65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</row>
    <row r="401" ht="14.25" customHeight="1" s="65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</row>
    <row r="402" ht="14.25" customHeight="1" s="65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</row>
    <row r="403" ht="14.25" customHeight="1" s="65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</row>
    <row r="404" ht="14.25" customHeight="1" s="65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</row>
    <row r="405" ht="14.25" customHeight="1" s="6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</row>
    <row r="406" ht="14.25" customHeight="1" s="65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</row>
    <row r="407" ht="15.75" customHeight="1" s="65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</row>
    <row r="408" ht="15.75" customHeight="1" s="65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</row>
    <row r="409" ht="15.75" customHeight="1" s="65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</row>
    <row r="410" ht="15.75" customHeight="1" s="65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</row>
    <row r="411" ht="15.75" customHeight="1" s="65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</row>
    <row r="412" ht="15.75" customHeight="1" s="65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</row>
    <row r="413" ht="15.75" customHeight="1" s="65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</row>
    <row r="414" ht="15.75" customHeight="1" s="65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</row>
    <row r="415" ht="15.75" customHeight="1" s="6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</row>
    <row r="416" ht="15.75" customHeight="1" s="65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</row>
    <row r="417" ht="15.75" customHeight="1" s="65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</row>
    <row r="418" ht="15.75" customHeight="1" s="65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</row>
    <row r="419" ht="15.75" customHeight="1" s="65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</row>
    <row r="420" ht="15.75" customHeight="1" s="65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</row>
    <row r="421" ht="15.75" customHeight="1" s="65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</row>
    <row r="422" ht="15.75" customHeight="1" s="65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</row>
    <row r="423" ht="15.75" customHeight="1" s="65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</row>
    <row r="424" ht="15.75" customHeight="1" s="65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</row>
    <row r="425" ht="15.75" customHeight="1" s="6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</row>
    <row r="426" ht="15.75" customHeight="1" s="65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</row>
    <row r="427" ht="15.75" customHeight="1" s="65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</row>
    <row r="428" ht="15.75" customHeight="1" s="65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</row>
    <row r="429" ht="15.75" customHeight="1" s="65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</row>
    <row r="430" ht="15.75" customHeight="1" s="65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</row>
    <row r="431" ht="15.75" customHeight="1" s="65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</row>
    <row r="432" ht="15.75" customHeight="1" s="65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</row>
    <row r="433" ht="15.75" customHeight="1" s="65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</row>
    <row r="434" ht="15.75" customHeight="1" s="65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</row>
    <row r="435" ht="15.75" customHeight="1" s="6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</row>
    <row r="436" ht="15.75" customHeight="1" s="65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</row>
    <row r="437" ht="15.75" customHeight="1" s="65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</row>
    <row r="438" ht="15.75" customHeight="1" s="65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</row>
    <row r="439" ht="15.75" customHeight="1" s="65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</row>
    <row r="440" ht="15.75" customHeight="1" s="65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</row>
    <row r="441" ht="15.75" customHeight="1" s="65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</row>
    <row r="442" ht="15.75" customHeight="1" s="65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</row>
    <row r="443" ht="15.75" customHeight="1" s="65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</row>
    <row r="444" ht="15.75" customHeight="1" s="65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</row>
    <row r="445" ht="15.75" customHeight="1" s="6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</row>
    <row r="446" ht="15.75" customHeight="1" s="65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</row>
    <row r="447" ht="15.75" customHeight="1" s="65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</row>
    <row r="448" ht="15.75" customHeight="1" s="65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</row>
    <row r="449" ht="15.75" customHeight="1" s="65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</row>
    <row r="450" ht="15.75" customHeight="1" s="65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</row>
    <row r="451" ht="15.75" customHeight="1" s="65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</row>
    <row r="452" ht="15.75" customHeight="1" s="65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</row>
    <row r="453" ht="15.75" customHeight="1" s="65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</row>
    <row r="454" ht="15.75" customHeight="1" s="65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</row>
    <row r="455" ht="15.75" customHeight="1" s="6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</row>
    <row r="456" ht="15.75" customHeight="1" s="65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</row>
    <row r="457" ht="15.75" customHeight="1" s="65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</row>
    <row r="458" ht="15.75" customHeight="1" s="65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</row>
    <row r="459" ht="15.75" customHeight="1" s="65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</row>
    <row r="460" ht="15.75" customHeight="1" s="65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</row>
    <row r="461" ht="15.75" customHeight="1" s="65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</row>
    <row r="462" ht="15.75" customHeight="1" s="65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</row>
    <row r="463" ht="15.75" customHeight="1" s="65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</row>
    <row r="464" ht="15.75" customHeight="1" s="65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</row>
    <row r="465" ht="15.75" customHeight="1" s="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</row>
    <row r="466" ht="15.75" customHeight="1" s="65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</row>
    <row r="467" ht="15.75" customHeight="1" s="65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</row>
    <row r="468" ht="15.75" customHeight="1" s="65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</row>
    <row r="469" ht="15.75" customHeight="1" s="65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</row>
    <row r="470" ht="15.75" customHeight="1" s="65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</row>
    <row r="471" ht="15.75" customHeight="1" s="65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</row>
    <row r="472" ht="15.75" customHeight="1" s="65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</row>
    <row r="473" ht="15.75" customHeight="1" s="65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</row>
    <row r="474" ht="15.75" customHeight="1" s="65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</row>
    <row r="475" ht="15.75" customHeight="1" s="6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</row>
    <row r="476" ht="15.75" customHeight="1" s="65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</row>
    <row r="477" ht="15.75" customHeight="1" s="65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</row>
    <row r="478" ht="15.75" customHeight="1" s="65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</row>
    <row r="479" ht="15.75" customHeight="1" s="65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</row>
    <row r="480" ht="15.75" customHeight="1" s="65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</row>
    <row r="481" ht="15.75" customHeight="1" s="65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</row>
    <row r="482" ht="15.75" customHeight="1" s="65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</row>
    <row r="483" ht="15.75" customHeight="1" s="65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</row>
    <row r="484" ht="15.75" customHeight="1" s="65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</row>
    <row r="485" ht="15.75" customHeight="1" s="6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</row>
    <row r="486" ht="15.75" customHeight="1" s="65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</row>
    <row r="487" ht="15.75" customHeight="1" s="65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</row>
    <row r="488" ht="15.75" customHeight="1" s="65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</row>
    <row r="489" ht="15.75" customHeight="1" s="65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</row>
    <row r="490" ht="15.75" customHeight="1" s="65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</row>
    <row r="491" ht="15.75" customHeight="1" s="65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</row>
    <row r="492" ht="15.75" customHeight="1" s="65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</row>
    <row r="493" ht="15.75" customHeight="1" s="65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</row>
    <row r="494" ht="15.75" customHeight="1" s="65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</row>
    <row r="495" ht="15.75" customHeight="1" s="6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</row>
    <row r="496" ht="15.75" customHeight="1" s="65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</row>
    <row r="497" ht="15.75" customHeight="1" s="65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</row>
    <row r="498" ht="15.75" customHeight="1" s="65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</row>
    <row r="499" ht="15.75" customHeight="1" s="65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</row>
    <row r="500" ht="15.75" customHeight="1" s="65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</row>
    <row r="501" ht="15.75" customHeight="1" s="65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</row>
    <row r="502" ht="15.75" customHeight="1" s="65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</row>
    <row r="503" ht="15.75" customHeight="1" s="65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</row>
    <row r="504" ht="15.75" customHeight="1" s="65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</row>
    <row r="505" ht="15.75" customHeight="1" s="6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</row>
    <row r="506" ht="15.75" customHeight="1" s="65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</row>
    <row r="507" ht="15.75" customHeight="1" s="65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</row>
    <row r="508" ht="15.75" customHeight="1" s="65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</row>
    <row r="509" ht="15.75" customHeight="1" s="65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</row>
    <row r="510" ht="15.75" customHeight="1" s="65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</row>
    <row r="511" ht="15.75" customHeight="1" s="65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</row>
    <row r="512" ht="15.75" customHeight="1" s="65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</row>
    <row r="513" ht="15.75" customHeight="1" s="65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</row>
    <row r="514" ht="15.75" customHeight="1" s="65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</row>
    <row r="515" ht="15.75" customHeight="1" s="6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</row>
    <row r="516" ht="15.75" customHeight="1" s="65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</row>
    <row r="517" ht="15.75" customHeight="1" s="65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</row>
    <row r="518" ht="15.75" customHeight="1" s="65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</row>
    <row r="519" ht="15.75" customHeight="1" s="65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</row>
    <row r="520" ht="15.75" customHeight="1" s="65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</row>
    <row r="521" ht="15.75" customHeight="1" s="65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</row>
    <row r="522" ht="15.75" customHeight="1" s="65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</row>
    <row r="523" ht="15.75" customHeight="1" s="65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</row>
    <row r="524" ht="15.75" customHeight="1" s="65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</row>
    <row r="525" ht="15.75" customHeight="1" s="6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</row>
    <row r="526" ht="15.75" customHeight="1" s="65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</row>
    <row r="527" ht="15.75" customHeight="1" s="65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</row>
    <row r="528" ht="15.75" customHeight="1" s="65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</row>
    <row r="529" ht="15.75" customHeight="1" s="65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</row>
    <row r="530" ht="15.75" customHeight="1" s="65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</row>
    <row r="531" ht="15.75" customHeight="1" s="65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</row>
    <row r="532" ht="15.75" customHeight="1" s="65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</row>
    <row r="533" ht="15.75" customHeight="1" s="65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</row>
    <row r="534" ht="15.75" customHeight="1" s="65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</row>
    <row r="535" ht="15.75" customHeight="1" s="6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</row>
    <row r="536" ht="15.75" customHeight="1" s="65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</row>
    <row r="537" ht="15.75" customHeight="1" s="65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</row>
    <row r="538" ht="15.75" customHeight="1" s="65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</row>
    <row r="539" ht="15.75" customHeight="1" s="65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</row>
    <row r="540" ht="15.75" customHeight="1" s="65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</row>
    <row r="541" ht="15.75" customHeight="1" s="65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</row>
    <row r="542" ht="15.75" customHeight="1" s="65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</row>
    <row r="543" ht="15.75" customHeight="1" s="65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</row>
    <row r="544" ht="15.75" customHeight="1" s="65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</row>
    <row r="545" ht="15.75" customHeight="1" s="6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</row>
    <row r="546" ht="15.75" customHeight="1" s="65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</row>
    <row r="547" ht="15.75" customHeight="1" s="65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</row>
    <row r="548" ht="15.75" customHeight="1" s="65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</row>
    <row r="549" ht="15.75" customHeight="1" s="65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</row>
    <row r="550" ht="15.75" customHeight="1" s="65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</row>
    <row r="551" ht="15.75" customHeight="1" s="65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</row>
    <row r="552" ht="15.75" customHeight="1" s="65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</row>
    <row r="553" ht="15.75" customHeight="1" s="65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</row>
    <row r="554" ht="15.75" customHeight="1" s="65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</row>
    <row r="555" ht="15.75" customHeight="1" s="6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</row>
    <row r="556" ht="15.75" customHeight="1" s="65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</row>
    <row r="557" ht="15.75" customHeight="1" s="65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</row>
    <row r="558" ht="15.75" customHeight="1" s="65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</row>
    <row r="559" ht="15.75" customHeight="1" s="65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</row>
    <row r="560" ht="15.75" customHeight="1" s="65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</row>
    <row r="561" ht="15.75" customHeight="1" s="65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</row>
    <row r="562" ht="15.75" customHeight="1" s="65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</row>
    <row r="563" ht="15.75" customHeight="1" s="65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</row>
    <row r="564" ht="15.75" customHeight="1" s="65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</row>
    <row r="565" ht="15.75" customHeight="1" s="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</row>
    <row r="566" ht="15.75" customHeight="1" s="65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</row>
    <row r="567" ht="15.75" customHeight="1" s="65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</row>
    <row r="568" ht="15.75" customHeight="1" s="65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</row>
    <row r="569" ht="15.75" customHeight="1" s="65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</row>
    <row r="570" ht="15.75" customHeight="1" s="65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</row>
    <row r="571" ht="15.75" customHeight="1" s="65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</row>
    <row r="572" ht="15.75" customHeight="1" s="65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</row>
    <row r="573" ht="15.75" customHeight="1" s="65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</row>
    <row r="574" ht="15.75" customHeight="1" s="65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</row>
    <row r="575" ht="15.75" customHeight="1" s="6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</row>
    <row r="576" ht="15.75" customHeight="1" s="65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</row>
    <row r="577" ht="15.75" customHeight="1" s="65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</row>
    <row r="578" ht="15.75" customHeight="1" s="65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</row>
    <row r="579" ht="15.75" customHeight="1" s="65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</row>
    <row r="580" ht="15.75" customHeight="1" s="65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</row>
    <row r="581" ht="15.75" customHeight="1" s="65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</row>
    <row r="582" ht="15.75" customHeight="1" s="65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</row>
    <row r="583" ht="15.75" customHeight="1" s="65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</row>
    <row r="584" ht="15.75" customHeight="1" s="65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</row>
    <row r="585" ht="15.75" customHeight="1" s="6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</row>
    <row r="586" ht="15.75" customHeight="1" s="65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</row>
    <row r="587" ht="15.75" customHeight="1" s="65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</row>
    <row r="588" ht="15.75" customHeight="1" s="65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</row>
    <row r="589" ht="15.75" customHeight="1" s="65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</row>
    <row r="590" ht="15.75" customHeight="1" s="65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</row>
    <row r="591" ht="15.75" customHeight="1" s="65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</row>
    <row r="592" ht="15.75" customHeight="1" s="65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</row>
    <row r="593" ht="15.75" customHeight="1" s="65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</row>
    <row r="594" ht="15.75" customHeight="1" s="65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</row>
    <row r="595" ht="15.75" customHeight="1" s="6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</row>
    <row r="596" ht="15.75" customHeight="1" s="65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</row>
    <row r="597" ht="15.75" customHeight="1" s="65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</row>
    <row r="598" ht="15.75" customHeight="1" s="65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</row>
    <row r="599" ht="15.75" customHeight="1" s="65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</row>
    <row r="600" ht="15.75" customHeight="1" s="65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</row>
    <row r="601" ht="15.75" customHeight="1" s="65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</row>
    <row r="602" ht="15.75" customHeight="1" s="65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</row>
    <row r="603" ht="15.75" customHeight="1" s="65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</row>
    <row r="604" ht="15.75" customHeight="1" s="65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</row>
    <row r="605" ht="15.75" customHeight="1" s="6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</row>
    <row r="606" ht="15.75" customHeight="1" s="65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</row>
    <row r="607" ht="15.75" customHeight="1" s="65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</row>
    <row r="608" ht="15.75" customHeight="1" s="65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</row>
    <row r="609" ht="15.75" customHeight="1" s="65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</row>
    <row r="610" ht="15.75" customHeight="1" s="65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</row>
    <row r="611" ht="15.75" customHeight="1" s="65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</row>
    <row r="612" ht="15.75" customHeight="1" s="65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</row>
    <row r="613" ht="15.75" customHeight="1" s="65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</row>
    <row r="614" ht="15.75" customHeight="1" s="65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</row>
    <row r="615" ht="15.75" customHeight="1" s="6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</row>
    <row r="616" ht="15.75" customHeight="1" s="65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</row>
    <row r="617" ht="15.75" customHeight="1" s="65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</row>
    <row r="618" ht="15.75" customHeight="1" s="65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</row>
    <row r="619" ht="15.75" customHeight="1" s="65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</row>
    <row r="620" ht="15.75" customHeight="1" s="65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</row>
    <row r="621" ht="15.75" customHeight="1" s="65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</row>
    <row r="622" ht="15.75" customHeight="1" s="65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</row>
    <row r="623" ht="15.75" customHeight="1" s="65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</row>
    <row r="624" ht="15.75" customHeight="1" s="65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</row>
    <row r="625" ht="15.75" customHeight="1" s="6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</row>
    <row r="626" ht="15.75" customHeight="1" s="65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</row>
    <row r="627" ht="15.75" customHeight="1" s="65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</row>
    <row r="628" ht="15.75" customHeight="1" s="65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</row>
    <row r="629" ht="15.75" customHeight="1" s="65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</row>
    <row r="630" ht="15.75" customHeight="1" s="65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</row>
    <row r="631" ht="15.75" customHeight="1" s="65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</row>
    <row r="632" ht="15.75" customHeight="1" s="65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</row>
    <row r="633" ht="15.75" customHeight="1" s="65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</row>
    <row r="634" ht="15.75" customHeight="1" s="65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</row>
    <row r="635" ht="15.75" customHeight="1" s="6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</row>
    <row r="636" ht="15.75" customHeight="1" s="65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</row>
    <row r="637" ht="15.75" customHeight="1" s="65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</row>
    <row r="638" ht="15.75" customHeight="1" s="65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</row>
    <row r="639" ht="15.75" customHeight="1" s="65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</row>
    <row r="640" ht="15.75" customHeight="1" s="65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</row>
    <row r="641" ht="15.75" customHeight="1" s="65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</row>
    <row r="642" ht="15.75" customHeight="1" s="65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</row>
    <row r="643" ht="15.75" customHeight="1" s="65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</row>
    <row r="644" ht="15.75" customHeight="1" s="65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</row>
    <row r="645" ht="15.75" customHeight="1" s="6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</row>
    <row r="646" ht="15.75" customHeight="1" s="65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</row>
    <row r="647" ht="15.75" customHeight="1" s="65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</row>
    <row r="648" ht="15.75" customHeight="1" s="65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</row>
    <row r="649" ht="15.75" customHeight="1" s="65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</row>
    <row r="650" ht="15.75" customHeight="1" s="65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</row>
    <row r="651" ht="15.75" customHeight="1" s="65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</row>
    <row r="652" ht="15.75" customHeight="1" s="65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</row>
    <row r="653" ht="15.75" customHeight="1" s="65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</row>
    <row r="654" ht="15.75" customHeight="1" s="65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</row>
    <row r="655" ht="15.75" customHeight="1" s="6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</row>
    <row r="656" ht="15.75" customHeight="1" s="65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</row>
    <row r="657" ht="15.75" customHeight="1" s="65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</row>
    <row r="658" ht="15.75" customHeight="1" s="65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</row>
    <row r="659" ht="15.75" customHeight="1" s="65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</row>
    <row r="660" ht="15.75" customHeight="1" s="65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</row>
    <row r="661" ht="15.75" customHeight="1" s="65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</row>
    <row r="662" ht="15.75" customHeight="1" s="65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</row>
    <row r="663" ht="15.75" customHeight="1" s="65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</row>
    <row r="664" ht="15.75" customHeight="1" s="65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</row>
    <row r="665" ht="15.75" customHeight="1" s="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</row>
    <row r="666" ht="15.75" customHeight="1" s="65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</row>
    <row r="667" ht="15.75" customHeight="1" s="65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</row>
    <row r="668" ht="15.75" customHeight="1" s="65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</row>
    <row r="669" ht="15.75" customHeight="1" s="65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</row>
    <row r="670" ht="15.75" customHeight="1" s="65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</row>
    <row r="671" ht="15.75" customHeight="1" s="65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</row>
    <row r="672" ht="15.75" customHeight="1" s="65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</row>
    <row r="673" ht="15.75" customHeight="1" s="65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</row>
    <row r="674" ht="15.75" customHeight="1" s="65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</row>
    <row r="675" ht="15.75" customHeight="1" s="6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</row>
    <row r="676" ht="15.75" customHeight="1" s="65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</row>
    <row r="677" ht="15.75" customHeight="1" s="65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</row>
    <row r="678" ht="15.75" customHeight="1" s="65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</row>
    <row r="679" ht="15.75" customHeight="1" s="65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</row>
    <row r="680" ht="15.75" customHeight="1" s="65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</row>
    <row r="681" ht="15.75" customHeight="1" s="65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</row>
    <row r="682" ht="15.75" customHeight="1" s="65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</row>
    <row r="683" ht="15.75" customHeight="1" s="65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</row>
    <row r="684" ht="15.75" customHeight="1" s="65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</row>
    <row r="685" ht="15.75" customHeight="1" s="6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</row>
    <row r="686" ht="15.75" customHeight="1" s="65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</row>
    <row r="687" ht="15.75" customHeight="1" s="65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</row>
    <row r="688" ht="15.75" customHeight="1" s="65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</row>
    <row r="689" ht="15.75" customHeight="1" s="65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</row>
    <row r="690" ht="15.75" customHeight="1" s="65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</row>
    <row r="691" ht="15.75" customHeight="1" s="65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</row>
    <row r="692" ht="15.75" customHeight="1" s="65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</row>
    <row r="693" ht="15.75" customHeight="1" s="65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</row>
    <row r="694" ht="15.75" customHeight="1" s="65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</row>
    <row r="695" ht="15.75" customHeight="1" s="6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</row>
    <row r="696" ht="15.75" customHeight="1" s="65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</row>
    <row r="697" ht="15.75" customHeight="1" s="65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</row>
    <row r="698" ht="15.75" customHeight="1" s="65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</row>
    <row r="699" ht="15.75" customHeight="1" s="65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</row>
    <row r="700" ht="15.75" customHeight="1" s="65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</row>
    <row r="701" ht="15.75" customHeight="1" s="65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</row>
    <row r="702" ht="15.75" customHeight="1" s="65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</row>
    <row r="703" ht="15.75" customHeight="1" s="65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</row>
    <row r="704" ht="15.75" customHeight="1" s="65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</row>
    <row r="705" ht="15.75" customHeight="1" s="6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</row>
    <row r="706" ht="15.75" customHeight="1" s="65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</row>
    <row r="707" ht="15.75" customHeight="1" s="65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</row>
    <row r="708" ht="15.75" customHeight="1" s="65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</row>
    <row r="709" ht="15.75" customHeight="1" s="65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</row>
    <row r="710" ht="15.75" customHeight="1" s="65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</row>
    <row r="711" ht="15.75" customHeight="1" s="65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</row>
    <row r="712" ht="15.75" customHeight="1" s="65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</row>
    <row r="713" ht="15.75" customHeight="1" s="65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</row>
    <row r="714" ht="15.75" customHeight="1" s="65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</row>
    <row r="715" ht="15.75" customHeight="1" s="6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</row>
    <row r="716" ht="15.75" customHeight="1" s="65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</row>
    <row r="717" ht="15.75" customHeight="1" s="65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</row>
    <row r="718" ht="15.75" customHeight="1" s="65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</row>
    <row r="719" ht="15.75" customHeight="1" s="65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</row>
    <row r="720" ht="15.75" customHeight="1" s="65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</row>
    <row r="721" ht="15.75" customHeight="1" s="65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</row>
    <row r="722" ht="15.75" customHeight="1" s="65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</row>
    <row r="723" ht="15.75" customHeight="1" s="65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</row>
    <row r="724" ht="15.75" customHeight="1" s="65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</row>
    <row r="725" ht="15.75" customHeight="1" s="6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</row>
    <row r="726" ht="15.75" customHeight="1" s="65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</row>
    <row r="727" ht="15.75" customHeight="1" s="65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</row>
    <row r="728" ht="15.75" customHeight="1" s="65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</row>
    <row r="729" ht="15.75" customHeight="1" s="65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</row>
    <row r="730" ht="15.75" customHeight="1" s="65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</row>
    <row r="731" ht="15.75" customHeight="1" s="65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</row>
    <row r="732" ht="15.75" customHeight="1" s="65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</row>
    <row r="733" ht="15.75" customHeight="1" s="65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</row>
    <row r="734" ht="15.75" customHeight="1" s="65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</row>
    <row r="735" ht="15.75" customHeight="1" s="6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</row>
    <row r="736" ht="15.75" customHeight="1" s="65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</row>
    <row r="737" ht="15.75" customHeight="1" s="65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</row>
    <row r="738" ht="15.75" customHeight="1" s="65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</row>
    <row r="739" ht="15.75" customHeight="1" s="65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</row>
    <row r="740" ht="15.75" customHeight="1" s="65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</row>
    <row r="741" ht="15.75" customHeight="1" s="65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</row>
    <row r="742" ht="15.75" customHeight="1" s="65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</row>
    <row r="743" ht="15.75" customHeight="1" s="65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</row>
    <row r="744" ht="15.75" customHeight="1" s="65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</row>
    <row r="745" ht="15.75" customHeight="1" s="6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</row>
    <row r="746" ht="15.75" customHeight="1" s="65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</row>
    <row r="747" ht="15.75" customHeight="1" s="65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</row>
    <row r="748" ht="15.75" customHeight="1" s="65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</row>
    <row r="749" ht="15.75" customHeight="1" s="65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</row>
    <row r="750" ht="15.75" customHeight="1" s="65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</row>
    <row r="751" ht="15.75" customHeight="1" s="65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</row>
    <row r="752" ht="15.75" customHeight="1" s="65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</row>
    <row r="753" ht="15.75" customHeight="1" s="65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</row>
    <row r="754" ht="15.75" customHeight="1" s="65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</row>
    <row r="755" ht="15.75" customHeight="1" s="6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</row>
    <row r="756" ht="15.75" customHeight="1" s="65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</row>
    <row r="757" ht="15.75" customHeight="1" s="65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</row>
    <row r="758" ht="15.75" customHeight="1" s="65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</row>
    <row r="759" ht="15.75" customHeight="1" s="65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</row>
    <row r="760" ht="15.75" customHeight="1" s="65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</row>
    <row r="761" ht="15.75" customHeight="1" s="65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</row>
    <row r="762" ht="15.75" customHeight="1" s="65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</row>
    <row r="763" ht="15.75" customHeight="1" s="65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</row>
    <row r="764" ht="15.75" customHeight="1" s="65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</row>
    <row r="765" ht="15.75" customHeight="1" s="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</row>
    <row r="766" ht="15.75" customHeight="1" s="65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</row>
    <row r="767" ht="15.75" customHeight="1" s="65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</row>
    <row r="768" ht="15.75" customHeight="1" s="65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</row>
    <row r="769" ht="15.75" customHeight="1" s="65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</row>
    <row r="770" ht="15.75" customHeight="1" s="65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</row>
    <row r="771" ht="15.75" customHeight="1" s="65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</row>
    <row r="772" ht="15.75" customHeight="1" s="65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</row>
    <row r="773" ht="15.75" customHeight="1" s="65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</row>
    <row r="774" ht="15.75" customHeight="1" s="65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</row>
    <row r="775" ht="15.75" customHeight="1" s="6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</row>
    <row r="776" ht="15.75" customHeight="1" s="65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</row>
    <row r="777" ht="15.75" customHeight="1" s="65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</row>
    <row r="778" ht="15.75" customHeight="1" s="65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</row>
    <row r="779" ht="15.75" customHeight="1" s="65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</row>
    <row r="780" ht="15.75" customHeight="1" s="65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</row>
    <row r="781" ht="15.75" customHeight="1" s="65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</row>
    <row r="782" ht="15.75" customHeight="1" s="65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</row>
    <row r="783" ht="15.75" customHeight="1" s="65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</row>
    <row r="784" ht="15.75" customHeight="1" s="65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</row>
    <row r="785" ht="15.75" customHeight="1" s="6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</row>
    <row r="786" ht="15.75" customHeight="1" s="65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</row>
    <row r="787" ht="15.75" customHeight="1" s="65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</row>
    <row r="788" ht="15.75" customHeight="1" s="65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</row>
    <row r="789" ht="15.75" customHeight="1" s="65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</row>
    <row r="790" ht="15.75" customHeight="1" s="65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</row>
    <row r="791" ht="15.75" customHeight="1" s="65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</row>
    <row r="792" ht="15.75" customHeight="1" s="65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</row>
    <row r="793" ht="15.75" customHeight="1" s="65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</row>
    <row r="794" ht="15.75" customHeight="1" s="65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</row>
    <row r="795" ht="15.75" customHeight="1" s="6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</row>
    <row r="796" ht="15.75" customHeight="1" s="65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</row>
    <row r="797" ht="15.75" customHeight="1" s="65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</row>
    <row r="798" ht="15.75" customHeight="1" s="65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</row>
    <row r="799" ht="15.75" customHeight="1" s="65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</row>
    <row r="800" ht="15.75" customHeight="1" s="65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</row>
    <row r="801" ht="15.75" customHeight="1" s="65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</row>
    <row r="802" ht="15.75" customHeight="1" s="65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</row>
    <row r="803" ht="15.75" customHeight="1" s="65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</row>
    <row r="804" ht="15.75" customHeight="1" s="65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</row>
    <row r="805" ht="15.75" customHeight="1" s="6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</row>
    <row r="806" ht="15.75" customHeight="1" s="65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</row>
    <row r="807" ht="15.75" customHeight="1" s="65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</row>
    <row r="808" ht="15.75" customHeight="1" s="65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</row>
    <row r="809" ht="15.75" customHeight="1" s="65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</row>
    <row r="810" ht="15.75" customHeight="1" s="65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</row>
    <row r="811" ht="15.75" customHeight="1" s="65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</row>
    <row r="812" ht="15.75" customHeight="1" s="65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</row>
    <row r="813" ht="15.75" customHeight="1" s="65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</row>
    <row r="814" ht="15.75" customHeight="1" s="65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</row>
    <row r="815" ht="15.75" customHeight="1" s="6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</row>
    <row r="816" ht="15.75" customHeight="1" s="65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</row>
    <row r="817" ht="15.75" customHeight="1" s="65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</row>
    <row r="818" ht="15.75" customHeight="1" s="65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</row>
    <row r="819" ht="15.75" customHeight="1" s="65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</row>
    <row r="820" ht="15.75" customHeight="1" s="65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</row>
    <row r="821" ht="15.75" customHeight="1" s="65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</row>
    <row r="822" ht="15.75" customHeight="1" s="65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</row>
    <row r="823" ht="15.75" customHeight="1" s="65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</row>
    <row r="824" ht="15.75" customHeight="1" s="65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</row>
    <row r="825" ht="15.75" customHeight="1" s="6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</row>
    <row r="826" ht="15.75" customHeight="1" s="65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</row>
    <row r="827" ht="15.75" customHeight="1" s="65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</row>
    <row r="828" ht="15.75" customHeight="1" s="65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</row>
    <row r="829" ht="15.75" customHeight="1" s="65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</row>
    <row r="830" ht="15.75" customHeight="1" s="65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</row>
    <row r="831" ht="15.75" customHeight="1" s="65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</row>
    <row r="832" ht="15.75" customHeight="1" s="65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</row>
    <row r="833" ht="15.75" customHeight="1" s="65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</row>
    <row r="834" ht="15.75" customHeight="1" s="65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</row>
    <row r="835" ht="15.75" customHeight="1" s="6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</row>
    <row r="836" ht="15.75" customHeight="1" s="65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</row>
    <row r="837" ht="15.75" customHeight="1" s="65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</row>
    <row r="838" ht="15.75" customHeight="1" s="65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</row>
    <row r="839" ht="15.75" customHeight="1" s="65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</row>
    <row r="840" ht="15.75" customHeight="1" s="65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</row>
    <row r="841" ht="15.75" customHeight="1" s="65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</row>
    <row r="842" ht="15.75" customHeight="1" s="65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</row>
    <row r="843" ht="15.75" customHeight="1" s="65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</row>
    <row r="844" ht="15.75" customHeight="1" s="65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</row>
    <row r="845" ht="15.75" customHeight="1" s="6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</row>
    <row r="846" ht="15.75" customHeight="1" s="65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</row>
    <row r="847" ht="15.75" customHeight="1" s="65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</row>
    <row r="848" ht="15.75" customHeight="1" s="65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</row>
    <row r="849" ht="15.75" customHeight="1" s="65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</row>
    <row r="850" ht="15.75" customHeight="1" s="65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</row>
    <row r="851" ht="15.75" customHeight="1" s="65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</row>
    <row r="852" ht="15.75" customHeight="1" s="65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</row>
    <row r="853" ht="15.75" customHeight="1" s="65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</row>
    <row r="854" ht="15.75" customHeight="1" s="65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</row>
    <row r="855" ht="15.75" customHeight="1" s="6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</row>
    <row r="856" ht="15.75" customHeight="1" s="65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</row>
    <row r="857" ht="15.75" customHeight="1" s="65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</row>
    <row r="858" ht="15.75" customHeight="1" s="65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</row>
    <row r="859" ht="15.75" customHeight="1" s="65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</row>
    <row r="860" ht="15.75" customHeight="1" s="65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</row>
    <row r="861" ht="15.75" customHeight="1" s="65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</row>
    <row r="862" ht="15.75" customHeight="1" s="65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</row>
    <row r="863" ht="15.75" customHeight="1" s="65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</row>
    <row r="864" ht="15.75" customHeight="1" s="65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</row>
    <row r="865" ht="15.75" customHeight="1" s="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</row>
    <row r="866" ht="15.75" customHeight="1" s="65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</row>
    <row r="867" ht="15.75" customHeight="1" s="65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</row>
    <row r="868" ht="15.75" customHeight="1" s="65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</row>
    <row r="869" ht="15.75" customHeight="1" s="65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</row>
    <row r="870" ht="15.75" customHeight="1" s="65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</row>
    <row r="871" ht="15.75" customHeight="1" s="65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</row>
    <row r="872" ht="15.75" customHeight="1" s="65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</row>
    <row r="873" ht="15.75" customHeight="1" s="65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</row>
    <row r="874" ht="15.75" customHeight="1" s="65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</row>
    <row r="875" ht="15.75" customHeight="1" s="6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</row>
    <row r="876" ht="15.75" customHeight="1" s="65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</row>
    <row r="877" ht="15.75" customHeight="1" s="65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</row>
    <row r="878" ht="15.75" customHeight="1" s="65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</row>
    <row r="879" ht="15.75" customHeight="1" s="65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</row>
    <row r="880" ht="15.75" customHeight="1" s="65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</row>
    <row r="881" ht="15.75" customHeight="1" s="65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</row>
    <row r="882" ht="15.75" customHeight="1" s="65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</row>
    <row r="883" ht="15.75" customHeight="1" s="65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</row>
    <row r="884" ht="15.75" customHeight="1" s="65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</row>
    <row r="885" ht="15.75" customHeight="1" s="6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</row>
    <row r="886" ht="15.75" customHeight="1" s="65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</row>
    <row r="887" ht="15.75" customHeight="1" s="65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</row>
    <row r="888" ht="15.75" customHeight="1" s="65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</row>
    <row r="889" ht="15.75" customHeight="1" s="65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</row>
    <row r="890" ht="15.75" customHeight="1" s="65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</row>
    <row r="891" ht="15.75" customHeight="1" s="65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</row>
    <row r="892" ht="15.75" customHeight="1" s="65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</row>
    <row r="893" ht="15.75" customHeight="1" s="65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</row>
    <row r="894" ht="15.75" customHeight="1" s="65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</row>
    <row r="895" ht="15.75" customHeight="1" s="6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</row>
    <row r="896" ht="15.75" customHeight="1" s="65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</row>
    <row r="897" ht="15.75" customHeight="1" s="65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</row>
    <row r="898" ht="15.75" customHeight="1" s="65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</row>
    <row r="899" ht="15.75" customHeight="1" s="65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</row>
    <row r="900" ht="15.75" customHeight="1" s="65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</row>
    <row r="901" ht="15.75" customHeight="1" s="65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</row>
    <row r="902" ht="15.75" customHeight="1" s="65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</row>
    <row r="903" ht="15.75" customHeight="1" s="65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</row>
    <row r="904" ht="15.75" customHeight="1" s="65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</row>
    <row r="905" ht="15.75" customHeight="1" s="6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</row>
    <row r="906" ht="15.75" customHeight="1" s="65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</row>
    <row r="907" ht="15.75" customHeight="1" s="65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</row>
    <row r="908" ht="15.75" customHeight="1" s="65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</row>
    <row r="909" ht="15.75" customHeight="1" s="65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</row>
    <row r="910" ht="15.75" customHeight="1" s="65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</row>
    <row r="911" ht="15.75" customHeight="1" s="65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</row>
    <row r="912" ht="15.75" customHeight="1" s="65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</row>
    <row r="913" ht="15.75" customHeight="1" s="65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</row>
    <row r="914" ht="15.75" customHeight="1" s="65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</row>
    <row r="915" ht="15.75" customHeight="1" s="6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</row>
    <row r="916" ht="15.75" customHeight="1" s="65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</row>
    <row r="917" ht="15.75" customHeight="1" s="65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</row>
    <row r="918" ht="15.75" customHeight="1" s="65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</row>
    <row r="919" ht="15.75" customHeight="1" s="65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</row>
    <row r="920" ht="15.75" customHeight="1" s="65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</row>
    <row r="921" ht="15.75" customHeight="1" s="65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</row>
    <row r="922" ht="15.75" customHeight="1" s="65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</row>
    <row r="923" ht="15.75" customHeight="1" s="65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</row>
    <row r="924" ht="15.75" customHeight="1" s="65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</row>
    <row r="925" ht="15.75" customHeight="1" s="6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</row>
    <row r="926" ht="15.75" customHeight="1" s="65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</row>
    <row r="927" ht="15.75" customHeight="1" s="65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</row>
    <row r="928" ht="15.75" customHeight="1" s="65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</row>
    <row r="929" ht="15.75" customHeight="1" s="65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</row>
    <row r="930" ht="15.75" customHeight="1" s="65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</row>
    <row r="931" ht="15.75" customHeight="1" s="65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</row>
    <row r="932" ht="15.75" customHeight="1" s="65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</row>
    <row r="933" ht="15.75" customHeight="1" s="65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</row>
    <row r="934" ht="15.75" customHeight="1" s="65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</row>
    <row r="935" ht="15.75" customHeight="1" s="6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</row>
    <row r="936" ht="15.75" customHeight="1" s="65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</row>
    <row r="937" ht="15.75" customHeight="1" s="65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</row>
    <row r="938" ht="15.75" customHeight="1" s="65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</row>
    <row r="939" ht="15.75" customHeight="1" s="65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</row>
    <row r="940" ht="15.75" customHeight="1" s="65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</row>
    <row r="941" ht="15.75" customHeight="1" s="65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</row>
    <row r="942" ht="15.75" customHeight="1" s="65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</row>
    <row r="943" ht="15.75" customHeight="1" s="65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</row>
    <row r="944" ht="15.75" customHeight="1" s="65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</row>
    <row r="945" ht="15.75" customHeight="1" s="6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</row>
    <row r="946" ht="15.75" customHeight="1" s="65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</row>
    <row r="947" ht="15.75" customHeight="1" s="65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</row>
    <row r="948" ht="15.75" customHeight="1" s="65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</row>
    <row r="949" ht="15.75" customHeight="1" s="65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</row>
    <row r="950" ht="15.75" customHeight="1" s="65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</row>
    <row r="951" ht="15.75" customHeight="1" s="65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</row>
    <row r="952" ht="15.75" customHeight="1" s="65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</row>
    <row r="953" ht="15.75" customHeight="1" s="65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</row>
    <row r="954" ht="15.75" customHeight="1" s="65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</row>
    <row r="955" ht="15.75" customHeight="1" s="6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</row>
    <row r="956" ht="15.75" customHeight="1" s="65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</row>
    <row r="957" ht="15.75" customHeight="1" s="65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</row>
    <row r="958" ht="15.75" customHeight="1" s="65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</row>
    <row r="959" ht="15.75" customHeight="1" s="65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</row>
    <row r="960" ht="15.75" customHeight="1" s="65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</row>
    <row r="961" ht="15.75" customHeight="1" s="65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</row>
    <row r="962" ht="15.75" customHeight="1" s="65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</row>
    <row r="963" ht="15.75" customHeight="1" s="65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</row>
    <row r="964" ht="15.75" customHeight="1" s="65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</row>
    <row r="965" ht="15.75" customHeight="1" s="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</row>
    <row r="966" ht="15.75" customHeight="1" s="65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</row>
    <row r="967" ht="15.75" customHeight="1" s="65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</row>
    <row r="968" ht="15.75" customHeight="1" s="65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</row>
    <row r="969" ht="15.75" customHeight="1" s="65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</row>
    <row r="970" ht="15.75" customHeight="1" s="65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</row>
    <row r="971" ht="15.75" customHeight="1" s="65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</row>
    <row r="972" ht="15.75" customHeight="1" s="65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</row>
    <row r="973" ht="15.75" customHeight="1" s="65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</row>
    <row r="974" ht="15.75" customHeight="1" s="65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</row>
    <row r="975" ht="15.75" customHeight="1" s="6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</row>
    <row r="976" ht="15.75" customHeight="1" s="65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</row>
    <row r="977" ht="15.75" customHeight="1" s="65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</row>
    <row r="978" ht="15.75" customHeight="1" s="65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</row>
    <row r="979" ht="15.75" customHeight="1" s="65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</row>
    <row r="980" ht="15.75" customHeight="1" s="65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</row>
    <row r="981" ht="15.75" customHeight="1" s="65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</row>
    <row r="982" ht="15.75" customHeight="1" s="65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</row>
    <row r="983" ht="15.75" customHeight="1" s="65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</row>
    <row r="984" ht="15.75" customHeight="1" s="65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</row>
    <row r="985" ht="15.75" customHeight="1" s="6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</row>
    <row r="986" ht="15.75" customHeight="1" s="65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</row>
    <row r="987" ht="15.75" customHeight="1" s="65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</row>
    <row r="988" ht="15.75" customHeight="1" s="65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</row>
    <row r="989" ht="15.75" customHeight="1" s="65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</row>
    <row r="990" ht="15.75" customHeight="1" s="65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</row>
    <row r="991" ht="15.75" customHeight="1" s="65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</row>
    <row r="992" ht="15.75" customHeight="1" s="65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</row>
    <row r="993" ht="15.75" customHeight="1" s="65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</row>
    <row r="994" ht="15.75" customHeight="1" s="65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</row>
    <row r="995" ht="15.75" customHeight="1" s="6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</row>
    <row r="996" ht="15.75" customHeight="1" s="65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</row>
    <row r="997" ht="15.75" customHeight="1" s="65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</row>
    <row r="998" ht="15.75" customHeight="1" s="65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</row>
    <row r="999" ht="15.75" customHeight="1" s="65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</row>
    <row r="1000" ht="15.75" customHeight="1" s="65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</row>
  </sheetData>
  <autoFilter ref="$A$5:$AI$206">
    <sortState ref="A5:AI206">
      <sortCondition ref="B5:B206"/>
    </sortState>
  </autoFilter>
  <mergeCells count="6">
    <mergeCell ref="P4:T4"/>
    <mergeCell ref="AB4:AE4"/>
    <mergeCell ref="U4:AA4"/>
    <mergeCell ref="AF4:AH4"/>
    <mergeCell ref="K4:O4"/>
    <mergeCell ref="B2:J2"/>
  </mergeCells>
  <conditionalFormatting sqref="E7:E206">
    <cfRule type="expression" priority="1" dxfId="4">
      <formula>AND(COUNT($K7:$AE7)&gt;0,ISNUMBER($E7),$E7&gt;5)</formula>
    </cfRule>
    <cfRule type="expression" priority="2" dxfId="5">
      <formula>AND(COUNT($K7:$AE7)&gt;0,ISNUMBER($E7),$E7&lt;5)</formula>
    </cfRule>
  </conditionalFormatting>
  <dataValidations count="2">
    <dataValidation sqref="AB7:AD206" showDropDown="0" showInputMessage="1" showErrorMessage="1" allowBlank="1" prompt="Só 0 ou 1 - Item binário: enviou = 1, não enviou = 0." type="list">
      <formula1>"0,1"</formula1>
    </dataValidation>
    <dataValidation sqref="K7:N206 P7:S206 U7:Z206 AE7:AG206" showDropDown="0" showInputMessage="1" showErrorMessage="1" allowBlank="1" prompt="Só 0, 1, 2 ou 3 - Esta escala não aceita decimais. Consulte a aba 'Base avaliação' e escolha o nível que a entrega atende." type="list">
      <formula1>"0,1,2,3"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20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65" min="1" max="6"/>
  </cols>
  <sheetData>
    <row r="1">
      <c r="A1" s="2" t="inlineStr">
        <is>
          <t>#</t>
        </is>
      </c>
      <c r="B1" s="2" t="inlineStr">
        <is>
          <t>Candidato</t>
        </is>
      </c>
      <c r="C1" s="2" t="inlineStr">
        <is>
          <t>Correção 1</t>
        </is>
      </c>
      <c r="D1" s="2" t="inlineStr">
        <is>
          <t>Correção 2</t>
        </is>
      </c>
    </row>
    <row r="2">
      <c r="A2" s="3" t="n">
        <v>1</v>
      </c>
      <c r="B2" s="3" t="inlineStr">
        <is>
          <t>Gabrielle Cristofani do Rosario</t>
        </is>
      </c>
      <c r="C2" s="3" t="inlineStr">
        <is>
          <t>Ferro</t>
        </is>
      </c>
      <c r="D2" s="3" t="inlineStr">
        <is>
          <t>Victor</t>
        </is>
      </c>
    </row>
    <row r="3">
      <c r="A3" s="3" t="n">
        <v>2</v>
      </c>
      <c r="B3" s="3" t="inlineStr">
        <is>
          <t>Bruno Heberth Oliveira Bastos</t>
        </is>
      </c>
      <c r="C3" s="3" t="inlineStr">
        <is>
          <t>Proc</t>
        </is>
      </c>
      <c r="D3" s="3" t="inlineStr">
        <is>
          <t>Fred</t>
        </is>
      </c>
    </row>
    <row r="4">
      <c r="A4" s="3" t="n">
        <v>3</v>
      </c>
      <c r="B4" s="3" t="inlineStr">
        <is>
          <t>Rafael Ponciano Rodrigues dos Santos</t>
        </is>
      </c>
      <c r="C4" s="3" t="inlineStr">
        <is>
          <t>Matteo</t>
        </is>
      </c>
      <c r="D4" s="3" t="inlineStr">
        <is>
          <t>Luis</t>
        </is>
      </c>
    </row>
    <row r="5">
      <c r="A5" s="3" t="n">
        <v>4</v>
      </c>
      <c r="B5" s="3" t="inlineStr">
        <is>
          <t>Enzo Chofakian Gagliardi</t>
        </is>
      </c>
      <c r="C5" s="3" t="inlineStr">
        <is>
          <t>Ferro</t>
        </is>
      </c>
      <c r="D5" s="3" t="inlineStr">
        <is>
          <t>Proc</t>
        </is>
      </c>
    </row>
    <row r="6">
      <c r="A6" s="3" t="n">
        <v>5</v>
      </c>
      <c r="B6" s="3" t="inlineStr">
        <is>
          <t>Enrico Tristão e Mello de Oliveira</t>
        </is>
      </c>
      <c r="C6" s="3" t="inlineStr">
        <is>
          <t>Victor</t>
        </is>
      </c>
      <c r="D6" s="3" t="inlineStr">
        <is>
          <t>Matteo</t>
        </is>
      </c>
    </row>
    <row r="7">
      <c r="A7" s="3" t="n">
        <v>6</v>
      </c>
      <c r="B7" s="3" t="inlineStr">
        <is>
          <t>Eduardo Alves Henrique</t>
        </is>
      </c>
      <c r="C7" s="3" t="inlineStr">
        <is>
          <t>Fred</t>
        </is>
      </c>
      <c r="D7" s="3" t="inlineStr">
        <is>
          <t>Luis</t>
        </is>
      </c>
    </row>
    <row r="8">
      <c r="A8" s="3" t="n">
        <v>7</v>
      </c>
      <c r="B8" s="3" t="inlineStr">
        <is>
          <t>Leandra Cunha de Souza</t>
        </is>
      </c>
      <c r="C8" s="3" t="inlineStr">
        <is>
          <t>Ferro</t>
        </is>
      </c>
      <c r="D8" s="3" t="inlineStr">
        <is>
          <t>Fred</t>
        </is>
      </c>
    </row>
    <row r="9">
      <c r="A9" s="3" t="n">
        <v>8</v>
      </c>
      <c r="B9" s="3" t="inlineStr">
        <is>
          <t>Vagner Ássimos Gomes Carlos Filho</t>
        </is>
      </c>
      <c r="C9" s="3" t="inlineStr">
        <is>
          <t>Victor</t>
        </is>
      </c>
      <c r="D9" s="3" t="inlineStr">
        <is>
          <t>Luis</t>
        </is>
      </c>
    </row>
    <row r="10">
      <c r="A10" s="3" t="n">
        <v>9</v>
      </c>
      <c r="B10" s="3" t="inlineStr">
        <is>
          <t>Mariana Nunes Galvão Sant'Anna</t>
        </is>
      </c>
      <c r="C10" s="3" t="inlineStr">
        <is>
          <t>Proc</t>
        </is>
      </c>
      <c r="D10" s="3" t="inlineStr">
        <is>
          <t>Matteo</t>
        </is>
      </c>
    </row>
    <row r="11">
      <c r="A11" s="3" t="n">
        <v>10</v>
      </c>
      <c r="B11" s="3" t="inlineStr">
        <is>
          <t>Aslan Rodrigues Maia</t>
        </is>
      </c>
      <c r="C11" s="3" t="inlineStr">
        <is>
          <t>Ferro</t>
        </is>
      </c>
      <c r="D11" s="3" t="inlineStr">
        <is>
          <t>Matteo</t>
        </is>
      </c>
    </row>
    <row r="12">
      <c r="A12" s="3" t="n">
        <v>11</v>
      </c>
      <c r="B12" s="3" t="inlineStr">
        <is>
          <t>João Gabriel de Oliveira Morcelli</t>
        </is>
      </c>
      <c r="C12" s="3" t="inlineStr">
        <is>
          <t>Victor</t>
        </is>
      </c>
      <c r="D12" s="3" t="inlineStr">
        <is>
          <t>Proc</t>
        </is>
      </c>
    </row>
    <row r="13">
      <c r="A13" s="3" t="n">
        <v>12</v>
      </c>
      <c r="B13" s="3" t="inlineStr">
        <is>
          <t xml:space="preserve">Raphael Negrini Saggioro </t>
        </is>
      </c>
      <c r="C13" s="3" t="inlineStr">
        <is>
          <t>Fred</t>
        </is>
      </c>
      <c r="D13" s="3" t="inlineStr">
        <is>
          <t>Matteo</t>
        </is>
      </c>
    </row>
    <row r="14">
      <c r="A14" s="3" t="n">
        <v>13</v>
      </c>
      <c r="B14" s="3" t="inlineStr">
        <is>
          <t>Gustavo Daher Pereira</t>
        </is>
      </c>
      <c r="C14" s="3" t="inlineStr">
        <is>
          <t>Ferro</t>
        </is>
      </c>
      <c r="D14" s="3" t="inlineStr">
        <is>
          <t>Luis</t>
        </is>
      </c>
      <c r="E14" s="3" t="inlineStr">
        <is>
          <t>Esse mano nem enviou o case</t>
        </is>
      </c>
    </row>
    <row r="15">
      <c r="A15" s="3" t="n">
        <v>14</v>
      </c>
      <c r="B15" s="3" t="inlineStr">
        <is>
          <t>Ricardo Augusto Schmitt Filho</t>
        </is>
      </c>
      <c r="C15" s="3" t="inlineStr">
        <is>
          <t>Victor</t>
        </is>
      </c>
      <c r="D15" s="3" t="inlineStr">
        <is>
          <t>Fred</t>
        </is>
      </c>
    </row>
    <row r="16">
      <c r="A16" s="3" t="n">
        <v>15</v>
      </c>
      <c r="B16" s="3" t="inlineStr">
        <is>
          <t>Klaus Augusto Santos da Silva</t>
        </is>
      </c>
      <c r="C16" s="3" t="inlineStr">
        <is>
          <t>Proc</t>
        </is>
      </c>
      <c r="D16" s="3" t="inlineStr">
        <is>
          <t>Luis</t>
        </is>
      </c>
    </row>
    <row r="17">
      <c r="A17" s="3" t="n">
        <v>16</v>
      </c>
      <c r="B17" s="3" t="inlineStr">
        <is>
          <t>Rafael Rodrigues Moreira</t>
        </is>
      </c>
      <c r="C17" s="3" t="inlineStr">
        <is>
          <t>Ferro</t>
        </is>
      </c>
      <c r="D17" s="3" t="inlineStr">
        <is>
          <t>Victor</t>
        </is>
      </c>
    </row>
    <row r="18">
      <c r="A18" s="3" t="n">
        <v>17</v>
      </c>
      <c r="B18" s="3" t="inlineStr">
        <is>
          <t>Caio Augusto Saab</t>
        </is>
      </c>
      <c r="C18" s="3" t="inlineStr">
        <is>
          <t>Proc</t>
        </is>
      </c>
      <c r="D18" s="3" t="inlineStr">
        <is>
          <t>Fred</t>
        </is>
      </c>
    </row>
    <row r="19">
      <c r="A19" s="3" t="n">
        <v>18</v>
      </c>
      <c r="B19" s="3" t="inlineStr">
        <is>
          <t>José Vitor Dias Tutu</t>
        </is>
      </c>
      <c r="C19" s="3" t="inlineStr">
        <is>
          <t>Matteo</t>
        </is>
      </c>
      <c r="D19" s="3" t="inlineStr">
        <is>
          <t>Luis</t>
        </is>
      </c>
    </row>
    <row r="20">
      <c r="A20" s="3" t="n">
        <v>19</v>
      </c>
      <c r="B20" s="3" t="inlineStr">
        <is>
          <t>Isadora Kluge Dorigan</t>
        </is>
      </c>
      <c r="C20" s="3" t="inlineStr">
        <is>
          <t>Ferro</t>
        </is>
      </c>
      <c r="D20" s="3" t="inlineStr">
        <is>
          <t>Proc</t>
        </is>
      </c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5" customWidth="1" style="65" min="1" max="1"/>
    <col width="34" customWidth="1" style="65" min="2" max="2"/>
    <col width="9" customWidth="1" style="65" min="3" max="4"/>
    <col width="11" customWidth="1" style="65" min="5" max="5"/>
    <col width="12" customWidth="1" style="65" min="6" max="7"/>
    <col width="9" customWidth="1" style="65" min="8" max="8"/>
    <col width="30" customWidth="1" style="65" min="9" max="9"/>
    <col width="12" customWidth="1" style="65" min="10" max="10"/>
    <col width="10" customWidth="1" style="65" min="11" max="11"/>
    <col width="44" customWidth="1" style="65" min="12" max="12"/>
    <col width="9" customWidth="1" style="65" min="13" max="13"/>
    <col width="22" customWidth="1" style="65" min="14" max="14"/>
    <col width="15" customWidth="1" style="65" min="15" max="15"/>
  </cols>
  <sheetData>
    <row r="1" ht="14.25" customHeight="1" s="65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5.5" customHeight="1" s="65">
      <c r="A2" s="53" t="n"/>
      <c r="B2" s="71" t="inlineStr">
        <is>
          <t>CONSOLIDADO — cole os nomes na coluna B; o resto se calcula sozinho.</t>
        </is>
      </c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21.75" customHeight="1" s="65">
      <c r="A3" s="53" t="n"/>
      <c r="B3" s="72">
        <f>IF(COUNTA($B$5:$B$64)=0,"Cole os nomes dos candidatos na coluna B para começar.","Avaliações completas: "&amp;COUNTIF($D$5:$D$64,"&gt;=2")&amp;" de "&amp;COUNTA($B$5:$B$64)&amp;" candidatos  ("&amp;TEXT(COUNTIF($D$5:$D$64,"&gt;=2")/COUNTA($B$5:$B$64),"0%")&amp;")     •     Ainda com 1 avaliador só: "&amp;COUNTIF($D$5:$D$64,1)&amp;"     •     Sem nenhuma nota: "&amp;COUNTIF($D$5:$D$64,0))</f>
        <v/>
      </c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30" customHeight="1" s="65">
      <c r="A4" s="25" t="inlineStr">
        <is>
          <t>#</t>
        </is>
      </c>
      <c r="B4" s="25" t="inlineStr">
        <is>
          <t>Candidato(a)</t>
        </is>
      </c>
      <c r="C4" s="25" t="inlineStr">
        <is>
          <t>Nome</t>
        </is>
      </c>
      <c r="D4" s="25" t="inlineStr">
        <is>
          <t>Nº aval.</t>
        </is>
      </c>
      <c r="E4" s="25" t="inlineStr">
        <is>
          <t>NOTA FINAL</t>
        </is>
      </c>
      <c r="F4" s="25" t="inlineStr">
        <is>
          <t>Nota aval. 1</t>
        </is>
      </c>
      <c r="G4" s="25" t="inlineStr">
        <is>
          <t>Nota aval. 2</t>
        </is>
      </c>
      <c r="H4" s="25" t="inlineStr">
        <is>
          <t>Diverg.</t>
        </is>
      </c>
      <c r="I4" s="25" t="inlineStr">
        <is>
          <t>Alerta</t>
        </is>
      </c>
      <c r="J4" s="25" t="inlineStr">
        <is>
          <t>Flag</t>
        </is>
      </c>
      <c r="K4" s="25" t="inlineStr">
        <is>
          <t>Horas/sem</t>
        </is>
      </c>
      <c r="L4" s="25" t="inlineStr">
        <is>
          <t>Motivo da flag / o que perguntar na entrevista</t>
        </is>
      </c>
      <c r="M4" s="25" t="inlineStr">
        <is>
          <t>Ranking</t>
        </is>
      </c>
      <c r="N4" s="25" t="inlineStr">
        <is>
          <t>Entrevista: refez a conta?</t>
        </is>
      </c>
      <c r="O4" s="25" t="inlineStr">
        <is>
          <t>Decisão final</t>
        </is>
      </c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14.25" customHeight="1" s="65">
      <c r="A5" s="3">
        <f>IF($B5="","",ROW()-4)</f>
        <v/>
      </c>
      <c r="B5" s="3" t="inlineStr">
        <is>
          <t>g278083@dac.unicamp.br</t>
        </is>
      </c>
      <c r="C5" s="3" t="inlineStr">
        <is>
          <t>Gabrielle Cristofani do Rosario</t>
        </is>
      </c>
      <c r="D5" s="52">
        <f>IF($B5="","",COUNTIFS('Avaliação'!$C$7:$C$206,$B5,'Avaliação'!$E$7:$E$206,"&gt;=0"))</f>
        <v/>
      </c>
      <c r="E5" s="32">
        <f>IF($B5="","",IFERROR(ROUND(AVERAGEIF('Avaliação'!$C$7:$C$206,$B5,'Avaliação'!$E$7:$E$206),2),""))</f>
        <v/>
      </c>
      <c r="F5" s="52">
        <f t="array" ref="F5">IF($B5="","",IFERROR(INDEX('Avaliação'!$E$7:$E$206,MATCH($B5,'Avaliação'!$C$7:$C$206,0)),""))</f>
        <v/>
      </c>
      <c r="G5" s="52">
        <f>IF($B5="","",IF($D5&lt;&gt;2,"",IF($F5="","",ROUND(SUMIF('Avaliação'!$C$7:$C$206,$B5,'Avaliação'!$E$7:$E$206)-$F5,2))))</f>
        <v/>
      </c>
      <c r="H5" s="52">
        <f>IF($B5="","",IF(OR($F5="",$G5=""),"",ROUND(ABS($F5-$G5),2)))</f>
        <v/>
      </c>
      <c r="I5" s="3">
        <f>IF($B5="","",IF($D5&lt;2,"⚠ falta 2º avaliador",IF($D5&gt;2,"⚠ mais de 2 avaliações — conferir",IF(AND(ISNUMBER($H5),$H5&gt;1),"⚠ divergência &gt; 1,0 — média suspensa, calibrar","OK"))))</f>
        <v/>
      </c>
      <c r="J5" s="3" t="n"/>
      <c r="K5" s="52" t="n"/>
      <c r="L5" s="37" t="n"/>
      <c r="M5" s="52">
        <f>IF($E5="","",COUNTIF($E$5:$E$64,"&gt;"&amp;$E5)+1)</f>
        <v/>
      </c>
      <c r="N5" s="52">
        <f>IF($B5="","",IF(Entrevista!$H5="","",Entrevista!$H5))</f>
        <v/>
      </c>
      <c r="O5" s="3">
        <f>IF($B5="","",IF(Entrevista!$L5="","",Entrevista!$L5))</f>
        <v/>
      </c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14.25" customHeight="1" s="65">
      <c r="A6" s="3">
        <f>IF($B6="","",ROW()-4)</f>
        <v/>
      </c>
      <c r="B6" s="3" t="inlineStr">
        <is>
          <t>b309603@dac.unicamp.br</t>
        </is>
      </c>
      <c r="C6" s="3" t="inlineStr">
        <is>
          <t>Bruno Heberth Oliveira Bastos</t>
        </is>
      </c>
      <c r="D6" s="52">
        <f>IF($B6="","",COUNTIFS('Avaliação'!$C$7:$C$206,$B6,'Avaliação'!$E$7:$E$206,"&gt;=0"))</f>
        <v/>
      </c>
      <c r="E6" s="32">
        <f>IF($B6="","",IFERROR(ROUND(AVERAGEIF('Avaliação'!$C$7:$C$206,$B6,'Avaliação'!$E$7:$E$206),2),""))</f>
        <v/>
      </c>
      <c r="F6" s="52">
        <f t="array" ref="F6">IF($B6="","",IFERROR(INDEX('Avaliação'!$E$7:$E$206,MATCH($B6,'Avaliação'!$C$7:$C$206,0)),""))</f>
        <v/>
      </c>
      <c r="G6" s="52">
        <f>IF($B6="","",IF($D6&lt;&gt;2,"",IF($F6="","",ROUND(SUMIF('Avaliação'!$C$7:$C$206,$B6,'Avaliação'!$E$7:$E$206)-$F6,2))))</f>
        <v/>
      </c>
      <c r="H6" s="52">
        <f>IF($B6="","",IF(OR($F6="",$G6=""),"",ROUND(ABS($F6-$G6),2)))</f>
        <v/>
      </c>
      <c r="I6" s="3">
        <f>IF($B6="","",IF($D6&lt;2,"⚠ falta 2º avaliador",IF($D6&gt;2,"⚠ mais de 2 avaliações — conferir",IF(AND(ISNUMBER($H6),$H6&gt;1),"⚠ divergência &gt; 1,0 — média suspensa, calibrar","OK"))))</f>
        <v/>
      </c>
      <c r="J6" s="3" t="n"/>
      <c r="K6" s="52" t="n"/>
      <c r="L6" s="37" t="n"/>
      <c r="M6" s="52">
        <f>IF($E6="","",COUNTIF($E$5:$E$64,"&gt;"&amp;$E6)+1)</f>
        <v/>
      </c>
      <c r="N6" s="52">
        <f>IF($B6="","",IF(Entrevista!$H6="","",Entrevista!$H6))</f>
        <v/>
      </c>
      <c r="O6" s="3">
        <f>IF($B6="","",IF(Entrevista!$L6="","",Entrevista!$L6))</f>
        <v/>
      </c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14.25" customHeight="1" s="65">
      <c r="A7" s="3">
        <f>IF($B7="","",ROW()-4)</f>
        <v/>
      </c>
      <c r="B7" s="3" t="inlineStr">
        <is>
          <t>j309764@dac.unicamp.br</t>
        </is>
      </c>
      <c r="C7" s="3" t="inlineStr">
        <is>
          <t>João Pedro Mendes Stama</t>
        </is>
      </c>
      <c r="D7" s="52">
        <f>IF($B7="","",COUNTIFS('Avaliação'!$C$7:$C$206,$B7,'Avaliação'!$E$7:$E$206,"&gt;=0"))</f>
        <v/>
      </c>
      <c r="E7" s="32">
        <f>IF($B7="","",IFERROR(ROUND(AVERAGEIF('Avaliação'!$C$7:$C$206,$B7,'Avaliação'!$E$7:$E$206),2),""))</f>
        <v/>
      </c>
      <c r="F7" s="52">
        <f t="array" ref="F7">IF($B7="","",IFERROR(INDEX('Avaliação'!$E$7:$E$206,MATCH($B7,'Avaliação'!$C$7:$C$206,0)),""))</f>
        <v/>
      </c>
      <c r="G7" s="52">
        <f>IF($B7="","",IF($D7&lt;&gt;2,"",IF($F7="","",ROUND(SUMIF('Avaliação'!$C$7:$C$206,$B7,'Avaliação'!$E$7:$E$206)-$F7,2))))</f>
        <v/>
      </c>
      <c r="H7" s="52">
        <f>IF($B7="","",IF(OR($F7="",$G7=""),"",ROUND(ABS($F7-$G7),2)))</f>
        <v/>
      </c>
      <c r="I7" s="3">
        <f>IF($B7="","",IF($D7&lt;2,"⚠ falta 2º avaliador",IF($D7&gt;2,"⚠ mais de 2 avaliações — conferir",IF(AND(ISNUMBER($H7),$H7&gt;1),"⚠ divergência &gt; 1,0 — média suspensa, calibrar","OK"))))</f>
        <v/>
      </c>
      <c r="J7" s="3" t="n"/>
      <c r="K7" s="52" t="n"/>
      <c r="L7" s="37" t="n"/>
      <c r="M7" s="52">
        <f>IF($E7="","",COUNTIF($E$5:$E$64,"&gt;"&amp;$E7)+1)</f>
        <v/>
      </c>
      <c r="N7" s="52">
        <f>IF($B7="","",IF(Entrevista!$H7="","",Entrevista!$H7))</f>
        <v/>
      </c>
      <c r="O7" s="3">
        <f>IF($B7="","",IF(Entrevista!$L7="","",Entrevista!$L7))</f>
        <v/>
      </c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14.25" customHeight="1" s="65">
      <c r="A8" s="3">
        <f>IF($B8="","",ROW()-4)</f>
        <v/>
      </c>
      <c r="B8" s="3" t="inlineStr">
        <is>
          <t>r238449@dac.unicamp.br</t>
        </is>
      </c>
      <c r="C8" s="3" t="inlineStr">
        <is>
          <t>Rafael Ponciano Rodrigues dos Santos</t>
        </is>
      </c>
      <c r="D8" s="52">
        <f>IF($B8="","",COUNTIFS('Avaliação'!$C$7:$C$206,$B8,'Avaliação'!$E$7:$E$206,"&gt;=0"))</f>
        <v/>
      </c>
      <c r="E8" s="32">
        <f>IF($B8="","",IFERROR(ROUND(AVERAGEIF('Avaliação'!$C$7:$C$206,$B8,'Avaliação'!$E$7:$E$206),2),""))</f>
        <v/>
      </c>
      <c r="F8" s="52">
        <f t="array" ref="F8">IF($B8="","",IFERROR(INDEX('Avaliação'!$E$7:$E$206,MATCH($B8,'Avaliação'!$C$7:$C$206,0)),""))</f>
        <v/>
      </c>
      <c r="G8" s="52">
        <f>IF($B8="","",IF($D8&lt;&gt;2,"",IF($F8="","",ROUND(SUMIF('Avaliação'!$C$7:$C$206,$B8,'Avaliação'!$E$7:$E$206)-$F8,2))))</f>
        <v/>
      </c>
      <c r="H8" s="52">
        <f>IF($B8="","",IF(OR($F8="",$G8=""),"",ROUND(ABS($F8-$G8),2)))</f>
        <v/>
      </c>
      <c r="I8" s="3">
        <f>IF($B8="","",IF($D8&lt;2,"⚠ falta 2º avaliador",IF($D8&gt;2,"⚠ mais de 2 avaliações — conferir",IF(AND(ISNUMBER($H8),$H8&gt;1),"⚠ divergência &gt; 1,0 — média suspensa, calibrar","OK"))))</f>
        <v/>
      </c>
      <c r="J8" s="3" t="n"/>
      <c r="K8" s="52" t="n"/>
      <c r="L8" s="37" t="n"/>
      <c r="M8" s="52">
        <f>IF($E8="","",COUNTIF($E$5:$E$64,"&gt;"&amp;$E8)+1)</f>
        <v/>
      </c>
      <c r="N8" s="52">
        <f>IF($B8="","",IF(Entrevista!$H8="","",Entrevista!$H8))</f>
        <v/>
      </c>
      <c r="O8" s="3">
        <f>IF($B8="","",IF(Entrevista!$L8="","",Entrevista!$L8))</f>
        <v/>
      </c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14.25" customHeight="1" s="65">
      <c r="A9" s="3">
        <f>IF($B9="","",ROW()-4)</f>
        <v/>
      </c>
      <c r="B9" s="3" t="inlineStr">
        <is>
          <t>enzo.gag17@gmail.com</t>
        </is>
      </c>
      <c r="C9" s="3" t="inlineStr">
        <is>
          <t>Enzo Chofakian Gagliardi</t>
        </is>
      </c>
      <c r="D9" s="52">
        <f>IF($B9="","",COUNTIFS('Avaliação'!$C$7:$C$206,$B9,'Avaliação'!$E$7:$E$206,"&gt;=0"))</f>
        <v/>
      </c>
      <c r="E9" s="32">
        <f>IF($B9="","",IFERROR(ROUND(AVERAGEIF('Avaliação'!$C$7:$C$206,$B9,'Avaliação'!$E$7:$E$206),2),""))</f>
        <v/>
      </c>
      <c r="F9" s="52">
        <f t="array" ref="F9">IF($B9="","",IFERROR(INDEX('Avaliação'!$E$7:$E$206,MATCH($B9,'Avaliação'!$C$7:$C$206,0)),""))</f>
        <v/>
      </c>
      <c r="G9" s="52">
        <f>IF($B9="","",IF($D9&lt;&gt;2,"",IF($F9="","",ROUND(SUMIF('Avaliação'!$C$7:$C$206,$B9,'Avaliação'!$E$7:$E$206)-$F9,2))))</f>
        <v/>
      </c>
      <c r="H9" s="52">
        <f>IF($B9="","",IF(OR($F9="",$G9=""),"",ROUND(ABS($F9-$G9),2)))</f>
        <v/>
      </c>
      <c r="I9" s="3">
        <f>IF($B9="","",IF($D9&lt;2,"⚠ falta 2º avaliador",IF($D9&gt;2,"⚠ mais de 2 avaliações — conferir",IF(AND(ISNUMBER($H9),$H9&gt;1),"⚠ divergência &gt; 1,0 — média suspensa, calibrar","OK"))))</f>
        <v/>
      </c>
      <c r="J9" s="3" t="n"/>
      <c r="K9" s="52" t="n"/>
      <c r="L9" s="37" t="n"/>
      <c r="M9" s="52">
        <f>IF($E9="","",COUNTIF($E$5:$E$64,"&gt;"&amp;$E9)+1)</f>
        <v/>
      </c>
      <c r="N9" s="52">
        <f>IF($B9="","",IF(Entrevista!$H9="","",Entrevista!$H9))</f>
        <v/>
      </c>
      <c r="O9" s="3">
        <f>IF($B9="","",IF(Entrevista!$L9="","",Entrevista!$L9))</f>
        <v/>
      </c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14.25" customHeight="1" s="65">
      <c r="A10" s="3">
        <f>IF($B10="","",ROW()-4)</f>
        <v/>
      </c>
      <c r="B10" s="3" t="inlineStr">
        <is>
          <t>e278588@dac.unicamp.br</t>
        </is>
      </c>
      <c r="C10" s="3" t="inlineStr">
        <is>
          <t>Enrico Tristão e Mello de Oliveira</t>
        </is>
      </c>
      <c r="D10" s="52">
        <f>IF($B10="","",COUNTIFS('Avaliação'!$C$7:$C$206,$B10,'Avaliação'!$E$7:$E$206,"&gt;=0"))</f>
        <v/>
      </c>
      <c r="E10" s="32">
        <f>IF($B10="","",IFERROR(ROUND(AVERAGEIF('Avaliação'!$C$7:$C$206,$B10,'Avaliação'!$E$7:$E$206),2),""))</f>
        <v/>
      </c>
      <c r="F10" s="52">
        <f t="array" ref="F10">IF($B10="","",IFERROR(INDEX('Avaliação'!$E$7:$E$206,MATCH($B10,'Avaliação'!$C$7:$C$206,0)),""))</f>
        <v/>
      </c>
      <c r="G10" s="52">
        <f>IF($B10="","",IF($D10&lt;&gt;2,"",IF($F10="","",ROUND(SUMIF('Avaliação'!$C$7:$C$206,$B10,'Avaliação'!$E$7:$E$206)-$F10,2))))</f>
        <v/>
      </c>
      <c r="H10" s="52">
        <f>IF($B10="","",IF(OR($F10="",$G10=""),"",ROUND(ABS($F10-$G10),2)))</f>
        <v/>
      </c>
      <c r="I10" s="3">
        <f>IF($B10="","",IF($D10&lt;2,"⚠ falta 2º avaliador",IF($D10&gt;2,"⚠ mais de 2 avaliações — conferir",IF(AND(ISNUMBER($H10),$H10&gt;1),"⚠ divergência &gt; 1,0 — média suspensa, calibrar","OK"))))</f>
        <v/>
      </c>
      <c r="J10" s="3" t="n"/>
      <c r="K10" s="52" t="n"/>
      <c r="L10" s="37" t="n"/>
      <c r="M10" s="52">
        <f>IF($E10="","",COUNTIF($E$5:$E$64,"&gt;"&amp;$E10)+1)</f>
        <v/>
      </c>
      <c r="N10" s="52">
        <f>IF($B10="","",IF(Entrevista!$H10="","",Entrevista!$H10))</f>
        <v/>
      </c>
      <c r="O10" s="3">
        <f>IF($B10="","",IF(Entrevista!$L10="","",Entrevista!$L10))</f>
        <v/>
      </c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14.25" customHeight="1" s="65">
      <c r="A11" s="3">
        <f>IF($B11="","",ROW()-4)</f>
        <v/>
      </c>
      <c r="B11" s="3" t="inlineStr">
        <is>
          <t>e221509@dac.unicamp.br</t>
        </is>
      </c>
      <c r="C11" s="3" t="inlineStr">
        <is>
          <t>Eduardo Alves Henrique</t>
        </is>
      </c>
      <c r="D11" s="52">
        <f>IF($B11="","",COUNTIFS('Avaliação'!$C$7:$C$206,$B11,'Avaliação'!$E$7:$E$206,"&gt;=0"))</f>
        <v/>
      </c>
      <c r="E11" s="32">
        <f>IF($B11="","",IFERROR(ROUND(AVERAGEIF('Avaliação'!$C$7:$C$206,$B11,'Avaliação'!$E$7:$E$206),2),""))</f>
        <v/>
      </c>
      <c r="F11" s="52">
        <f t="array" ref="F11">IF($B11="","",IFERROR(INDEX('Avaliação'!$E$7:$E$206,MATCH($B11,'Avaliação'!$C$7:$C$206,0)),""))</f>
        <v/>
      </c>
      <c r="G11" s="52">
        <f>IF($B11="","",IF($D11&lt;&gt;2,"",IF($F11="","",ROUND(SUMIF('Avaliação'!$C$7:$C$206,$B11,'Avaliação'!$E$7:$E$206)-$F11,2))))</f>
        <v/>
      </c>
      <c r="H11" s="52">
        <f>IF($B11="","",IF(OR($F11="",$G11=""),"",ROUND(ABS($F11-$G11),2)))</f>
        <v/>
      </c>
      <c r="I11" s="3">
        <f>IF($B11="","",IF($D11&lt;2,"⚠ falta 2º avaliador",IF($D11&gt;2,"⚠ mais de 2 avaliações — conferir",IF(AND(ISNUMBER($H11),$H11&gt;1),"⚠ divergência &gt; 1,0 — média suspensa, calibrar","OK"))))</f>
        <v/>
      </c>
      <c r="J11" s="3" t="n"/>
      <c r="K11" s="52" t="n"/>
      <c r="L11" s="37" t="n"/>
      <c r="M11" s="52">
        <f>IF($E11="","",COUNTIF($E$5:$E$64,"&gt;"&amp;$E11)+1)</f>
        <v/>
      </c>
      <c r="N11" s="52">
        <f>IF($B11="","",IF(Entrevista!$H11="","",Entrevista!$H11))</f>
        <v/>
      </c>
      <c r="O11" s="3">
        <f>IF($B11="","",IF(Entrevista!$L11="","",Entrevista!$L11))</f>
        <v/>
      </c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14.25" customHeight="1" s="65">
      <c r="A12" s="3">
        <f>IF($B12="","",ROW()-4)</f>
        <v/>
      </c>
      <c r="B12" s="3" t="inlineStr">
        <is>
          <t>l304532@dac.unicamp.br</t>
        </is>
      </c>
      <c r="C12" s="3" t="inlineStr">
        <is>
          <t>Leandra Cunha de Souza</t>
        </is>
      </c>
      <c r="D12" s="52">
        <f>IF($B12="","",COUNTIFS('Avaliação'!$C$7:$C$206,$B12,'Avaliação'!$E$7:$E$206,"&gt;=0"))</f>
        <v/>
      </c>
      <c r="E12" s="32">
        <f>IF($B12="","",IFERROR(ROUND(AVERAGEIF('Avaliação'!$C$7:$C$206,$B12,'Avaliação'!$E$7:$E$206),2),""))</f>
        <v/>
      </c>
      <c r="F12" s="52">
        <f t="array" ref="F12">IF($B12="","",IFERROR(INDEX('Avaliação'!$E$7:$E$206,MATCH($B12,'Avaliação'!$C$7:$C$206,0)),""))</f>
        <v/>
      </c>
      <c r="G12" s="52">
        <f>IF($B12="","",IF($D12&lt;&gt;2,"",IF($F12="","",ROUND(SUMIF('Avaliação'!$C$7:$C$206,$B12,'Avaliação'!$E$7:$E$206)-$F12,2))))</f>
        <v/>
      </c>
      <c r="H12" s="52">
        <f>IF($B12="","",IF(OR($F12="",$G12=""),"",ROUND(ABS($F12-$G12),2)))</f>
        <v/>
      </c>
      <c r="I12" s="3">
        <f>IF($B12="","",IF($D12&lt;2,"⚠ falta 2º avaliador",IF($D12&gt;2,"⚠ mais de 2 avaliações — conferir",IF(AND(ISNUMBER($H12),$H12&gt;1),"⚠ divergência &gt; 1,0 — média suspensa, calibrar","OK"))))</f>
        <v/>
      </c>
      <c r="J12" s="3" t="n"/>
      <c r="K12" s="52" t="n"/>
      <c r="L12" s="37" t="n"/>
      <c r="M12" s="52">
        <f>IF($E12="","",COUNTIF($E$5:$E$64,"&gt;"&amp;$E12)+1)</f>
        <v/>
      </c>
      <c r="N12" s="52">
        <f>IF($B12="","",IF(Entrevista!$H12="","",Entrevista!$H12))</f>
        <v/>
      </c>
      <c r="O12" s="3">
        <f>IF($B12="","",IF(Entrevista!$L12="","",Entrevista!$L12))</f>
        <v/>
      </c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14.25" customHeight="1" s="65">
      <c r="A13" s="3">
        <f>IF($B13="","",ROW()-4)</f>
        <v/>
      </c>
      <c r="B13" s="3" t="inlineStr">
        <is>
          <t>v188630@dac.unicamp.br</t>
        </is>
      </c>
      <c r="C13" s="3" t="inlineStr">
        <is>
          <t>Vagner Ássimos Gomes Carlos Filho</t>
        </is>
      </c>
      <c r="D13" s="52">
        <f>IF($B13="","",COUNTIFS('Avaliação'!$C$7:$C$206,$B13,'Avaliação'!$E$7:$E$206,"&gt;=0"))</f>
        <v/>
      </c>
      <c r="E13" s="32">
        <f>IF($B13="","",IFERROR(ROUND(AVERAGEIF('Avaliação'!$C$7:$C$206,$B13,'Avaliação'!$E$7:$E$206),2),""))</f>
        <v/>
      </c>
      <c r="F13" s="52">
        <f t="array" ref="F13">IF($B13="","",IFERROR(INDEX('Avaliação'!$E$7:$E$206,MATCH($B13,'Avaliação'!$C$7:$C$206,0)),""))</f>
        <v/>
      </c>
      <c r="G13" s="52">
        <f>IF($B13="","",IF($D13&lt;&gt;2,"",IF($F13="","",ROUND(SUMIF('Avaliação'!$C$7:$C$206,$B13,'Avaliação'!$E$7:$E$206)-$F13,2))))</f>
        <v/>
      </c>
      <c r="H13" s="52">
        <f>IF($B13="","",IF(OR($F13="",$G13=""),"",ROUND(ABS($F13-$G13),2)))</f>
        <v/>
      </c>
      <c r="I13" s="3">
        <f>IF($B13="","",IF($D13&lt;2,"⚠ falta 2º avaliador",IF($D13&gt;2,"⚠ mais de 2 avaliações — conferir",IF(AND(ISNUMBER($H13),$H13&gt;1),"⚠ divergência &gt; 1,0 — média suspensa, calibrar","OK"))))</f>
        <v/>
      </c>
      <c r="J13" s="3" t="n"/>
      <c r="K13" s="52" t="n"/>
      <c r="L13" s="37" t="n"/>
      <c r="M13" s="52">
        <f>IF($E13="","",COUNTIF($E$5:$E$64,"&gt;"&amp;$E13)+1)</f>
        <v/>
      </c>
      <c r="N13" s="52">
        <f>IF($B13="","",IF(Entrevista!$H13="","",Entrevista!$H13))</f>
        <v/>
      </c>
      <c r="O13" s="3">
        <f>IF($B13="","",IF(Entrevista!$L13="","",Entrevista!$L13))</f>
        <v/>
      </c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14.25" customHeight="1" s="65">
      <c r="A14" s="3">
        <f>IF($B14="","",ROW()-4)</f>
        <v/>
      </c>
      <c r="B14" s="3" t="inlineStr">
        <is>
          <t>m277865@dac.unicamp.br</t>
        </is>
      </c>
      <c r="C14" s="3" t="inlineStr">
        <is>
          <t>Mariana Nunes Galvão Sant'Anna</t>
        </is>
      </c>
      <c r="D14" s="52">
        <f>IF($B14="","",COUNTIFS('Avaliação'!$C$7:$C$206,$B14,'Avaliação'!$E$7:$E$206,"&gt;=0"))</f>
        <v/>
      </c>
      <c r="E14" s="32">
        <f>IF($B14="","",IFERROR(ROUND(AVERAGEIF('Avaliação'!$C$7:$C$206,$B14,'Avaliação'!$E$7:$E$206),2),""))</f>
        <v/>
      </c>
      <c r="F14" s="52">
        <f t="array" ref="F14">IF($B14="","",IFERROR(INDEX('Avaliação'!$E$7:$E$206,MATCH($B14,'Avaliação'!$C$7:$C$206,0)),""))</f>
        <v/>
      </c>
      <c r="G14" s="52">
        <f>IF($B14="","",IF($D14&lt;&gt;2,"",IF($F14="","",ROUND(SUMIF('Avaliação'!$C$7:$C$206,$B14,'Avaliação'!$E$7:$E$206)-$F14,2))))</f>
        <v/>
      </c>
      <c r="H14" s="52">
        <f>IF($B14="","",IF(OR($F14="",$G14=""),"",ROUND(ABS($F14-$G14),2)))</f>
        <v/>
      </c>
      <c r="I14" s="3">
        <f>IF($B14="","",IF($D14&lt;2,"⚠ falta 2º avaliador",IF($D14&gt;2,"⚠ mais de 2 avaliações — conferir",IF(AND(ISNUMBER($H14),$H14&gt;1),"⚠ divergência &gt; 1,0 — média suspensa, calibrar","OK"))))</f>
        <v/>
      </c>
      <c r="J14" s="3" t="n"/>
      <c r="K14" s="52" t="n"/>
      <c r="L14" s="37" t="n"/>
      <c r="M14" s="52">
        <f>IF($E14="","",COUNTIF($E$5:$E$64,"&gt;"&amp;$E14)+1)</f>
        <v/>
      </c>
      <c r="N14" s="52">
        <f>IF($B14="","",IF(Entrevista!$H14="","",Entrevista!$H14))</f>
        <v/>
      </c>
      <c r="O14" s="3">
        <f>IF($B14="","",IF(Entrevista!$L14="","",Entrevista!$L14))</f>
        <v/>
      </c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14.25" customHeight="1" s="65">
      <c r="A15" s="3">
        <f>IF($B15="","",ROW()-4)</f>
        <v/>
      </c>
      <c r="B15" s="3" t="inlineStr">
        <is>
          <t>a266739@dac.unicamp.br</t>
        </is>
      </c>
      <c r="C15" s="3" t="inlineStr">
        <is>
          <t>Aslan Rodrigues Maia</t>
        </is>
      </c>
      <c r="D15" s="52">
        <f>IF($B15="","",COUNTIFS('Avaliação'!$C$7:$C$206,$B15,'Avaliação'!$E$7:$E$206,"&gt;=0"))</f>
        <v/>
      </c>
      <c r="E15" s="32">
        <f>IF($B15="","",IFERROR(ROUND(AVERAGEIF('Avaliação'!$C$7:$C$206,$B15,'Avaliação'!$E$7:$E$206),2),""))</f>
        <v/>
      </c>
      <c r="F15" s="52">
        <f t="array" ref="F15">IF($B15="","",IFERROR(INDEX('Avaliação'!$E$7:$E$206,MATCH($B15,'Avaliação'!$C$7:$C$206,0)),""))</f>
        <v/>
      </c>
      <c r="G15" s="52">
        <f>IF($B15="","",IF($D15&lt;&gt;2,"",IF($F15="","",ROUND(SUMIF('Avaliação'!$C$7:$C$206,$B15,'Avaliação'!$E$7:$E$206)-$F15,2))))</f>
        <v/>
      </c>
      <c r="H15" s="52">
        <f>IF($B15="","",IF(OR($F15="",$G15=""),"",ROUND(ABS($F15-$G15),2)))</f>
        <v/>
      </c>
      <c r="I15" s="3">
        <f>IF($B15="","",IF($D15&lt;2,"⚠ falta 2º avaliador",IF($D15&gt;2,"⚠ mais de 2 avaliações — conferir",IF(AND(ISNUMBER($H15),$H15&gt;1),"⚠ divergência &gt; 1,0 — média suspensa, calibrar","OK"))))</f>
        <v/>
      </c>
      <c r="J15" s="3" t="n"/>
      <c r="K15" s="52" t="n"/>
      <c r="L15" s="37" t="n"/>
      <c r="M15" s="52">
        <f>IF($E15="","",COUNTIF($E$5:$E$64,"&gt;"&amp;$E15)+1)</f>
        <v/>
      </c>
      <c r="N15" s="52">
        <f>IF($B15="","",IF(Entrevista!$H15="","",Entrevista!$H15))</f>
        <v/>
      </c>
      <c r="O15" s="3">
        <f>IF($B15="","",IF(Entrevista!$L15="","",Entrevista!$L15))</f>
        <v/>
      </c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14.25" customHeight="1" s="65">
      <c r="A16" s="3">
        <f>IF($B16="","",ROW()-4)</f>
        <v/>
      </c>
      <c r="B16" s="3" t="inlineStr">
        <is>
          <t>j278641@dac.unicamp.br</t>
        </is>
      </c>
      <c r="C16" s="3" t="inlineStr">
        <is>
          <t>João Gabriel de Oliveira Morcelli</t>
        </is>
      </c>
      <c r="D16" s="52">
        <f>IF($B16="","",COUNTIFS('Avaliação'!$C$7:$C$206,$B16,'Avaliação'!$E$7:$E$206,"&gt;=0"))</f>
        <v/>
      </c>
      <c r="E16" s="32">
        <f>IF($B16="","",IFERROR(ROUND(AVERAGEIF('Avaliação'!$C$7:$C$206,$B16,'Avaliação'!$E$7:$E$206),2),""))</f>
        <v/>
      </c>
      <c r="F16" s="52">
        <f t="array" ref="F16">IF($B16="","",IFERROR(INDEX('Avaliação'!$E$7:$E$206,MATCH($B16,'Avaliação'!$C$7:$C$206,0)),""))</f>
        <v/>
      </c>
      <c r="G16" s="52">
        <f>IF($B16="","",IF($D16&lt;&gt;2,"",IF($F16="","",ROUND(SUMIF('Avaliação'!$C$7:$C$206,$B16,'Avaliação'!$E$7:$E$206)-$F16,2))))</f>
        <v/>
      </c>
      <c r="H16" s="52">
        <f>IF($B16="","",IF(OR($F16="",$G16=""),"",ROUND(ABS($F16-$G16),2)))</f>
        <v/>
      </c>
      <c r="I16" s="3">
        <f>IF($B16="","",IF($D16&lt;2,"⚠ falta 2º avaliador",IF($D16&gt;2,"⚠ mais de 2 avaliações — conferir",IF(AND(ISNUMBER($H16),$H16&gt;1),"⚠ divergência &gt; 1,0 — média suspensa, calibrar","OK"))))</f>
        <v/>
      </c>
      <c r="J16" s="3" t="n"/>
      <c r="K16" s="52" t="n"/>
      <c r="L16" s="37" t="n"/>
      <c r="M16" s="52">
        <f>IF($E16="","",COUNTIF($E$5:$E$64,"&gt;"&amp;$E16)+1)</f>
        <v/>
      </c>
      <c r="N16" s="52">
        <f>IF($B16="","",IF(Entrevista!$H16="","",Entrevista!$H16))</f>
        <v/>
      </c>
      <c r="O16" s="3">
        <f>IF($B16="","",IF(Entrevista!$L16="","",Entrevista!$L16))</f>
        <v/>
      </c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14.25" customHeight="1" s="65">
      <c r="A17" s="3">
        <f>IF($B17="","",ROW()-4)</f>
        <v/>
      </c>
      <c r="B17" s="3" t="inlineStr">
        <is>
          <t>r278709@dac.unicamp.br</t>
        </is>
      </c>
      <c r="C17" s="3" t="inlineStr">
        <is>
          <t>Raphael Negrini Saggioro</t>
        </is>
      </c>
      <c r="D17" s="52">
        <f>IF($B17="","",COUNTIFS('Avaliação'!$C$7:$C$206,$B17,'Avaliação'!$E$7:$E$206,"&gt;=0"))</f>
        <v/>
      </c>
      <c r="E17" s="32">
        <f>IF($B17="","",IFERROR(ROUND(AVERAGEIF('Avaliação'!$C$7:$C$206,$B17,'Avaliação'!$E$7:$E$206),2),""))</f>
        <v/>
      </c>
      <c r="F17" s="52">
        <f t="array" ref="F17">IF($B17="","",IFERROR(INDEX('Avaliação'!$E$7:$E$206,MATCH($B17,'Avaliação'!$C$7:$C$206,0)),""))</f>
        <v/>
      </c>
      <c r="G17" s="52">
        <f>IF($B17="","",IF($D17&lt;&gt;2,"",IF($F17="","",ROUND(SUMIF('Avaliação'!$C$7:$C$206,$B17,'Avaliação'!$E$7:$E$206)-$F17,2))))</f>
        <v/>
      </c>
      <c r="H17" s="52">
        <f>IF($B17="","",IF(OR($F17="",$G17=""),"",ROUND(ABS($F17-$G17),2)))</f>
        <v/>
      </c>
      <c r="I17" s="3">
        <f>IF($B17="","",IF($D17&lt;2,"⚠ falta 2º avaliador",IF($D17&gt;2,"⚠ mais de 2 avaliações — conferir",IF(AND(ISNUMBER($H17),$H17&gt;1),"⚠ divergência &gt; 1,0 — média suspensa, calibrar","OK"))))</f>
        <v/>
      </c>
      <c r="J17" s="3" t="n"/>
      <c r="K17" s="52" t="n"/>
      <c r="L17" s="37" t="n"/>
      <c r="M17" s="52">
        <f>IF($E17="","",COUNTIF($E$5:$E$64,"&gt;"&amp;$E17)+1)</f>
        <v/>
      </c>
      <c r="N17" s="52">
        <f>IF($B17="","",IF(Entrevista!$H17="","",Entrevista!$H17))</f>
        <v/>
      </c>
      <c r="O17" s="3">
        <f>IF($B17="","",IF(Entrevista!$L17="","",Entrevista!$L17))</f>
        <v/>
      </c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14.25" customHeight="1" s="65">
      <c r="A18" s="3">
        <f>IF($B18="","",ROW()-4)</f>
        <v/>
      </c>
      <c r="B18" s="3" t="inlineStr">
        <is>
          <t>g278107@dac.unicamp.br</t>
        </is>
      </c>
      <c r="C18" s="3" t="inlineStr">
        <is>
          <t>Gustavo Daher Pereira</t>
        </is>
      </c>
      <c r="D18" s="52">
        <f>IF($B18="","",COUNTIFS('Avaliação'!$C$7:$C$206,$B18,'Avaliação'!$E$7:$E$206,"&gt;=0"))</f>
        <v/>
      </c>
      <c r="E18" s="32">
        <f>IF($B18="","",IFERROR(ROUND(AVERAGEIF('Avaliação'!$C$7:$C$206,$B18,'Avaliação'!$E$7:$E$206),2),""))</f>
        <v/>
      </c>
      <c r="F18" s="52">
        <f t="array" ref="F18">IF($B18="","",IFERROR(INDEX('Avaliação'!$E$7:$E$206,MATCH($B18,'Avaliação'!$C$7:$C$206,0)),""))</f>
        <v/>
      </c>
      <c r="G18" s="52">
        <f>IF($B18="","",IF($D18&lt;&gt;2,"",IF($F18="","",ROUND(SUMIF('Avaliação'!$C$7:$C$206,$B18,'Avaliação'!$E$7:$E$206)-$F18,2))))</f>
        <v/>
      </c>
      <c r="H18" s="52">
        <f>IF($B18="","",IF(OR($F18="",$G18=""),"",ROUND(ABS($F18-$G18),2)))</f>
        <v/>
      </c>
      <c r="I18" s="3">
        <f>IF($B18="","",IF($D18&lt;2,"⚠ falta 2º avaliador",IF($D18&gt;2,"⚠ mais de 2 avaliações — conferir",IF(AND(ISNUMBER($H18),$H18&gt;1),"⚠ divergência &gt; 1,0 — média suspensa, calibrar","OK"))))</f>
        <v/>
      </c>
      <c r="J18" s="3" t="n"/>
      <c r="K18" s="52" t="n"/>
      <c r="L18" s="37" t="n"/>
      <c r="M18" s="52">
        <f>IF($E18="","",COUNTIF($E$5:$E$64,"&gt;"&amp;$E18)+1)</f>
        <v/>
      </c>
      <c r="N18" s="52">
        <f>IF($B18="","",IF(Entrevista!$H18="","",Entrevista!$H18))</f>
        <v/>
      </c>
      <c r="O18" s="3">
        <f>IF($B18="","",IF(Entrevista!$L18="","",Entrevista!$L18))</f>
        <v/>
      </c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14.25" customHeight="1" s="65">
      <c r="A19" s="3">
        <f>IF($B19="","",ROW()-4)</f>
        <v/>
      </c>
      <c r="B19" s="3" t="inlineStr">
        <is>
          <t>rickfilho2007@gmail.com</t>
        </is>
      </c>
      <c r="C19" s="3" t="inlineStr">
        <is>
          <t>Ricardo Augusto Schmitt Filho</t>
        </is>
      </c>
      <c r="D19" s="52">
        <f>IF($B19="","",COUNTIFS('Avaliação'!$C$7:$C$206,$B19,'Avaliação'!$E$7:$E$206,"&gt;=0"))</f>
        <v/>
      </c>
      <c r="E19" s="32">
        <f>IF($B19="","",IFERROR(ROUND(AVERAGEIF('Avaliação'!$C$7:$C$206,$B19,'Avaliação'!$E$7:$E$206),2),""))</f>
        <v/>
      </c>
      <c r="F19" s="52">
        <f t="array" ref="F19">IF($B19="","",IFERROR(INDEX('Avaliação'!$E$7:$E$206,MATCH($B19,'Avaliação'!$C$7:$C$206,0)),""))</f>
        <v/>
      </c>
      <c r="G19" s="52">
        <f>IF($B19="","",IF($D19&lt;&gt;2,"",IF($F19="","",ROUND(SUMIF('Avaliação'!$C$7:$C$206,$B19,'Avaliação'!$E$7:$E$206)-$F19,2))))</f>
        <v/>
      </c>
      <c r="H19" s="52">
        <f>IF($B19="","",IF(OR($F19="",$G19=""),"",ROUND(ABS($F19-$G19),2)))</f>
        <v/>
      </c>
      <c r="I19" s="3">
        <f>IF($B19="","",IF($D19&lt;2,"⚠ falta 2º avaliador",IF($D19&gt;2,"⚠ mais de 2 avaliações — conferir",IF(AND(ISNUMBER($H19),$H19&gt;1),"⚠ divergência &gt; 1,0 — média suspensa, calibrar","OK"))))</f>
        <v/>
      </c>
      <c r="J19" s="3" t="n"/>
      <c r="K19" s="52" t="n"/>
      <c r="L19" s="37" t="n"/>
      <c r="M19" s="52">
        <f>IF($E19="","",COUNTIF($E$5:$E$64,"&gt;"&amp;$E19)+1)</f>
        <v/>
      </c>
      <c r="N19" s="52">
        <f>IF($B19="","",IF(Entrevista!$H19="","",Entrevista!$H19))</f>
        <v/>
      </c>
      <c r="O19" s="3">
        <f>IF($B19="","",IF(Entrevista!$L19="","",Entrevista!$L19))</f>
        <v/>
      </c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14.25" customHeight="1" s="65">
      <c r="A20" s="3">
        <f>IF($B20="","",ROW()-4)</f>
        <v/>
      </c>
      <c r="B20" s="3" t="inlineStr">
        <is>
          <t>m306365@dac.unicamp.br</t>
        </is>
      </c>
      <c r="C20" s="3" t="inlineStr">
        <is>
          <t>Matheus Dias Freitas</t>
        </is>
      </c>
      <c r="D20" s="52">
        <f>IF($B20="","",COUNTIFS('Avaliação'!$C$7:$C$206,$B20,'Avaliação'!$E$7:$E$206,"&gt;=0"))</f>
        <v/>
      </c>
      <c r="E20" s="32">
        <f>IF($B20="","",IFERROR(ROUND(AVERAGEIF('Avaliação'!$C$7:$C$206,$B20,'Avaliação'!$E$7:$E$206),2),""))</f>
        <v/>
      </c>
      <c r="F20" s="52">
        <f t="array" ref="F20">IF($B20="","",IFERROR(INDEX('Avaliação'!$E$7:$E$206,MATCH($B20,'Avaliação'!$C$7:$C$206,0)),""))</f>
        <v/>
      </c>
      <c r="G20" s="52">
        <f>IF($B20="","",IF($D20&lt;&gt;2,"",IF($F20="","",ROUND(SUMIF('Avaliação'!$C$7:$C$206,$B20,'Avaliação'!$E$7:$E$206)-$F20,2))))</f>
        <v/>
      </c>
      <c r="H20" s="52">
        <f>IF($B20="","",IF(OR($F20="",$G20=""),"",ROUND(ABS($F20-$G20),2)))</f>
        <v/>
      </c>
      <c r="I20" s="3">
        <f>IF($B20="","",IF($D20&lt;2,"⚠ falta 2º avaliador",IF($D20&gt;2,"⚠ mais de 2 avaliações — conferir",IF(AND(ISNUMBER($H20),$H20&gt;1),"⚠ divergência &gt; 1,0 — média suspensa, calibrar","OK"))))</f>
        <v/>
      </c>
      <c r="J20" s="3" t="n"/>
      <c r="K20" s="52" t="n"/>
      <c r="L20" s="37" t="n"/>
      <c r="M20" s="52">
        <f>IF($E20="","",COUNTIF($E$5:$E$64,"&gt;"&amp;$E20)+1)</f>
        <v/>
      </c>
      <c r="N20" s="52">
        <f>IF($B20="","",IF(Entrevista!$H20="","",Entrevista!$H20))</f>
        <v/>
      </c>
      <c r="O20" s="3">
        <f>IF($B20="","",IF(Entrevista!$L20="","",Entrevista!$L20))</f>
        <v/>
      </c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14.25" customHeight="1" s="65">
      <c r="A21" s="3">
        <f>IF($B21="","",ROW()-4)</f>
        <v/>
      </c>
      <c r="B21" s="3" t="inlineStr">
        <is>
          <t>k267983@dac.unicamp.br</t>
        </is>
      </c>
      <c r="C21" s="3" t="inlineStr">
        <is>
          <t>Klaus Augusto Santos da Silva</t>
        </is>
      </c>
      <c r="D21" s="52">
        <f>IF($B21="","",COUNTIFS('Avaliação'!$C$7:$C$206,$B21,'Avaliação'!$E$7:$E$206,"&gt;=0"))</f>
        <v/>
      </c>
      <c r="E21" s="32">
        <f>IF($B21="","",IFERROR(ROUND(AVERAGEIF('Avaliação'!$C$7:$C$206,$B21,'Avaliação'!$E$7:$E$206),2),""))</f>
        <v/>
      </c>
      <c r="F21" s="52">
        <f t="array" ref="F21">IF($B21="","",IFERROR(INDEX('Avaliação'!$E$7:$E$206,MATCH($B21,'Avaliação'!$C$7:$C$206,0)),""))</f>
        <v/>
      </c>
      <c r="G21" s="52">
        <f>IF($B21="","",IF($D21&lt;&gt;2,"",IF($F21="","",ROUND(SUMIF('Avaliação'!$C$7:$C$206,$B21,'Avaliação'!$E$7:$E$206)-$F21,2))))</f>
        <v/>
      </c>
      <c r="H21" s="52">
        <f>IF($B21="","",IF(OR($F21="",$G21=""),"",ROUND(ABS($F21-$G21),2)))</f>
        <v/>
      </c>
      <c r="I21" s="3">
        <f>IF($B21="","",IF($D21&lt;2,"⚠ falta 2º avaliador",IF($D21&gt;2,"⚠ mais de 2 avaliações — conferir",IF(AND(ISNUMBER($H21),$H21&gt;1),"⚠ divergência &gt; 1,0 — média suspensa, calibrar","OK"))))</f>
        <v/>
      </c>
      <c r="J21" s="3" t="n"/>
      <c r="K21" s="52" t="n"/>
      <c r="L21" s="37" t="n"/>
      <c r="M21" s="52">
        <f>IF($E21="","",COUNTIF($E$5:$E$64,"&gt;"&amp;$E21)+1)</f>
        <v/>
      </c>
      <c r="N21" s="52">
        <f>IF($B21="","",IF(Entrevista!$H21="","",Entrevista!$H21))</f>
        <v/>
      </c>
      <c r="O21" s="3">
        <f>IF($B21="","",IF(Entrevista!$L21="","",Entrevista!$L21))</f>
        <v/>
      </c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14.25" customHeight="1" s="65">
      <c r="A22" s="3">
        <f>IF($B22="","",ROW()-4)</f>
        <v/>
      </c>
      <c r="B22" s="3" t="inlineStr">
        <is>
          <t>r302729@dac.unicamp.br</t>
        </is>
      </c>
      <c r="C22" s="3" t="inlineStr">
        <is>
          <t>Rafael Rodrigues Moreira</t>
        </is>
      </c>
      <c r="D22" s="52">
        <f>IF($B22="","",COUNTIFS('Avaliação'!$C$7:$C$206,$B22,'Avaliação'!$E$7:$E$206,"&gt;=0"))</f>
        <v/>
      </c>
      <c r="E22" s="32">
        <f>IF($B22="","",IFERROR(ROUND(AVERAGEIF('Avaliação'!$C$7:$C$206,$B22,'Avaliação'!$E$7:$E$206),2),""))</f>
        <v/>
      </c>
      <c r="F22" s="52">
        <f t="array" ref="F22">IF($B22="","",IFERROR(INDEX('Avaliação'!$E$7:$E$206,MATCH($B22,'Avaliação'!$C$7:$C$206,0)),""))</f>
        <v/>
      </c>
      <c r="G22" s="52">
        <f>IF($B22="","",IF($D22&lt;&gt;2,"",IF($F22="","",ROUND(SUMIF('Avaliação'!$C$7:$C$206,$B22,'Avaliação'!$E$7:$E$206)-$F22,2))))</f>
        <v/>
      </c>
      <c r="H22" s="52">
        <f>IF($B22="","",IF(OR($F22="",$G22=""),"",ROUND(ABS($F22-$G22),2)))</f>
        <v/>
      </c>
      <c r="I22" s="3">
        <f>IF($B22="","",IF($D22&lt;2,"⚠ falta 2º avaliador",IF($D22&gt;2,"⚠ mais de 2 avaliações — conferir",IF(AND(ISNUMBER($H22),$H22&gt;1),"⚠ divergência &gt; 1,0 — média suspensa, calibrar","OK"))))</f>
        <v/>
      </c>
      <c r="J22" s="3" t="n"/>
      <c r="K22" s="52" t="n"/>
      <c r="L22" s="37" t="n"/>
      <c r="M22" s="52">
        <f>IF($E22="","",COUNTIF($E$5:$E$64,"&gt;"&amp;$E22)+1)</f>
        <v/>
      </c>
      <c r="N22" s="52">
        <f>IF($B22="","",IF(Entrevista!$H22="","",Entrevista!$H22))</f>
        <v/>
      </c>
      <c r="O22" s="3">
        <f>IF($B22="","",IF(Entrevista!$L22="","",Entrevista!$L22))</f>
        <v/>
      </c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14.25" customHeight="1" s="65">
      <c r="A23" s="3">
        <f>IF($B23="","",ROW()-4)</f>
        <v/>
      </c>
      <c r="B23" s="3" t="inlineStr">
        <is>
          <t>c258388@dac.unicamp.br</t>
        </is>
      </c>
      <c r="C23" s="3" t="inlineStr">
        <is>
          <t>Caio Augusto Saab</t>
        </is>
      </c>
      <c r="D23" s="52">
        <f>IF($B23="","",COUNTIFS('Avaliação'!$C$7:$C$206,$B23,'Avaliação'!$E$7:$E$206,"&gt;=0"))</f>
        <v/>
      </c>
      <c r="E23" s="32">
        <f>IF($B23="","",IFERROR(ROUND(AVERAGEIF('Avaliação'!$C$7:$C$206,$B23,'Avaliação'!$E$7:$E$206),2),""))</f>
        <v/>
      </c>
      <c r="F23" s="52">
        <f t="array" ref="F23">IF($B23="","",IFERROR(INDEX('Avaliação'!$E$7:$E$206,MATCH($B23,'Avaliação'!$C$7:$C$206,0)),""))</f>
        <v/>
      </c>
      <c r="G23" s="52">
        <f>IF($B23="","",IF($D23&lt;&gt;2,"",IF($F23="","",ROUND(SUMIF('Avaliação'!$C$7:$C$206,$B23,'Avaliação'!$E$7:$E$206)-$F23,2))))</f>
        <v/>
      </c>
      <c r="H23" s="52">
        <f>IF($B23="","",IF(OR($F23="",$G23=""),"",ROUND(ABS($F23-$G23),2)))</f>
        <v/>
      </c>
      <c r="I23" s="3">
        <f>IF($B23="","",IF($D23&lt;2,"⚠ falta 2º avaliador",IF($D23&gt;2,"⚠ mais de 2 avaliações — conferir",IF(AND(ISNUMBER($H23),$H23&gt;1),"⚠ divergência &gt; 1,0 — média suspensa, calibrar","OK"))))</f>
        <v/>
      </c>
      <c r="J23" s="3" t="n"/>
      <c r="K23" s="52" t="n"/>
      <c r="L23" s="37" t="n"/>
      <c r="M23" s="52">
        <f>IF($E23="","",COUNTIF($E$5:$E$64,"&gt;"&amp;$E23)+1)</f>
        <v/>
      </c>
      <c r="N23" s="52">
        <f>IF($B23="","",IF(Entrevista!$H23="","",Entrevista!$H23))</f>
        <v/>
      </c>
      <c r="O23" s="3">
        <f>IF($B23="","",IF(Entrevista!$L23="","",Entrevista!$L23))</f>
        <v/>
      </c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14.25" customHeight="1" s="65">
      <c r="A24" s="3">
        <f>IF($B24="","",ROW()-4)</f>
        <v/>
      </c>
      <c r="B24" s="3" t="inlineStr">
        <is>
          <t>j260826@dac.unicamp.br</t>
        </is>
      </c>
      <c r="C24" s="3" t="inlineStr">
        <is>
          <t>José Vitor Dias Tutu</t>
        </is>
      </c>
      <c r="D24" s="52">
        <f>IF($B24="","",COUNTIFS('Avaliação'!$C$7:$C$206,$B24,'Avaliação'!$E$7:$E$206,"&gt;=0"))</f>
        <v/>
      </c>
      <c r="E24" s="32">
        <f>IF($B24="","",IFERROR(ROUND(AVERAGEIF('Avaliação'!$C$7:$C$206,$B24,'Avaliação'!$E$7:$E$206),2),""))</f>
        <v/>
      </c>
      <c r="F24" s="52">
        <f t="array" ref="F24">IF($B24="","",IFERROR(INDEX('Avaliação'!$E$7:$E$206,MATCH($B24,'Avaliação'!$C$7:$C$206,0)),""))</f>
        <v/>
      </c>
      <c r="G24" s="52">
        <f>IF($B24="","",IF($D24&lt;&gt;2,"",IF($F24="","",ROUND(SUMIF('Avaliação'!$C$7:$C$206,$B24,'Avaliação'!$E$7:$E$206)-$F24,2))))</f>
        <v/>
      </c>
      <c r="H24" s="52">
        <f>IF($B24="","",IF(OR($F24="",$G24=""),"",ROUND(ABS($F24-$G24),2)))</f>
        <v/>
      </c>
      <c r="I24" s="3">
        <f>IF($B24="","",IF($D24&lt;2,"⚠ falta 2º avaliador",IF($D24&gt;2,"⚠ mais de 2 avaliações — conferir",IF(AND(ISNUMBER($H24),$H24&gt;1),"⚠ divergência &gt; 1,0 — média suspensa, calibrar","OK"))))</f>
        <v/>
      </c>
      <c r="J24" s="3" t="n"/>
      <c r="K24" s="52" t="n"/>
      <c r="L24" s="37" t="n"/>
      <c r="M24" s="52">
        <f>IF($E24="","",COUNTIF($E$5:$E$64,"&gt;"&amp;$E24)+1)</f>
        <v/>
      </c>
      <c r="N24" s="52">
        <f>IF($B24="","",IF(Entrevista!$H24="","",Entrevista!$H24))</f>
        <v/>
      </c>
      <c r="O24" s="3">
        <f>IF($B24="","",IF(Entrevista!$L24="","",Entrevista!$L24))</f>
        <v/>
      </c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14.25" customHeight="1" s="65">
      <c r="A25" s="3">
        <f>IF($B25="","",ROW()-4)</f>
        <v/>
      </c>
      <c r="B25" s="3" t="inlineStr">
        <is>
          <t xml:space="preserve">i253464@dac.unicamp.br
</t>
        </is>
      </c>
      <c r="C25" s="3" t="inlineStr">
        <is>
          <t>Isadora Kluge Dorigan</t>
        </is>
      </c>
      <c r="D25" s="52">
        <f>IF($B25="","",COUNTIFS('Avaliação'!$C$7:$C$206,$B25,'Avaliação'!$E$7:$E$206,"&gt;=0"))</f>
        <v/>
      </c>
      <c r="E25" s="32">
        <f>IF($B25="","",IFERROR(ROUND(AVERAGEIF('Avaliação'!$C$7:$C$206,$B25,'Avaliação'!$E$7:$E$206),2),""))</f>
        <v/>
      </c>
      <c r="F25" s="52">
        <f t="array" ref="F25">IF($B25="","",IFERROR(INDEX('Avaliação'!$E$7:$E$206,MATCH($B25,'Avaliação'!$C$7:$C$206,0)),""))</f>
        <v/>
      </c>
      <c r="G25" s="52">
        <f>IF($B25="","",IF($D25&lt;&gt;2,"",IF($F25="","",ROUND(SUMIF('Avaliação'!$C$7:$C$206,$B25,'Avaliação'!$E$7:$E$206)-$F25,2))))</f>
        <v/>
      </c>
      <c r="H25" s="52">
        <f>IF($B25="","",IF(OR($F25="",$G25=""),"",ROUND(ABS($F25-$G25),2)))</f>
        <v/>
      </c>
      <c r="I25" s="3">
        <f>IF($B25="","",IF($D25&lt;2,"⚠ falta 2º avaliador",IF($D25&gt;2,"⚠ mais de 2 avaliações — conferir",IF(AND(ISNUMBER($H25),$H25&gt;1),"⚠ divergência &gt; 1,0 — média suspensa, calibrar","OK"))))</f>
        <v/>
      </c>
      <c r="J25" s="3" t="n"/>
      <c r="K25" s="52" t="n"/>
      <c r="L25" s="37" t="n"/>
      <c r="M25" s="52">
        <f>IF($E25="","",COUNTIF($E$5:$E$64,"&gt;"&amp;$E25)+1)</f>
        <v/>
      </c>
      <c r="N25" s="52">
        <f>IF($B25="","",IF(Entrevista!$H25="","",Entrevista!$H25))</f>
        <v/>
      </c>
      <c r="O25" s="3">
        <f>IF($B25="","",IF(Entrevista!$L25="","",Entrevista!$L25))</f>
        <v/>
      </c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14.25" customHeight="1" s="65">
      <c r="A26" s="3">
        <f>IF($B26="","",ROW()-4)</f>
        <v/>
      </c>
      <c r="B26" s="53" t="n"/>
      <c r="C26" s="52" t="n"/>
      <c r="D26" s="52">
        <f>IF($B26="","",COUNTIFS('Avaliação'!$C$7:$C$206,$B26,'Avaliação'!$E$7:$E$206,"&gt;=0"))</f>
        <v/>
      </c>
      <c r="E26" s="32">
        <f>IF($B26="","",IFERROR(ROUND(AVERAGEIF('Avaliação'!$C$7:$C$206,$B26,'Avaliação'!$E$7:$E$206),2),""))</f>
        <v/>
      </c>
      <c r="F26" s="52">
        <f t="array" ref="F26">IF($B26="","",IFERROR(INDEX('Avaliação'!$E$7:$E$206,MATCH($B26,'Avaliação'!$C$7:$C$206,0)),""))</f>
        <v/>
      </c>
      <c r="G26" s="52">
        <f>IF($B26="","",IF($D26&lt;&gt;2,"",IF($F26="","",ROUND(SUMIF('Avaliação'!$C$7:$C$206,$B26,'Avaliação'!$E$7:$E$206)-$F26,2))))</f>
        <v/>
      </c>
      <c r="H26" s="52">
        <f>IF($B26="","",IF(OR($F26="",$G26=""),"",ROUND(ABS($F26-$G26),2)))</f>
        <v/>
      </c>
      <c r="I26" s="3">
        <f>IF($B26="","",IF($D26&lt;2,"⚠ falta 2º avaliador",IF($D26&gt;2,"⚠ mais de 2 avaliações — conferir",IF(AND(ISNUMBER($H26),$H26&gt;1),"⚠ divergência &gt; 1,0 — média suspensa, calibrar","OK"))))</f>
        <v/>
      </c>
      <c r="J26" s="3" t="n"/>
      <c r="K26" s="52" t="n"/>
      <c r="L26" s="37" t="n"/>
      <c r="M26" s="52">
        <f>IF($E26="","",COUNTIF($E$5:$E$64,"&gt;"&amp;$E26)+1)</f>
        <v/>
      </c>
      <c r="N26" s="52">
        <f>IF($B26="","",IF(Entrevista!$H26="","",Entrevista!$H26))</f>
        <v/>
      </c>
      <c r="O26" s="3">
        <f>IF($B26="","",IF(Entrevista!$L26="","",Entrevista!$L26))</f>
        <v/>
      </c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14.25" customHeight="1" s="65">
      <c r="A27" s="3">
        <f>IF($B27="","",ROW()-4)</f>
        <v/>
      </c>
      <c r="B27" s="53" t="n"/>
      <c r="C27" s="52" t="n"/>
      <c r="D27" s="52">
        <f>IF($B27="","",COUNTIFS('Avaliação'!$C$7:$C$206,$B27,'Avaliação'!$E$7:$E$206,"&gt;=0"))</f>
        <v/>
      </c>
      <c r="E27" s="32">
        <f>IF($B27="","",IFERROR(ROUND(AVERAGEIF('Avaliação'!$C$7:$C$206,$B27,'Avaliação'!$E$7:$E$206),2),""))</f>
        <v/>
      </c>
      <c r="F27" s="52">
        <f t="array" ref="F27">IF($B27="","",IFERROR(INDEX('Avaliação'!$E$7:$E$206,MATCH($B27,'Avaliação'!$C$7:$C$206,0)),""))</f>
        <v/>
      </c>
      <c r="G27" s="52">
        <f>IF($B27="","",IF($D27&lt;&gt;2,"",IF($F27="","",ROUND(SUMIF('Avaliação'!$C$7:$C$206,$B27,'Avaliação'!$E$7:$E$206)-$F27,2))))</f>
        <v/>
      </c>
      <c r="H27" s="52">
        <f>IF($B27="","",IF(OR($F27="",$G27=""),"",ROUND(ABS($F27-$G27),2)))</f>
        <v/>
      </c>
      <c r="I27" s="3">
        <f>IF($B27="","",IF($D27&lt;2,"⚠ falta 2º avaliador",IF($D27&gt;2,"⚠ mais de 2 avaliações — conferir",IF(AND(ISNUMBER($H27),$H27&gt;1),"⚠ divergência &gt; 1,0 — média suspensa, calibrar","OK"))))</f>
        <v/>
      </c>
      <c r="J27" s="3" t="n"/>
      <c r="K27" s="52" t="n"/>
      <c r="L27" s="37" t="n"/>
      <c r="M27" s="52">
        <f>IF($E27="","",COUNTIF($E$5:$E$64,"&gt;"&amp;$E27)+1)</f>
        <v/>
      </c>
      <c r="N27" s="52">
        <f>IF($B27="","",IF(Entrevista!$H27="","",Entrevista!$H27))</f>
        <v/>
      </c>
      <c r="O27" s="3">
        <f>IF($B27="","",IF(Entrevista!$L27="","",Entrevista!$L27))</f>
        <v/>
      </c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14.25" customHeight="1" s="65">
      <c r="A28" s="3">
        <f>IF($B28="","",ROW()-4)</f>
        <v/>
      </c>
      <c r="B28" s="53" t="n"/>
      <c r="C28" s="52" t="n"/>
      <c r="D28" s="52">
        <f>IF($B28="","",COUNTIFS('Avaliação'!$C$7:$C$206,$B28,'Avaliação'!$E$7:$E$206,"&gt;=0"))</f>
        <v/>
      </c>
      <c r="E28" s="32">
        <f>IF($B28="","",IFERROR(ROUND(AVERAGEIF('Avaliação'!$C$7:$C$206,$B28,'Avaliação'!$E$7:$E$206),2),""))</f>
        <v/>
      </c>
      <c r="F28" s="52">
        <f t="array" ref="F28">IF($B28="","",IFERROR(INDEX('Avaliação'!$E$7:$E$206,MATCH($B28,'Avaliação'!$C$7:$C$206,0)),""))</f>
        <v/>
      </c>
      <c r="G28" s="52">
        <f>IF($B28="","",IF($D28&lt;&gt;2,"",IF($F28="","",ROUND(SUMIF('Avaliação'!$C$7:$C$206,$B28,'Avaliação'!$E$7:$E$206)-$F28,2))))</f>
        <v/>
      </c>
      <c r="H28" s="52">
        <f>IF($B28="","",IF(OR($F28="",$G28=""),"",ROUND(ABS($F28-$G28),2)))</f>
        <v/>
      </c>
      <c r="I28" s="3">
        <f>IF($B28="","",IF($D28&lt;2,"⚠ falta 2º avaliador",IF($D28&gt;2,"⚠ mais de 2 avaliações — conferir",IF(AND(ISNUMBER($H28),$H28&gt;1),"⚠ divergência &gt; 1,0 — média suspensa, calibrar","OK"))))</f>
        <v/>
      </c>
      <c r="J28" s="3" t="n"/>
      <c r="K28" s="52" t="n"/>
      <c r="L28" s="37" t="n"/>
      <c r="M28" s="52">
        <f>IF($E28="","",COUNTIF($E$5:$E$64,"&gt;"&amp;$E28)+1)</f>
        <v/>
      </c>
      <c r="N28" s="52">
        <f>IF($B28="","",IF(Entrevista!$H28="","",Entrevista!$H28))</f>
        <v/>
      </c>
      <c r="O28" s="3">
        <f>IF($B28="","",IF(Entrevista!$L28="","",Entrevista!$L28))</f>
        <v/>
      </c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14.25" customHeight="1" s="65">
      <c r="A29" s="3">
        <f>IF($B29="","",ROW()-4)</f>
        <v/>
      </c>
      <c r="B29" s="53" t="n"/>
      <c r="C29" s="52" t="n"/>
      <c r="D29" s="52">
        <f>IF($B29="","",COUNTIFS('Avaliação'!$C$7:$C$206,$B29,'Avaliação'!$E$7:$E$206,"&gt;=0"))</f>
        <v/>
      </c>
      <c r="E29" s="32">
        <f>IF($B29="","",IFERROR(ROUND(AVERAGEIF('Avaliação'!$C$7:$C$206,$B29,'Avaliação'!$E$7:$E$206),2),""))</f>
        <v/>
      </c>
      <c r="F29" s="52">
        <f t="array" ref="F29">IF($B29="","",IFERROR(INDEX('Avaliação'!$E$7:$E$206,MATCH($B29,'Avaliação'!$C$7:$C$206,0)),""))</f>
        <v/>
      </c>
      <c r="G29" s="52">
        <f>IF($B29="","",IF($D29&lt;&gt;2,"",IF($F29="","",ROUND(SUMIF('Avaliação'!$C$7:$C$206,$B29,'Avaliação'!$E$7:$E$206)-$F29,2))))</f>
        <v/>
      </c>
      <c r="H29" s="52">
        <f>IF($B29="","",IF(OR($F29="",$G29=""),"",ROUND(ABS($F29-$G29),2)))</f>
        <v/>
      </c>
      <c r="I29" s="3">
        <f>IF($B29="","",IF($D29&lt;2,"⚠ falta 2º avaliador",IF($D29&gt;2,"⚠ mais de 2 avaliações — conferir",IF(AND(ISNUMBER($H29),$H29&gt;1),"⚠ divergência &gt; 1,0 — média suspensa, calibrar","OK"))))</f>
        <v/>
      </c>
      <c r="J29" s="3" t="n"/>
      <c r="K29" s="52" t="n"/>
      <c r="L29" s="37" t="n"/>
      <c r="M29" s="52">
        <f>IF($E29="","",COUNTIF($E$5:$E$64,"&gt;"&amp;$E29)+1)</f>
        <v/>
      </c>
      <c r="N29" s="52">
        <f>IF($B29="","",IF(Entrevista!$H29="","",Entrevista!$H29))</f>
        <v/>
      </c>
      <c r="O29" s="3">
        <f>IF($B29="","",IF(Entrevista!$L29="","",Entrevista!$L29))</f>
        <v/>
      </c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14.25" customHeight="1" s="65">
      <c r="A30" s="3">
        <f>IF($B30="","",ROW()-4)</f>
        <v/>
      </c>
      <c r="B30" s="53" t="n"/>
      <c r="C30" s="52" t="n"/>
      <c r="D30" s="52">
        <f>IF($B30="","",COUNTIFS('Avaliação'!$C$7:$C$206,$B30,'Avaliação'!$E$7:$E$206,"&gt;=0"))</f>
        <v/>
      </c>
      <c r="E30" s="32">
        <f>IF($B30="","",IFERROR(ROUND(AVERAGEIF('Avaliação'!$C$7:$C$206,$B30,'Avaliação'!$E$7:$E$206),2),""))</f>
        <v/>
      </c>
      <c r="F30" s="52">
        <f t="array" ref="F30">IF($B30="","",IFERROR(INDEX('Avaliação'!$E$7:$E$206,MATCH($B30,'Avaliação'!$C$7:$C$206,0)),""))</f>
        <v/>
      </c>
      <c r="G30" s="52">
        <f>IF($B30="","",IF($D30&lt;&gt;2,"",IF($F30="","",ROUND(SUMIF('Avaliação'!$C$7:$C$206,$B30,'Avaliação'!$E$7:$E$206)-$F30,2))))</f>
        <v/>
      </c>
      <c r="H30" s="52">
        <f>IF($B30="","",IF(OR($F30="",$G30=""),"",ROUND(ABS($F30-$G30),2)))</f>
        <v/>
      </c>
      <c r="I30" s="3">
        <f>IF($B30="","",IF($D30&lt;2,"⚠ falta 2º avaliador",IF($D30&gt;2,"⚠ mais de 2 avaliações — conferir",IF(AND(ISNUMBER($H30),$H30&gt;1),"⚠ divergência &gt; 1,0 — média suspensa, calibrar","OK"))))</f>
        <v/>
      </c>
      <c r="J30" s="3" t="n"/>
      <c r="K30" s="52" t="n"/>
      <c r="L30" s="37" t="n"/>
      <c r="M30" s="52">
        <f>IF($E30="","",COUNTIF($E$5:$E$64,"&gt;"&amp;$E30)+1)</f>
        <v/>
      </c>
      <c r="N30" s="52">
        <f>IF($B30="","",IF(Entrevista!$H30="","",Entrevista!$H30))</f>
        <v/>
      </c>
      <c r="O30" s="3">
        <f>IF($B30="","",IF(Entrevista!$L30="","",Entrevista!$L30))</f>
        <v/>
      </c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14.25" customHeight="1" s="65">
      <c r="A31" s="3">
        <f>IF($B31="","",ROW()-4)</f>
        <v/>
      </c>
      <c r="B31" s="53" t="n"/>
      <c r="C31" s="52" t="n"/>
      <c r="D31" s="52">
        <f>IF($B31="","",COUNTIFS('Avaliação'!$C$7:$C$206,$B31,'Avaliação'!$E$7:$E$206,"&gt;=0"))</f>
        <v/>
      </c>
      <c r="E31" s="32">
        <f>IF($B31="","",IFERROR(ROUND(AVERAGEIF('Avaliação'!$C$7:$C$206,$B31,'Avaliação'!$E$7:$E$206),2),""))</f>
        <v/>
      </c>
      <c r="F31" s="52">
        <f t="array" ref="F31">IF($B31="","",IFERROR(INDEX('Avaliação'!$E$7:$E$206,MATCH($B31,'Avaliação'!$C$7:$C$206,0)),""))</f>
        <v/>
      </c>
      <c r="G31" s="52">
        <f>IF($B31="","",IF($D31&lt;&gt;2,"",IF($F31="","",ROUND(SUMIF('Avaliação'!$C$7:$C$206,$B31,'Avaliação'!$E$7:$E$206)-$F31,2))))</f>
        <v/>
      </c>
      <c r="H31" s="52">
        <f>IF($B31="","",IF(OR($F31="",$G31=""),"",ROUND(ABS($F31-$G31),2)))</f>
        <v/>
      </c>
      <c r="I31" s="3">
        <f>IF($B31="","",IF($D31&lt;2,"⚠ falta 2º avaliador",IF($D31&gt;2,"⚠ mais de 2 avaliações — conferir",IF(AND(ISNUMBER($H31),$H31&gt;1),"⚠ divergência &gt; 1,0 — média suspensa, calibrar","OK"))))</f>
        <v/>
      </c>
      <c r="J31" s="3" t="n"/>
      <c r="K31" s="52" t="n"/>
      <c r="L31" s="37" t="n"/>
      <c r="M31" s="52">
        <f>IF($E31="","",COUNTIF($E$5:$E$64,"&gt;"&amp;$E31)+1)</f>
        <v/>
      </c>
      <c r="N31" s="52">
        <f>IF($B31="","",IF(Entrevista!$H31="","",Entrevista!$H31))</f>
        <v/>
      </c>
      <c r="O31" s="3">
        <f>IF($B31="","",IF(Entrevista!$L31="","",Entrevista!$L31))</f>
        <v/>
      </c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14.25" customHeight="1" s="65">
      <c r="A32" s="3">
        <f>IF($B32="","",ROW()-4)</f>
        <v/>
      </c>
      <c r="B32" s="53" t="n"/>
      <c r="C32" s="52" t="n"/>
      <c r="D32" s="52">
        <f>IF($B32="","",COUNTIFS('Avaliação'!$C$7:$C$206,$B32,'Avaliação'!$E$7:$E$206,"&gt;=0"))</f>
        <v/>
      </c>
      <c r="E32" s="32">
        <f>IF($B32="","",IFERROR(ROUND(AVERAGEIF('Avaliação'!$C$7:$C$206,$B32,'Avaliação'!$E$7:$E$206),2),""))</f>
        <v/>
      </c>
      <c r="F32" s="52">
        <f t="array" ref="F32">IF($B32="","",IFERROR(INDEX('Avaliação'!$E$7:$E$206,MATCH($B32,'Avaliação'!$C$7:$C$206,0)),""))</f>
        <v/>
      </c>
      <c r="G32" s="52">
        <f>IF($B32="","",IF($D32&lt;&gt;2,"",IF($F32="","",ROUND(SUMIF('Avaliação'!$C$7:$C$206,$B32,'Avaliação'!$E$7:$E$206)-$F32,2))))</f>
        <v/>
      </c>
      <c r="H32" s="52">
        <f>IF($B32="","",IF(OR($F32="",$G32=""),"",ROUND(ABS($F32-$G32),2)))</f>
        <v/>
      </c>
      <c r="I32" s="3">
        <f>IF($B32="","",IF($D32&lt;2,"⚠ falta 2º avaliador",IF($D32&gt;2,"⚠ mais de 2 avaliações — conferir",IF(AND(ISNUMBER($H32),$H32&gt;1),"⚠ divergência &gt; 1,0 — média suspensa, calibrar","OK"))))</f>
        <v/>
      </c>
      <c r="J32" s="3" t="n"/>
      <c r="K32" s="52" t="n"/>
      <c r="L32" s="37" t="n"/>
      <c r="M32" s="52">
        <f>IF($E32="","",COUNTIF($E$5:$E$64,"&gt;"&amp;$E32)+1)</f>
        <v/>
      </c>
      <c r="N32" s="52">
        <f>IF($B32="","",IF(Entrevista!$H32="","",Entrevista!$H32))</f>
        <v/>
      </c>
      <c r="O32" s="3">
        <f>IF($B32="","",IF(Entrevista!$L32="","",Entrevista!$L32))</f>
        <v/>
      </c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14.25" customHeight="1" s="65">
      <c r="A33" s="3">
        <f>IF($B33="","",ROW()-4)</f>
        <v/>
      </c>
      <c r="B33" s="53" t="n"/>
      <c r="C33" s="52" t="n"/>
      <c r="D33" s="52">
        <f>IF($B33="","",COUNTIFS('Avaliação'!$C$7:$C$206,$B33,'Avaliação'!$E$7:$E$206,"&gt;=0"))</f>
        <v/>
      </c>
      <c r="E33" s="32">
        <f>IF($B33="","",IFERROR(ROUND(AVERAGEIF('Avaliação'!$C$7:$C$206,$B33,'Avaliação'!$E$7:$E$206),2),""))</f>
        <v/>
      </c>
      <c r="F33" s="52">
        <f t="array" ref="F33">IF($B33="","",IFERROR(INDEX('Avaliação'!$E$7:$E$206,MATCH($B33,'Avaliação'!$C$7:$C$206,0)),""))</f>
        <v/>
      </c>
      <c r="G33" s="52">
        <f>IF($B33="","",IF($D33&lt;&gt;2,"",IF($F33="","",ROUND(SUMIF('Avaliação'!$C$7:$C$206,$B33,'Avaliação'!$E$7:$E$206)-$F33,2))))</f>
        <v/>
      </c>
      <c r="H33" s="52">
        <f>IF($B33="","",IF(OR($F33="",$G33=""),"",ROUND(ABS($F33-$G33),2)))</f>
        <v/>
      </c>
      <c r="I33" s="3">
        <f>IF($B33="","",IF($D33&lt;2,"⚠ falta 2º avaliador",IF($D33&gt;2,"⚠ mais de 2 avaliações — conferir",IF(AND(ISNUMBER($H33),$H33&gt;1),"⚠ divergência &gt; 1,0 — média suspensa, calibrar","OK"))))</f>
        <v/>
      </c>
      <c r="J33" s="3" t="n"/>
      <c r="K33" s="52" t="n"/>
      <c r="L33" s="37" t="n"/>
      <c r="M33" s="52">
        <f>IF($E33="","",COUNTIF($E$5:$E$64,"&gt;"&amp;$E33)+1)</f>
        <v/>
      </c>
      <c r="N33" s="52">
        <f>IF($B33="","",IF(Entrevista!$H33="","",Entrevista!$H33))</f>
        <v/>
      </c>
      <c r="O33" s="3">
        <f>IF($B33="","",IF(Entrevista!$L33="","",Entrevista!$L33))</f>
        <v/>
      </c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14.25" customHeight="1" s="65">
      <c r="A34" s="3">
        <f>IF($B34="","",ROW()-4)</f>
        <v/>
      </c>
      <c r="B34" s="53" t="n"/>
      <c r="C34" s="52" t="n"/>
      <c r="D34" s="52">
        <f>IF($B34="","",COUNTIFS('Avaliação'!$C$7:$C$206,$B34,'Avaliação'!$E$7:$E$206,"&gt;=0"))</f>
        <v/>
      </c>
      <c r="E34" s="32">
        <f>IF($B34="","",IFERROR(ROUND(AVERAGEIF('Avaliação'!$C$7:$C$206,$B34,'Avaliação'!$E$7:$E$206),2),""))</f>
        <v/>
      </c>
      <c r="F34" s="52">
        <f t="array" ref="F34">IF($B34="","",IFERROR(INDEX('Avaliação'!$E$7:$E$206,MATCH($B34,'Avaliação'!$C$7:$C$206,0)),""))</f>
        <v/>
      </c>
      <c r="G34" s="52">
        <f>IF($B34="","",IF($D34&lt;&gt;2,"",IF($F34="","",ROUND(SUMIF('Avaliação'!$C$7:$C$206,$B34,'Avaliação'!$E$7:$E$206)-$F34,2))))</f>
        <v/>
      </c>
      <c r="H34" s="52">
        <f>IF($B34="","",IF(OR($F34="",$G34=""),"",ROUND(ABS($F34-$G34),2)))</f>
        <v/>
      </c>
      <c r="I34" s="3">
        <f>IF($B34="","",IF($D34&lt;2,"⚠ falta 2º avaliador",IF($D34&gt;2,"⚠ mais de 2 avaliações — conferir",IF(AND(ISNUMBER($H34),$H34&gt;1),"⚠ divergência &gt; 1,0 — média suspensa, calibrar","OK"))))</f>
        <v/>
      </c>
      <c r="J34" s="3" t="n"/>
      <c r="K34" s="52" t="n"/>
      <c r="L34" s="37" t="n"/>
      <c r="M34" s="52">
        <f>IF($E34="","",COUNTIF($E$5:$E$64,"&gt;"&amp;$E34)+1)</f>
        <v/>
      </c>
      <c r="N34" s="52">
        <f>IF($B34="","",IF(Entrevista!$H34="","",Entrevista!$H34))</f>
        <v/>
      </c>
      <c r="O34" s="3">
        <f>IF($B34="","",IF(Entrevista!$L34="","",Entrevista!$L34))</f>
        <v/>
      </c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14.25" customHeight="1" s="65">
      <c r="A35" s="3">
        <f>IF($B35="","",ROW()-4)</f>
        <v/>
      </c>
      <c r="B35" s="53" t="n"/>
      <c r="C35" s="52" t="n"/>
      <c r="D35" s="52">
        <f>IF($B35="","",COUNTIFS('Avaliação'!$C$7:$C$206,$B35,'Avaliação'!$E$7:$E$206,"&gt;=0"))</f>
        <v/>
      </c>
      <c r="E35" s="32">
        <f>IF($B35="","",IFERROR(ROUND(AVERAGEIF('Avaliação'!$C$7:$C$206,$B35,'Avaliação'!$E$7:$E$206),2),""))</f>
        <v/>
      </c>
      <c r="F35" s="52">
        <f t="array" ref="F35">IF($B35="","",IFERROR(INDEX('Avaliação'!$E$7:$E$206,MATCH($B35,'Avaliação'!$C$7:$C$206,0)),""))</f>
        <v/>
      </c>
      <c r="G35" s="52">
        <f>IF($B35="","",IF($D35&lt;&gt;2,"",IF($F35="","",ROUND(SUMIF('Avaliação'!$C$7:$C$206,$B35,'Avaliação'!$E$7:$E$206)-$F35,2))))</f>
        <v/>
      </c>
      <c r="H35" s="52">
        <f>IF($B35="","",IF(OR($F35="",$G35=""),"",ROUND(ABS($F35-$G35),2)))</f>
        <v/>
      </c>
      <c r="I35" s="3">
        <f>IF($B35="","",IF($D35&lt;2,"⚠ falta 2º avaliador",IF($D35&gt;2,"⚠ mais de 2 avaliações — conferir",IF(AND(ISNUMBER($H35),$H35&gt;1),"⚠ divergência &gt; 1,0 — média suspensa, calibrar","OK"))))</f>
        <v/>
      </c>
      <c r="J35" s="3" t="n"/>
      <c r="K35" s="52" t="n"/>
      <c r="L35" s="37" t="n"/>
      <c r="M35" s="52">
        <f>IF($E35="","",COUNTIF($E$5:$E$64,"&gt;"&amp;$E35)+1)</f>
        <v/>
      </c>
      <c r="N35" s="52">
        <f>IF($B35="","",IF(Entrevista!$H35="","",Entrevista!$H35))</f>
        <v/>
      </c>
      <c r="O35" s="3">
        <f>IF($B35="","",IF(Entrevista!$L35="","",Entrevista!$L35))</f>
        <v/>
      </c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14.25" customHeight="1" s="65">
      <c r="A36" s="3">
        <f>IF($B36="","",ROW()-4)</f>
        <v/>
      </c>
      <c r="B36" s="53" t="n"/>
      <c r="C36" s="52" t="n"/>
      <c r="D36" s="52">
        <f>IF($B36="","",COUNTIFS('Avaliação'!$C$7:$C$206,$B36,'Avaliação'!$E$7:$E$206,"&gt;=0"))</f>
        <v/>
      </c>
      <c r="E36" s="32">
        <f>IF($B36="","",IFERROR(ROUND(AVERAGEIF('Avaliação'!$C$7:$C$206,$B36,'Avaliação'!$E$7:$E$206),2),""))</f>
        <v/>
      </c>
      <c r="F36" s="52">
        <f t="array" ref="F36">IF($B36="","",IFERROR(INDEX('Avaliação'!$E$7:$E$206,MATCH($B36,'Avaliação'!$C$7:$C$206,0)),""))</f>
        <v/>
      </c>
      <c r="G36" s="52">
        <f>IF($B36="","",IF($D36&lt;&gt;2,"",IF($F36="","",ROUND(SUMIF('Avaliação'!$C$7:$C$206,$B36,'Avaliação'!$E$7:$E$206)-$F36,2))))</f>
        <v/>
      </c>
      <c r="H36" s="52">
        <f>IF($B36="","",IF(OR($F36="",$G36=""),"",ROUND(ABS($F36-$G36),2)))</f>
        <v/>
      </c>
      <c r="I36" s="3">
        <f>IF($B36="","",IF($D36&lt;2,"⚠ falta 2º avaliador",IF($D36&gt;2,"⚠ mais de 2 avaliações — conferir",IF(AND(ISNUMBER($H36),$H36&gt;1),"⚠ divergência &gt; 1,0 — média suspensa, calibrar","OK"))))</f>
        <v/>
      </c>
      <c r="J36" s="3" t="n"/>
      <c r="K36" s="52" t="n"/>
      <c r="L36" s="37" t="n"/>
      <c r="M36" s="52">
        <f>IF($E36="","",COUNTIF($E$5:$E$64,"&gt;"&amp;$E36)+1)</f>
        <v/>
      </c>
      <c r="N36" s="52">
        <f>IF($B36="","",IF(Entrevista!$H36="","",Entrevista!$H36))</f>
        <v/>
      </c>
      <c r="O36" s="3">
        <f>IF($B36="","",IF(Entrevista!$L36="","",Entrevista!$L36))</f>
        <v/>
      </c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14.25" customHeight="1" s="65">
      <c r="A37" s="3">
        <f>IF($B37="","",ROW()-4)</f>
        <v/>
      </c>
      <c r="B37" s="53" t="n"/>
      <c r="C37" s="52" t="n"/>
      <c r="D37" s="52">
        <f>IF($B37="","",COUNTIFS('Avaliação'!$C$7:$C$206,$B37,'Avaliação'!$E$7:$E$206,"&gt;=0"))</f>
        <v/>
      </c>
      <c r="E37" s="32">
        <f>IF($B37="","",IFERROR(ROUND(AVERAGEIF('Avaliação'!$C$7:$C$206,$B37,'Avaliação'!$E$7:$E$206),2),""))</f>
        <v/>
      </c>
      <c r="F37" s="52">
        <f t="array" ref="F37">IF($B37="","",IFERROR(INDEX('Avaliação'!$E$7:$E$206,MATCH($B37,'Avaliação'!$C$7:$C$206,0)),""))</f>
        <v/>
      </c>
      <c r="G37" s="52">
        <f>IF($B37="","",IF($D37&lt;&gt;2,"",IF($F37="","",ROUND(SUMIF('Avaliação'!$C$7:$C$206,$B37,'Avaliação'!$E$7:$E$206)-$F37,2))))</f>
        <v/>
      </c>
      <c r="H37" s="52">
        <f>IF($B37="","",IF(OR($F37="",$G37=""),"",ROUND(ABS($F37-$G37),2)))</f>
        <v/>
      </c>
      <c r="I37" s="3">
        <f>IF($B37="","",IF($D37&lt;2,"⚠ falta 2º avaliador",IF($D37&gt;2,"⚠ mais de 2 avaliações — conferir",IF(AND(ISNUMBER($H37),$H37&gt;1),"⚠ divergência &gt; 1,0 — média suspensa, calibrar","OK"))))</f>
        <v/>
      </c>
      <c r="J37" s="3" t="n"/>
      <c r="K37" s="52" t="n"/>
      <c r="L37" s="37" t="n"/>
      <c r="M37" s="52">
        <f>IF($E37="","",COUNTIF($E$5:$E$64,"&gt;"&amp;$E37)+1)</f>
        <v/>
      </c>
      <c r="N37" s="52">
        <f>IF($B37="","",IF(Entrevista!$H37="","",Entrevista!$H37))</f>
        <v/>
      </c>
      <c r="O37" s="3">
        <f>IF($B37="","",IF(Entrevista!$L37="","",Entrevista!$L37))</f>
        <v/>
      </c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14.25" customHeight="1" s="65">
      <c r="A38" s="3">
        <f>IF($B38="","",ROW()-4)</f>
        <v/>
      </c>
      <c r="B38" s="53" t="n"/>
      <c r="C38" s="52" t="n"/>
      <c r="D38" s="52">
        <f>IF($B38="","",COUNTIFS('Avaliação'!$C$7:$C$206,$B38,'Avaliação'!$E$7:$E$206,"&gt;=0"))</f>
        <v/>
      </c>
      <c r="E38" s="32">
        <f>IF($B38="","",IFERROR(ROUND(AVERAGEIF('Avaliação'!$C$7:$C$206,$B38,'Avaliação'!$E$7:$E$206),2),""))</f>
        <v/>
      </c>
      <c r="F38" s="52">
        <f t="array" ref="F38">IF($B38="","",IFERROR(INDEX('Avaliação'!$E$7:$E$206,MATCH($B38,'Avaliação'!$C$7:$C$206,0)),""))</f>
        <v/>
      </c>
      <c r="G38" s="52">
        <f>IF($B38="","",IF($D38&lt;&gt;2,"",IF($F38="","",ROUND(SUMIF('Avaliação'!$C$7:$C$206,$B38,'Avaliação'!$E$7:$E$206)-$F38,2))))</f>
        <v/>
      </c>
      <c r="H38" s="52">
        <f>IF($B38="","",IF(OR($F38="",$G38=""),"",ROUND(ABS($F38-$G38),2)))</f>
        <v/>
      </c>
      <c r="I38" s="3">
        <f>IF($B38="","",IF($D38&lt;2,"⚠ falta 2º avaliador",IF($D38&gt;2,"⚠ mais de 2 avaliações — conferir",IF(AND(ISNUMBER($H38),$H38&gt;1),"⚠ divergência &gt; 1,0 — média suspensa, calibrar","OK"))))</f>
        <v/>
      </c>
      <c r="J38" s="3" t="n"/>
      <c r="K38" s="52" t="n"/>
      <c r="L38" s="37" t="n"/>
      <c r="M38" s="52">
        <f>IF($E38="","",COUNTIF($E$5:$E$64,"&gt;"&amp;$E38)+1)</f>
        <v/>
      </c>
      <c r="N38" s="52">
        <f>IF($B38="","",IF(Entrevista!$H38="","",Entrevista!$H38))</f>
        <v/>
      </c>
      <c r="O38" s="3">
        <f>IF($B38="","",IF(Entrevista!$L38="","",Entrevista!$L38))</f>
        <v/>
      </c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14.25" customHeight="1" s="65">
      <c r="A39" s="3">
        <f>IF($B39="","",ROW()-4)</f>
        <v/>
      </c>
      <c r="B39" s="53" t="n"/>
      <c r="C39" s="52" t="n"/>
      <c r="D39" s="52">
        <f>IF($B39="","",COUNTIFS('Avaliação'!$C$7:$C$206,$B39,'Avaliação'!$E$7:$E$206,"&gt;=0"))</f>
        <v/>
      </c>
      <c r="E39" s="32">
        <f>IF($B39="","",IFERROR(ROUND(AVERAGEIF('Avaliação'!$C$7:$C$206,$B39,'Avaliação'!$E$7:$E$206),2),""))</f>
        <v/>
      </c>
      <c r="F39" s="52">
        <f t="array" ref="F39">IF($B39="","",IFERROR(INDEX('Avaliação'!$E$7:$E$206,MATCH($B39,'Avaliação'!$C$7:$C$206,0)),""))</f>
        <v/>
      </c>
      <c r="G39" s="52">
        <f>IF($B39="","",IF($D39&lt;&gt;2,"",IF($F39="","",ROUND(SUMIF('Avaliação'!$C$7:$C$206,$B39,'Avaliação'!$E$7:$E$206)-$F39,2))))</f>
        <v/>
      </c>
      <c r="H39" s="52">
        <f>IF($B39="","",IF(OR($F39="",$G39=""),"",ROUND(ABS($F39-$G39),2)))</f>
        <v/>
      </c>
      <c r="I39" s="3">
        <f>IF($B39="","",IF($D39&lt;2,"⚠ falta 2º avaliador",IF($D39&gt;2,"⚠ mais de 2 avaliações — conferir",IF(AND(ISNUMBER($H39),$H39&gt;1),"⚠ divergência &gt; 1,0 — média suspensa, calibrar","OK"))))</f>
        <v/>
      </c>
      <c r="J39" s="3" t="n"/>
      <c r="K39" s="52" t="n"/>
      <c r="L39" s="37" t="n"/>
      <c r="M39" s="52">
        <f>IF($E39="","",COUNTIF($E$5:$E$64,"&gt;"&amp;$E39)+1)</f>
        <v/>
      </c>
      <c r="N39" s="52">
        <f>IF($B39="","",IF(Entrevista!$H39="","",Entrevista!$H39))</f>
        <v/>
      </c>
      <c r="O39" s="3">
        <f>IF($B39="","",IF(Entrevista!$L39="","",Entrevista!$L39))</f>
        <v/>
      </c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14.25" customHeight="1" s="65">
      <c r="A40" s="3">
        <f>IF($B40="","",ROW()-4)</f>
        <v/>
      </c>
      <c r="B40" s="53" t="n"/>
      <c r="C40" s="52" t="n"/>
      <c r="D40" s="52">
        <f>IF($B40="","",COUNTIFS('Avaliação'!$C$7:$C$206,$B40,'Avaliação'!$E$7:$E$206,"&gt;=0"))</f>
        <v/>
      </c>
      <c r="E40" s="32">
        <f>IF($B40="","",IFERROR(ROUND(AVERAGEIF('Avaliação'!$C$7:$C$206,$B40,'Avaliação'!$E$7:$E$206),2),""))</f>
        <v/>
      </c>
      <c r="F40" s="52">
        <f t="array" ref="F40">IF($B40="","",IFERROR(INDEX('Avaliação'!$E$7:$E$206,MATCH($B40,'Avaliação'!$C$7:$C$206,0)),""))</f>
        <v/>
      </c>
      <c r="G40" s="52">
        <f>IF($B40="","",IF($D40&lt;&gt;2,"",IF($F40="","",ROUND(SUMIF('Avaliação'!$C$7:$C$206,$B40,'Avaliação'!$E$7:$E$206)-$F40,2))))</f>
        <v/>
      </c>
      <c r="H40" s="52">
        <f>IF($B40="","",IF(OR($F40="",$G40=""),"",ROUND(ABS($F40-$G40),2)))</f>
        <v/>
      </c>
      <c r="I40" s="3">
        <f>IF($B40="","",IF($D40&lt;2,"⚠ falta 2º avaliador",IF($D40&gt;2,"⚠ mais de 2 avaliações — conferir",IF(AND(ISNUMBER($H40),$H40&gt;1),"⚠ divergência &gt; 1,0 — média suspensa, calibrar","OK"))))</f>
        <v/>
      </c>
      <c r="J40" s="3" t="n"/>
      <c r="K40" s="52" t="n"/>
      <c r="L40" s="37" t="n"/>
      <c r="M40" s="52">
        <f>IF($E40="","",COUNTIF($E$5:$E$64,"&gt;"&amp;$E40)+1)</f>
        <v/>
      </c>
      <c r="N40" s="52">
        <f>IF($B40="","",IF(Entrevista!$H40="","",Entrevista!$H40))</f>
        <v/>
      </c>
      <c r="O40" s="3">
        <f>IF($B40="","",IF(Entrevista!$L40="","",Entrevista!$L40))</f>
        <v/>
      </c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14.25" customHeight="1" s="65">
      <c r="A41" s="3">
        <f>IF($B41="","",ROW()-4)</f>
        <v/>
      </c>
      <c r="B41" s="53" t="n"/>
      <c r="C41" s="52" t="n"/>
      <c r="D41" s="52">
        <f>IF($B41="","",COUNTIFS('Avaliação'!$C$7:$C$206,$B41,'Avaliação'!$E$7:$E$206,"&gt;=0"))</f>
        <v/>
      </c>
      <c r="E41" s="32">
        <f>IF($B41="","",IFERROR(ROUND(AVERAGEIF('Avaliação'!$C$7:$C$206,$B41,'Avaliação'!$E$7:$E$206),2),""))</f>
        <v/>
      </c>
      <c r="F41" s="52">
        <f t="array" ref="F41">IF($B41="","",IFERROR(INDEX('Avaliação'!$E$7:$E$206,MATCH($B41,'Avaliação'!$C$7:$C$206,0)),""))</f>
        <v/>
      </c>
      <c r="G41" s="52">
        <f>IF($B41="","",IF($D41&lt;&gt;2,"",IF($F41="","",ROUND(SUMIF('Avaliação'!$C$7:$C$206,$B41,'Avaliação'!$E$7:$E$206)-$F41,2))))</f>
        <v/>
      </c>
      <c r="H41" s="52">
        <f>IF($B41="","",IF(OR($F41="",$G41=""),"",ROUND(ABS($F41-$G41),2)))</f>
        <v/>
      </c>
      <c r="I41" s="3">
        <f>IF($B41="","",IF($D41&lt;2,"⚠ falta 2º avaliador",IF($D41&gt;2,"⚠ mais de 2 avaliações — conferir",IF(AND(ISNUMBER($H41),$H41&gt;1),"⚠ divergência &gt; 1,0 — média suspensa, calibrar","OK"))))</f>
        <v/>
      </c>
      <c r="J41" s="3" t="n"/>
      <c r="K41" s="52" t="n"/>
      <c r="L41" s="37" t="n"/>
      <c r="M41" s="52">
        <f>IF($E41="","",COUNTIF($E$5:$E$64,"&gt;"&amp;$E41)+1)</f>
        <v/>
      </c>
      <c r="N41" s="52">
        <f>IF($B41="","",IF(Entrevista!$H41="","",Entrevista!$H41))</f>
        <v/>
      </c>
      <c r="O41" s="3">
        <f>IF($B41="","",IF(Entrevista!$L41="","",Entrevista!$L41))</f>
        <v/>
      </c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14.25" customHeight="1" s="65">
      <c r="A42" s="3">
        <f>IF($B42="","",ROW()-4)</f>
        <v/>
      </c>
      <c r="B42" s="53" t="n"/>
      <c r="C42" s="52" t="n"/>
      <c r="D42" s="52">
        <f>IF($B42="","",COUNTIFS('Avaliação'!$C$7:$C$206,$B42,'Avaliação'!$E$7:$E$206,"&gt;=0"))</f>
        <v/>
      </c>
      <c r="E42" s="32">
        <f>IF($B42="","",IFERROR(ROUND(AVERAGEIF('Avaliação'!$C$7:$C$206,$B42,'Avaliação'!$E$7:$E$206),2),""))</f>
        <v/>
      </c>
      <c r="F42" s="52">
        <f t="array" ref="F42">IF($B42="","",IFERROR(INDEX('Avaliação'!$E$7:$E$206,MATCH($B42,'Avaliação'!$C$7:$C$206,0)),""))</f>
        <v/>
      </c>
      <c r="G42" s="52">
        <f>IF($B42="","",IF($D42&lt;&gt;2,"",IF($F42="","",ROUND(SUMIF('Avaliação'!$C$7:$C$206,$B42,'Avaliação'!$E$7:$E$206)-$F42,2))))</f>
        <v/>
      </c>
      <c r="H42" s="52">
        <f>IF($B42="","",IF(OR($F42="",$G42=""),"",ROUND(ABS($F42-$G42),2)))</f>
        <v/>
      </c>
      <c r="I42" s="3">
        <f>IF($B42="","",IF($D42&lt;2,"⚠ falta 2º avaliador",IF($D42&gt;2,"⚠ mais de 2 avaliações — conferir",IF(AND(ISNUMBER($H42),$H42&gt;1),"⚠ divergência &gt; 1,0 — média suspensa, calibrar","OK"))))</f>
        <v/>
      </c>
      <c r="J42" s="3" t="n"/>
      <c r="K42" s="52" t="n"/>
      <c r="L42" s="37" t="n"/>
      <c r="M42" s="52">
        <f>IF($E42="","",COUNTIF($E$5:$E$64,"&gt;"&amp;$E42)+1)</f>
        <v/>
      </c>
      <c r="N42" s="52">
        <f>IF($B42="","",IF(Entrevista!$H42="","",Entrevista!$H42))</f>
        <v/>
      </c>
      <c r="O42" s="3">
        <f>IF($B42="","",IF(Entrevista!$L42="","",Entrevista!$L42))</f>
        <v/>
      </c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14.25" customHeight="1" s="65">
      <c r="A43" s="3">
        <f>IF($B43="","",ROW()-4)</f>
        <v/>
      </c>
      <c r="B43" s="53" t="n"/>
      <c r="C43" s="52" t="n"/>
      <c r="D43" s="52">
        <f>IF($B43="","",COUNTIFS('Avaliação'!$C$7:$C$206,$B43,'Avaliação'!$E$7:$E$206,"&gt;=0"))</f>
        <v/>
      </c>
      <c r="E43" s="32">
        <f>IF($B43="","",IFERROR(ROUND(AVERAGEIF('Avaliação'!$C$7:$C$206,$B43,'Avaliação'!$E$7:$E$206),2),""))</f>
        <v/>
      </c>
      <c r="F43" s="52">
        <f t="array" ref="F43">IF($B43="","",IFERROR(INDEX('Avaliação'!$E$7:$E$206,MATCH($B43,'Avaliação'!$C$7:$C$206,0)),""))</f>
        <v/>
      </c>
      <c r="G43" s="52">
        <f>IF($B43="","",IF($D43&lt;&gt;2,"",IF($F43="","",ROUND(SUMIF('Avaliação'!$C$7:$C$206,$B43,'Avaliação'!$E$7:$E$206)-$F43,2))))</f>
        <v/>
      </c>
      <c r="H43" s="52">
        <f>IF($B43="","",IF(OR($F43="",$G43=""),"",ROUND(ABS($F43-$G43),2)))</f>
        <v/>
      </c>
      <c r="I43" s="3">
        <f>IF($B43="","",IF($D43&lt;2,"⚠ falta 2º avaliador",IF($D43&gt;2,"⚠ mais de 2 avaliações — conferir",IF(AND(ISNUMBER($H43),$H43&gt;1),"⚠ divergência &gt; 1,0 — média suspensa, calibrar","OK"))))</f>
        <v/>
      </c>
      <c r="J43" s="3" t="n"/>
      <c r="K43" s="52" t="n"/>
      <c r="L43" s="37" t="n"/>
      <c r="M43" s="52">
        <f>IF($E43="","",COUNTIF($E$5:$E$64,"&gt;"&amp;$E43)+1)</f>
        <v/>
      </c>
      <c r="N43" s="52">
        <f>IF($B43="","",IF(Entrevista!$H43="","",Entrevista!$H43))</f>
        <v/>
      </c>
      <c r="O43" s="3">
        <f>IF($B43="","",IF(Entrevista!$L43="","",Entrevista!$L43))</f>
        <v/>
      </c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14.25" customHeight="1" s="65">
      <c r="A44" s="3">
        <f>IF($B44="","",ROW()-4)</f>
        <v/>
      </c>
      <c r="B44" s="53" t="n"/>
      <c r="C44" s="52" t="n"/>
      <c r="D44" s="52">
        <f>IF($B44="","",COUNTIFS('Avaliação'!$C$7:$C$206,$B44,'Avaliação'!$E$7:$E$206,"&gt;=0"))</f>
        <v/>
      </c>
      <c r="E44" s="32">
        <f>IF($B44="","",IFERROR(ROUND(AVERAGEIF('Avaliação'!$C$7:$C$206,$B44,'Avaliação'!$E$7:$E$206),2),""))</f>
        <v/>
      </c>
      <c r="F44" s="52">
        <f t="array" ref="F44">IF($B44="","",IFERROR(INDEX('Avaliação'!$E$7:$E$206,MATCH($B44,'Avaliação'!$C$7:$C$206,0)),""))</f>
        <v/>
      </c>
      <c r="G44" s="52">
        <f>IF($B44="","",IF($D44&lt;&gt;2,"",IF($F44="","",ROUND(SUMIF('Avaliação'!$C$7:$C$206,$B44,'Avaliação'!$E$7:$E$206)-$F44,2))))</f>
        <v/>
      </c>
      <c r="H44" s="52">
        <f>IF($B44="","",IF(OR($F44="",$G44=""),"",ROUND(ABS($F44-$G44),2)))</f>
        <v/>
      </c>
      <c r="I44" s="3">
        <f>IF($B44="","",IF($D44&lt;2,"⚠ falta 2º avaliador",IF($D44&gt;2,"⚠ mais de 2 avaliações — conferir",IF(AND(ISNUMBER($H44),$H44&gt;1),"⚠ divergência &gt; 1,0 — média suspensa, calibrar","OK"))))</f>
        <v/>
      </c>
      <c r="J44" s="3" t="n"/>
      <c r="K44" s="52" t="n"/>
      <c r="L44" s="37" t="n"/>
      <c r="M44" s="52">
        <f>IF($E44="","",COUNTIF($E$5:$E$64,"&gt;"&amp;$E44)+1)</f>
        <v/>
      </c>
      <c r="N44" s="52">
        <f>IF($B44="","",IF(Entrevista!$H44="","",Entrevista!$H44))</f>
        <v/>
      </c>
      <c r="O44" s="3">
        <f>IF($B44="","",IF(Entrevista!$L44="","",Entrevista!$L44))</f>
        <v/>
      </c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14.25" customHeight="1" s="65">
      <c r="A45" s="3">
        <f>IF($B45="","",ROW()-4)</f>
        <v/>
      </c>
      <c r="B45" s="53" t="n"/>
      <c r="C45" s="52" t="n"/>
      <c r="D45" s="52">
        <f>IF($B45="","",COUNTIFS('Avaliação'!$C$7:$C$206,$B45,'Avaliação'!$E$7:$E$206,"&gt;=0"))</f>
        <v/>
      </c>
      <c r="E45" s="32">
        <f>IF($B45="","",IFERROR(ROUND(AVERAGEIF('Avaliação'!$C$7:$C$206,$B45,'Avaliação'!$E$7:$E$206),2),""))</f>
        <v/>
      </c>
      <c r="F45" s="52">
        <f t="array" ref="F45">IF($B45="","",IFERROR(INDEX('Avaliação'!$E$7:$E$206,MATCH($B45,'Avaliação'!$C$7:$C$206,0)),""))</f>
        <v/>
      </c>
      <c r="G45" s="52">
        <f>IF($B45="","",IF($D45&lt;&gt;2,"",IF($F45="","",ROUND(SUMIF('Avaliação'!$C$7:$C$206,$B45,'Avaliação'!$E$7:$E$206)-$F45,2))))</f>
        <v/>
      </c>
      <c r="H45" s="52">
        <f>IF($B45="","",IF(OR($F45="",$G45=""),"",ROUND(ABS($F45-$G45),2)))</f>
        <v/>
      </c>
      <c r="I45" s="3">
        <f>IF($B45="","",IF($D45&lt;2,"⚠ falta 2º avaliador",IF($D45&gt;2,"⚠ mais de 2 avaliações — conferir",IF(AND(ISNUMBER($H45),$H45&gt;1),"⚠ divergência &gt; 1,0 — média suspensa, calibrar","OK"))))</f>
        <v/>
      </c>
      <c r="J45" s="3" t="n"/>
      <c r="K45" s="52" t="n"/>
      <c r="L45" s="37" t="n"/>
      <c r="M45" s="52">
        <f>IF($E45="","",COUNTIF($E$5:$E$64,"&gt;"&amp;$E45)+1)</f>
        <v/>
      </c>
      <c r="N45" s="52">
        <f>IF($B45="","",IF(Entrevista!$H45="","",Entrevista!$H45))</f>
        <v/>
      </c>
      <c r="O45" s="3">
        <f>IF($B45="","",IF(Entrevista!$L45="","",Entrevista!$L45))</f>
        <v/>
      </c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14.25" customHeight="1" s="65">
      <c r="A46" s="3">
        <f>IF($B46="","",ROW()-4)</f>
        <v/>
      </c>
      <c r="B46" s="53" t="n"/>
      <c r="C46" s="52" t="n"/>
      <c r="D46" s="52">
        <f>IF($B46="","",COUNTIFS('Avaliação'!$C$7:$C$206,$B46,'Avaliação'!$E$7:$E$206,"&gt;=0"))</f>
        <v/>
      </c>
      <c r="E46" s="32">
        <f>IF($B46="","",IFERROR(ROUND(AVERAGEIF('Avaliação'!$C$7:$C$206,$B46,'Avaliação'!$E$7:$E$206),2),""))</f>
        <v/>
      </c>
      <c r="F46" s="52">
        <f t="array" ref="F46">IF($B46="","",IFERROR(INDEX('Avaliação'!$E$7:$E$206,MATCH($B46,'Avaliação'!$C$7:$C$206,0)),""))</f>
        <v/>
      </c>
      <c r="G46" s="52">
        <f>IF($B46="","",IF($D46&lt;&gt;2,"",IF($F46="","",ROUND(SUMIF('Avaliação'!$C$7:$C$206,$B46,'Avaliação'!$E$7:$E$206)-$F46,2))))</f>
        <v/>
      </c>
      <c r="H46" s="52">
        <f>IF($B46="","",IF(OR($F46="",$G46=""),"",ROUND(ABS($F46-$G46),2)))</f>
        <v/>
      </c>
      <c r="I46" s="3">
        <f>IF($B46="","",IF($D46&lt;2,"⚠ falta 2º avaliador",IF($D46&gt;2,"⚠ mais de 2 avaliações — conferir",IF(AND(ISNUMBER($H46),$H46&gt;1),"⚠ divergência &gt; 1,0 — média suspensa, calibrar","OK"))))</f>
        <v/>
      </c>
      <c r="J46" s="3" t="n"/>
      <c r="K46" s="52" t="n"/>
      <c r="L46" s="37" t="n"/>
      <c r="M46" s="52">
        <f>IF($E46="","",COUNTIF($E$5:$E$64,"&gt;"&amp;$E46)+1)</f>
        <v/>
      </c>
      <c r="N46" s="52">
        <f>IF($B46="","",IF(Entrevista!$H46="","",Entrevista!$H46))</f>
        <v/>
      </c>
      <c r="O46" s="3">
        <f>IF($B46="","",IF(Entrevista!$L46="","",Entrevista!$L46))</f>
        <v/>
      </c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14.25" customHeight="1" s="65">
      <c r="A47" s="3">
        <f>IF($B47="","",ROW()-4)</f>
        <v/>
      </c>
      <c r="B47" s="53" t="n"/>
      <c r="C47" s="52" t="n"/>
      <c r="D47" s="52">
        <f>IF($B47="","",COUNTIFS('Avaliação'!$C$7:$C$206,$B47,'Avaliação'!$E$7:$E$206,"&gt;=0"))</f>
        <v/>
      </c>
      <c r="E47" s="32">
        <f>IF($B47="","",IFERROR(ROUND(AVERAGEIF('Avaliação'!$C$7:$C$206,$B47,'Avaliação'!$E$7:$E$206),2),""))</f>
        <v/>
      </c>
      <c r="F47" s="52">
        <f t="array" ref="F47">IF($B47="","",IFERROR(INDEX('Avaliação'!$E$7:$E$206,MATCH($B47,'Avaliação'!$C$7:$C$206,0)),""))</f>
        <v/>
      </c>
      <c r="G47" s="52">
        <f>IF($B47="","",IF($D47&lt;&gt;2,"",IF($F47="","",ROUND(SUMIF('Avaliação'!$C$7:$C$206,$B47,'Avaliação'!$E$7:$E$206)-$F47,2))))</f>
        <v/>
      </c>
      <c r="H47" s="52">
        <f>IF($B47="","",IF(OR($F47="",$G47=""),"",ROUND(ABS($F47-$G47),2)))</f>
        <v/>
      </c>
      <c r="I47" s="3">
        <f>IF($B47="","",IF($D47&lt;2,"⚠ falta 2º avaliador",IF($D47&gt;2,"⚠ mais de 2 avaliações — conferir",IF(AND(ISNUMBER($H47),$H47&gt;1),"⚠ divergência &gt; 1,0 — média suspensa, calibrar","OK"))))</f>
        <v/>
      </c>
      <c r="J47" s="3" t="n"/>
      <c r="K47" s="52" t="n"/>
      <c r="L47" s="37" t="n"/>
      <c r="M47" s="52">
        <f>IF($E47="","",COUNTIF($E$5:$E$64,"&gt;"&amp;$E47)+1)</f>
        <v/>
      </c>
      <c r="N47" s="52">
        <f>IF($B47="","",IF(Entrevista!$H47="","",Entrevista!$H47))</f>
        <v/>
      </c>
      <c r="O47" s="3">
        <f>IF($B47="","",IF(Entrevista!$L47="","",Entrevista!$L47))</f>
        <v/>
      </c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14.25" customHeight="1" s="65">
      <c r="A48" s="3">
        <f>IF($B48="","",ROW()-4)</f>
        <v/>
      </c>
      <c r="B48" s="53" t="n"/>
      <c r="C48" s="52" t="n"/>
      <c r="D48" s="52">
        <f>IF($B48="","",COUNTIFS('Avaliação'!$C$7:$C$206,$B48,'Avaliação'!$E$7:$E$206,"&gt;=0"))</f>
        <v/>
      </c>
      <c r="E48" s="32">
        <f>IF($B48="","",IFERROR(ROUND(AVERAGEIF('Avaliação'!$C$7:$C$206,$B48,'Avaliação'!$E$7:$E$206),2),""))</f>
        <v/>
      </c>
      <c r="F48" s="52">
        <f t="array" ref="F48">IF($B48="","",IFERROR(INDEX('Avaliação'!$E$7:$E$206,MATCH($B48,'Avaliação'!$C$7:$C$206,0)),""))</f>
        <v/>
      </c>
      <c r="G48" s="52">
        <f>IF($B48="","",IF($D48&lt;&gt;2,"",IF($F48="","",ROUND(SUMIF('Avaliação'!$C$7:$C$206,$B48,'Avaliação'!$E$7:$E$206)-$F48,2))))</f>
        <v/>
      </c>
      <c r="H48" s="52">
        <f>IF($B48="","",IF(OR($F48="",$G48=""),"",ROUND(ABS($F48-$G48),2)))</f>
        <v/>
      </c>
      <c r="I48" s="3">
        <f>IF($B48="","",IF($D48&lt;2,"⚠ falta 2º avaliador",IF($D48&gt;2,"⚠ mais de 2 avaliações — conferir",IF(AND(ISNUMBER($H48),$H48&gt;1),"⚠ divergência &gt; 1,0 — média suspensa, calibrar","OK"))))</f>
        <v/>
      </c>
      <c r="J48" s="3" t="n"/>
      <c r="K48" s="52" t="n"/>
      <c r="L48" s="37" t="n"/>
      <c r="M48" s="52">
        <f>IF($E48="","",COUNTIF($E$5:$E$64,"&gt;"&amp;$E48)+1)</f>
        <v/>
      </c>
      <c r="N48" s="52">
        <f>IF($B48="","",IF(Entrevista!$H48="","",Entrevista!$H48))</f>
        <v/>
      </c>
      <c r="O48" s="3">
        <f>IF($B48="","",IF(Entrevista!$L48="","",Entrevista!$L48))</f>
        <v/>
      </c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14.25" customHeight="1" s="65">
      <c r="A49" s="3">
        <f>IF($B49="","",ROW()-4)</f>
        <v/>
      </c>
      <c r="B49" s="53" t="n"/>
      <c r="C49" s="52" t="n"/>
      <c r="D49" s="52">
        <f>IF($B49="","",COUNTIFS('Avaliação'!$C$7:$C$206,$B49,'Avaliação'!$E$7:$E$206,"&gt;=0"))</f>
        <v/>
      </c>
      <c r="E49" s="32">
        <f>IF($B49="","",IFERROR(ROUND(AVERAGEIF('Avaliação'!$C$7:$C$206,$B49,'Avaliação'!$E$7:$E$206),2),""))</f>
        <v/>
      </c>
      <c r="F49" s="52">
        <f t="array" ref="F49">IF($B49="","",IFERROR(INDEX('Avaliação'!$E$7:$E$206,MATCH($B49,'Avaliação'!$C$7:$C$206,0)),""))</f>
        <v/>
      </c>
      <c r="G49" s="52">
        <f>IF($B49="","",IF($D49&lt;&gt;2,"",IF($F49="","",ROUND(SUMIF('Avaliação'!$C$7:$C$206,$B49,'Avaliação'!$E$7:$E$206)-$F49,2))))</f>
        <v/>
      </c>
      <c r="H49" s="52">
        <f>IF($B49="","",IF(OR($F49="",$G49=""),"",ROUND(ABS($F49-$G49),2)))</f>
        <v/>
      </c>
      <c r="I49" s="3">
        <f>IF($B49="","",IF($D49&lt;2,"⚠ falta 2º avaliador",IF($D49&gt;2,"⚠ mais de 2 avaliações — conferir",IF(AND(ISNUMBER($H49),$H49&gt;1),"⚠ divergência &gt; 1,0 — média suspensa, calibrar","OK"))))</f>
        <v/>
      </c>
      <c r="J49" s="3" t="n"/>
      <c r="K49" s="52" t="n"/>
      <c r="L49" s="37" t="n"/>
      <c r="M49" s="52">
        <f>IF($E49="","",COUNTIF($E$5:$E$64,"&gt;"&amp;$E49)+1)</f>
        <v/>
      </c>
      <c r="N49" s="52">
        <f>IF($B49="","",IF(Entrevista!$H49="","",Entrevista!$H49))</f>
        <v/>
      </c>
      <c r="O49" s="3">
        <f>IF($B49="","",IF(Entrevista!$L49="","",Entrevista!$L49))</f>
        <v/>
      </c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14.25" customHeight="1" s="65">
      <c r="A50" s="3">
        <f>IF($B50="","",ROW()-4)</f>
        <v/>
      </c>
      <c r="B50" s="53" t="n"/>
      <c r="C50" s="52" t="n"/>
      <c r="D50" s="52">
        <f>IF($B50="","",COUNTIFS('Avaliação'!$C$7:$C$206,$B50,'Avaliação'!$E$7:$E$206,"&gt;=0"))</f>
        <v/>
      </c>
      <c r="E50" s="32">
        <f>IF($B50="","",IFERROR(ROUND(AVERAGEIF('Avaliação'!$C$7:$C$206,$B50,'Avaliação'!$E$7:$E$206),2),""))</f>
        <v/>
      </c>
      <c r="F50" s="52">
        <f t="array" ref="F50">IF($B50="","",IFERROR(INDEX('Avaliação'!$E$7:$E$206,MATCH($B50,'Avaliação'!$C$7:$C$206,0)),""))</f>
        <v/>
      </c>
      <c r="G50" s="52">
        <f>IF($B50="","",IF($D50&lt;&gt;2,"",IF($F50="","",ROUND(SUMIF('Avaliação'!$C$7:$C$206,$B50,'Avaliação'!$E$7:$E$206)-$F50,2))))</f>
        <v/>
      </c>
      <c r="H50" s="52">
        <f>IF($B50="","",IF(OR($F50="",$G50=""),"",ROUND(ABS($F50-$G50),2)))</f>
        <v/>
      </c>
      <c r="I50" s="3">
        <f>IF($B50="","",IF($D50&lt;2,"⚠ falta 2º avaliador",IF($D50&gt;2,"⚠ mais de 2 avaliações — conferir",IF(AND(ISNUMBER($H50),$H50&gt;1),"⚠ divergência &gt; 1,0 — média suspensa, calibrar","OK"))))</f>
        <v/>
      </c>
      <c r="J50" s="3" t="n"/>
      <c r="K50" s="52" t="n"/>
      <c r="L50" s="37" t="n"/>
      <c r="M50" s="52">
        <f>IF($E50="","",COUNTIF($E$5:$E$64,"&gt;"&amp;$E50)+1)</f>
        <v/>
      </c>
      <c r="N50" s="52">
        <f>IF($B50="","",IF(Entrevista!$H50="","",Entrevista!$H50))</f>
        <v/>
      </c>
      <c r="O50" s="3">
        <f>IF($B50="","",IF(Entrevista!$L50="","",Entrevista!$L50))</f>
        <v/>
      </c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14.25" customHeight="1" s="65">
      <c r="A51" s="3">
        <f>IF($B51="","",ROW()-4)</f>
        <v/>
      </c>
      <c r="B51" s="53" t="n"/>
      <c r="C51" s="52" t="n"/>
      <c r="D51" s="52">
        <f>IF($B51="","",COUNTIFS('Avaliação'!$C$7:$C$206,$B51,'Avaliação'!$E$7:$E$206,"&gt;=0"))</f>
        <v/>
      </c>
      <c r="E51" s="32">
        <f>IF($B51="","",IFERROR(ROUND(AVERAGEIF('Avaliação'!$C$7:$C$206,$B51,'Avaliação'!$E$7:$E$206),2),""))</f>
        <v/>
      </c>
      <c r="F51" s="52">
        <f t="array" ref="F51">IF($B51="","",IFERROR(INDEX('Avaliação'!$E$7:$E$206,MATCH($B51,'Avaliação'!$C$7:$C$206,0)),""))</f>
        <v/>
      </c>
      <c r="G51" s="52">
        <f>IF($B51="","",IF($D51&lt;&gt;2,"",IF($F51="","",ROUND(SUMIF('Avaliação'!$C$7:$C$206,$B51,'Avaliação'!$E$7:$E$206)-$F51,2))))</f>
        <v/>
      </c>
      <c r="H51" s="52">
        <f>IF($B51="","",IF(OR($F51="",$G51=""),"",ROUND(ABS($F51-$G51),2)))</f>
        <v/>
      </c>
      <c r="I51" s="3">
        <f>IF($B51="","",IF($D51&lt;2,"⚠ falta 2º avaliador",IF($D51&gt;2,"⚠ mais de 2 avaliações — conferir",IF(AND(ISNUMBER($H51),$H51&gt;1),"⚠ divergência &gt; 1,0 — média suspensa, calibrar","OK"))))</f>
        <v/>
      </c>
      <c r="J51" s="3" t="n"/>
      <c r="K51" s="52" t="n"/>
      <c r="L51" s="37" t="n"/>
      <c r="M51" s="52">
        <f>IF($E51="","",COUNTIF($E$5:$E$64,"&gt;"&amp;$E51)+1)</f>
        <v/>
      </c>
      <c r="N51" s="52">
        <f>IF($B51="","",IF(Entrevista!$H51="","",Entrevista!$H51))</f>
        <v/>
      </c>
      <c r="O51" s="3">
        <f>IF($B51="","",IF(Entrevista!$L51="","",Entrevista!$L51))</f>
        <v/>
      </c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14.25" customHeight="1" s="65">
      <c r="A52" s="3">
        <f>IF($B52="","",ROW()-4)</f>
        <v/>
      </c>
      <c r="B52" s="53" t="n"/>
      <c r="C52" s="52" t="n"/>
      <c r="D52" s="52">
        <f>IF($B52="","",COUNTIFS('Avaliação'!$C$7:$C$206,$B52,'Avaliação'!$E$7:$E$206,"&gt;=0"))</f>
        <v/>
      </c>
      <c r="E52" s="32">
        <f>IF($B52="","",IFERROR(ROUND(AVERAGEIF('Avaliação'!$C$7:$C$206,$B52,'Avaliação'!$E$7:$E$206),2),""))</f>
        <v/>
      </c>
      <c r="F52" s="52">
        <f t="array" ref="F52">IF($B52="","",IFERROR(INDEX('Avaliação'!$E$7:$E$206,MATCH($B52,'Avaliação'!$C$7:$C$206,0)),""))</f>
        <v/>
      </c>
      <c r="G52" s="52">
        <f>IF($B52="","",IF($D52&lt;&gt;2,"",IF($F52="","",ROUND(SUMIF('Avaliação'!$C$7:$C$206,$B52,'Avaliação'!$E$7:$E$206)-$F52,2))))</f>
        <v/>
      </c>
      <c r="H52" s="52">
        <f>IF($B52="","",IF(OR($F52="",$G52=""),"",ROUND(ABS($F52-$G52),2)))</f>
        <v/>
      </c>
      <c r="I52" s="3">
        <f>IF($B52="","",IF($D52&lt;2,"⚠ falta 2º avaliador",IF($D52&gt;2,"⚠ mais de 2 avaliações — conferir",IF(AND(ISNUMBER($H52),$H52&gt;1),"⚠ divergência &gt; 1,0 — média suspensa, calibrar","OK"))))</f>
        <v/>
      </c>
      <c r="J52" s="3" t="n"/>
      <c r="K52" s="52" t="n"/>
      <c r="L52" s="37" t="n"/>
      <c r="M52" s="52">
        <f>IF($E52="","",COUNTIF($E$5:$E$64,"&gt;"&amp;$E52)+1)</f>
        <v/>
      </c>
      <c r="N52" s="52">
        <f>IF($B52="","",IF(Entrevista!$H52="","",Entrevista!$H52))</f>
        <v/>
      </c>
      <c r="O52" s="3">
        <f>IF($B52="","",IF(Entrevista!$L52="","",Entrevista!$L52))</f>
        <v/>
      </c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14.25" customHeight="1" s="65">
      <c r="A53" s="3">
        <f>IF($B53="","",ROW()-4)</f>
        <v/>
      </c>
      <c r="B53" s="53" t="n"/>
      <c r="C53" s="52" t="n"/>
      <c r="D53" s="52">
        <f>IF($B53="","",COUNTIFS('Avaliação'!$C$7:$C$206,$B53,'Avaliação'!$E$7:$E$206,"&gt;=0"))</f>
        <v/>
      </c>
      <c r="E53" s="32">
        <f>IF($B53="","",IFERROR(ROUND(AVERAGEIF('Avaliação'!$C$7:$C$206,$B53,'Avaliação'!$E$7:$E$206),2),""))</f>
        <v/>
      </c>
      <c r="F53" s="52">
        <f t="array" ref="F53">IF($B53="","",IFERROR(INDEX('Avaliação'!$E$7:$E$206,MATCH($B53,'Avaliação'!$C$7:$C$206,0)),""))</f>
        <v/>
      </c>
      <c r="G53" s="52">
        <f>IF($B53="","",IF($D53&lt;&gt;2,"",IF($F53="","",ROUND(SUMIF('Avaliação'!$C$7:$C$206,$B53,'Avaliação'!$E$7:$E$206)-$F53,2))))</f>
        <v/>
      </c>
      <c r="H53" s="52">
        <f>IF($B53="","",IF(OR($F53="",$G53=""),"",ROUND(ABS($F53-$G53),2)))</f>
        <v/>
      </c>
      <c r="I53" s="3">
        <f>IF($B53="","",IF($D53&lt;2,"⚠ falta 2º avaliador",IF($D53&gt;2,"⚠ mais de 2 avaliações — conferir",IF(AND(ISNUMBER($H53),$H53&gt;1),"⚠ divergência &gt; 1,0 — média suspensa, calibrar","OK"))))</f>
        <v/>
      </c>
      <c r="J53" s="3" t="n"/>
      <c r="K53" s="52" t="n"/>
      <c r="L53" s="37" t="n"/>
      <c r="M53" s="52">
        <f>IF($E53="","",COUNTIF($E$5:$E$64,"&gt;"&amp;$E53)+1)</f>
        <v/>
      </c>
      <c r="N53" s="52">
        <f>IF($B53="","",IF(Entrevista!$H53="","",Entrevista!$H53))</f>
        <v/>
      </c>
      <c r="O53" s="3">
        <f>IF($B53="","",IF(Entrevista!$L53="","",Entrevista!$L53))</f>
        <v/>
      </c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14.25" customHeight="1" s="65">
      <c r="A54" s="3">
        <f>IF($B54="","",ROW()-4)</f>
        <v/>
      </c>
      <c r="B54" s="53" t="n"/>
      <c r="C54" s="52" t="n"/>
      <c r="D54" s="52">
        <f>IF($B54="","",COUNTIFS('Avaliação'!$C$7:$C$206,$B54,'Avaliação'!$E$7:$E$206,"&gt;=0"))</f>
        <v/>
      </c>
      <c r="E54" s="32">
        <f>IF($B54="","",IFERROR(ROUND(AVERAGEIF('Avaliação'!$C$7:$C$206,$B54,'Avaliação'!$E$7:$E$206),2),""))</f>
        <v/>
      </c>
      <c r="F54" s="52">
        <f t="array" ref="F54">IF($B54="","",IFERROR(INDEX('Avaliação'!$E$7:$E$206,MATCH($B54,'Avaliação'!$C$7:$C$206,0)),""))</f>
        <v/>
      </c>
      <c r="G54" s="52">
        <f>IF($B54="","",IF($D54&lt;&gt;2,"",IF($F54="","",ROUND(SUMIF('Avaliação'!$C$7:$C$206,$B54,'Avaliação'!$E$7:$E$206)-$F54,2))))</f>
        <v/>
      </c>
      <c r="H54" s="52">
        <f>IF($B54="","",IF(OR($F54="",$G54=""),"",ROUND(ABS($F54-$G54),2)))</f>
        <v/>
      </c>
      <c r="I54" s="3">
        <f>IF($B54="","",IF($D54&lt;2,"⚠ falta 2º avaliador",IF($D54&gt;2,"⚠ mais de 2 avaliações — conferir",IF(AND(ISNUMBER($H54),$H54&gt;1),"⚠ divergência &gt; 1,0 — média suspensa, calibrar","OK"))))</f>
        <v/>
      </c>
      <c r="J54" s="3" t="n"/>
      <c r="K54" s="52" t="n"/>
      <c r="L54" s="37" t="n"/>
      <c r="M54" s="52">
        <f>IF($E54="","",COUNTIF($E$5:$E$64,"&gt;"&amp;$E54)+1)</f>
        <v/>
      </c>
      <c r="N54" s="52">
        <f>IF($B54="","",IF(Entrevista!$H54="","",Entrevista!$H54))</f>
        <v/>
      </c>
      <c r="O54" s="3">
        <f>IF($B54="","",IF(Entrevista!$L54="","",Entrevista!$L54))</f>
        <v/>
      </c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14.25" customHeight="1" s="65">
      <c r="A55" s="3">
        <f>IF($B55="","",ROW()-4)</f>
        <v/>
      </c>
      <c r="B55" s="53" t="n"/>
      <c r="C55" s="52" t="n"/>
      <c r="D55" s="52">
        <f>IF($B55="","",COUNTIFS('Avaliação'!$C$7:$C$206,$B55,'Avaliação'!$E$7:$E$206,"&gt;=0"))</f>
        <v/>
      </c>
      <c r="E55" s="32">
        <f>IF($B55="","",IFERROR(ROUND(AVERAGEIF('Avaliação'!$C$7:$C$206,$B55,'Avaliação'!$E$7:$E$206),2),""))</f>
        <v/>
      </c>
      <c r="F55" s="52">
        <f t="array" ref="F55">IF($B55="","",IFERROR(INDEX('Avaliação'!$E$7:$E$206,MATCH($B55,'Avaliação'!$C$7:$C$206,0)),""))</f>
        <v/>
      </c>
      <c r="G55" s="52">
        <f>IF($B55="","",IF($D55&lt;&gt;2,"",IF($F55="","",ROUND(SUMIF('Avaliação'!$C$7:$C$206,$B55,'Avaliação'!$E$7:$E$206)-$F55,2))))</f>
        <v/>
      </c>
      <c r="H55" s="52">
        <f>IF($B55="","",IF(OR($F55="",$G55=""),"",ROUND(ABS($F55-$G55),2)))</f>
        <v/>
      </c>
      <c r="I55" s="3">
        <f>IF($B55="","",IF($D55&lt;2,"⚠ falta 2º avaliador",IF($D55&gt;2,"⚠ mais de 2 avaliações — conferir",IF(AND(ISNUMBER($H55),$H55&gt;1),"⚠ divergência &gt; 1,0 — média suspensa, calibrar","OK"))))</f>
        <v/>
      </c>
      <c r="J55" s="3" t="n"/>
      <c r="K55" s="52" t="n"/>
      <c r="L55" s="37" t="n"/>
      <c r="M55" s="52">
        <f>IF($E55="","",COUNTIF($E$5:$E$64,"&gt;"&amp;$E55)+1)</f>
        <v/>
      </c>
      <c r="N55" s="52">
        <f>IF($B55="","",IF(Entrevista!$H55="","",Entrevista!$H55))</f>
        <v/>
      </c>
      <c r="O55" s="3">
        <f>IF($B55="","",IF(Entrevista!$L55="","",Entrevista!$L55))</f>
        <v/>
      </c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14.25" customHeight="1" s="65">
      <c r="A56" s="3">
        <f>IF($B56="","",ROW()-4)</f>
        <v/>
      </c>
      <c r="B56" s="53" t="n"/>
      <c r="C56" s="52" t="n"/>
      <c r="D56" s="52">
        <f>IF($B56="","",COUNTIFS('Avaliação'!$C$7:$C$206,$B56,'Avaliação'!$E$7:$E$206,"&gt;=0"))</f>
        <v/>
      </c>
      <c r="E56" s="32">
        <f>IF($B56="","",IFERROR(ROUND(AVERAGEIF('Avaliação'!$C$7:$C$206,$B56,'Avaliação'!$E$7:$E$206),2),""))</f>
        <v/>
      </c>
      <c r="F56" s="52">
        <f t="array" ref="F56">IF($B56="","",IFERROR(INDEX('Avaliação'!$E$7:$E$206,MATCH($B56,'Avaliação'!$C$7:$C$206,0)),""))</f>
        <v/>
      </c>
      <c r="G56" s="52">
        <f>IF($B56="","",IF($D56&lt;&gt;2,"",IF($F56="","",ROUND(SUMIF('Avaliação'!$C$7:$C$206,$B56,'Avaliação'!$E$7:$E$206)-$F56,2))))</f>
        <v/>
      </c>
      <c r="H56" s="52">
        <f>IF($B56="","",IF(OR($F56="",$G56=""),"",ROUND(ABS($F56-$G56),2)))</f>
        <v/>
      </c>
      <c r="I56" s="3">
        <f>IF($B56="","",IF($D56&lt;2,"⚠ falta 2º avaliador",IF($D56&gt;2,"⚠ mais de 2 avaliações — conferir",IF(AND(ISNUMBER($H56),$H56&gt;1),"⚠ divergência &gt; 1,0 — média suspensa, calibrar","OK"))))</f>
        <v/>
      </c>
      <c r="J56" s="3" t="n"/>
      <c r="K56" s="52" t="n"/>
      <c r="L56" s="37" t="n"/>
      <c r="M56" s="52">
        <f>IF($E56="","",COUNTIF($E$5:$E$64,"&gt;"&amp;$E56)+1)</f>
        <v/>
      </c>
      <c r="N56" s="52">
        <f>IF($B56="","",IF(Entrevista!$H56="","",Entrevista!$H56))</f>
        <v/>
      </c>
      <c r="O56" s="3">
        <f>IF($B56="","",IF(Entrevista!$L56="","",Entrevista!$L56))</f>
        <v/>
      </c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14.25" customHeight="1" s="65">
      <c r="A57" s="3">
        <f>IF($B57="","",ROW()-4)</f>
        <v/>
      </c>
      <c r="B57" s="53" t="n"/>
      <c r="C57" s="52" t="n"/>
      <c r="D57" s="52">
        <f>IF($B57="","",COUNTIFS('Avaliação'!$C$7:$C$206,$B57,'Avaliação'!$E$7:$E$206,"&gt;=0"))</f>
        <v/>
      </c>
      <c r="E57" s="32">
        <f>IF($B57="","",IFERROR(ROUND(AVERAGEIF('Avaliação'!$C$7:$C$206,$B57,'Avaliação'!$E$7:$E$206),2),""))</f>
        <v/>
      </c>
      <c r="F57" s="52">
        <f t="array" ref="F57">IF($B57="","",IFERROR(INDEX('Avaliação'!$E$7:$E$206,MATCH($B57,'Avaliação'!$C$7:$C$206,0)),""))</f>
        <v/>
      </c>
      <c r="G57" s="52">
        <f>IF($B57="","",IF($D57&lt;&gt;2,"",IF($F57="","",ROUND(SUMIF('Avaliação'!$C$7:$C$206,$B57,'Avaliação'!$E$7:$E$206)-$F57,2))))</f>
        <v/>
      </c>
      <c r="H57" s="52">
        <f>IF($B57="","",IF(OR($F57="",$G57=""),"",ROUND(ABS($F57-$G57),2)))</f>
        <v/>
      </c>
      <c r="I57" s="3">
        <f>IF($B57="","",IF($D57&lt;2,"⚠ falta 2º avaliador",IF($D57&gt;2,"⚠ mais de 2 avaliações — conferir",IF(AND(ISNUMBER($H57),$H57&gt;1),"⚠ divergência &gt; 1,0 — média suspensa, calibrar","OK"))))</f>
        <v/>
      </c>
      <c r="J57" s="3" t="n"/>
      <c r="K57" s="52" t="n"/>
      <c r="L57" s="37" t="n"/>
      <c r="M57" s="52">
        <f>IF($E57="","",COUNTIF($E$5:$E$64,"&gt;"&amp;$E57)+1)</f>
        <v/>
      </c>
      <c r="N57" s="52">
        <f>IF($B57="","",IF(Entrevista!$H57="","",Entrevista!$H57))</f>
        <v/>
      </c>
      <c r="O57" s="3">
        <f>IF($B57="","",IF(Entrevista!$L57="","",Entrevista!$L57))</f>
        <v/>
      </c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14.25" customHeight="1" s="65">
      <c r="A58" s="3">
        <f>IF($B58="","",ROW()-4)</f>
        <v/>
      </c>
      <c r="B58" s="53" t="n"/>
      <c r="C58" s="52" t="n"/>
      <c r="D58" s="52">
        <f>IF($B58="","",COUNTIFS('Avaliação'!$C$7:$C$206,$B58,'Avaliação'!$E$7:$E$206,"&gt;=0"))</f>
        <v/>
      </c>
      <c r="E58" s="32">
        <f>IF($B58="","",IFERROR(ROUND(AVERAGEIF('Avaliação'!$C$7:$C$206,$B58,'Avaliação'!$E$7:$E$206),2),""))</f>
        <v/>
      </c>
      <c r="F58" s="52">
        <f t="array" ref="F58">IF($B58="","",IFERROR(INDEX('Avaliação'!$E$7:$E$206,MATCH($B58,'Avaliação'!$C$7:$C$206,0)),""))</f>
        <v/>
      </c>
      <c r="G58" s="52">
        <f>IF($B58="","",IF($D58&lt;&gt;2,"",IF($F58="","",ROUND(SUMIF('Avaliação'!$C$7:$C$206,$B58,'Avaliação'!$E$7:$E$206)-$F58,2))))</f>
        <v/>
      </c>
      <c r="H58" s="52">
        <f>IF($B58="","",IF(OR($F58="",$G58=""),"",ROUND(ABS($F58-$G58),2)))</f>
        <v/>
      </c>
      <c r="I58" s="3">
        <f>IF($B58="","",IF($D58&lt;2,"⚠ falta 2º avaliador",IF($D58&gt;2,"⚠ mais de 2 avaliações — conferir",IF(AND(ISNUMBER($H58),$H58&gt;1),"⚠ divergência &gt; 1,0 — média suspensa, calibrar","OK"))))</f>
        <v/>
      </c>
      <c r="J58" s="3" t="n"/>
      <c r="K58" s="52" t="n"/>
      <c r="L58" s="37" t="n"/>
      <c r="M58" s="52">
        <f>IF($E58="","",COUNTIF($E$5:$E$64,"&gt;"&amp;$E58)+1)</f>
        <v/>
      </c>
      <c r="N58" s="52">
        <f>IF($B58="","",IF(Entrevista!$H58="","",Entrevista!$H58))</f>
        <v/>
      </c>
      <c r="O58" s="3">
        <f>IF($B58="","",IF(Entrevista!$L58="","",Entrevista!$L58))</f>
        <v/>
      </c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14.25" customHeight="1" s="65">
      <c r="A59" s="3">
        <f>IF($B59="","",ROW()-4)</f>
        <v/>
      </c>
      <c r="B59" s="53" t="n"/>
      <c r="C59" s="52" t="n"/>
      <c r="D59" s="52">
        <f>IF($B59="","",COUNTIFS('Avaliação'!$C$7:$C$206,$B59,'Avaliação'!$E$7:$E$206,"&gt;=0"))</f>
        <v/>
      </c>
      <c r="E59" s="32">
        <f>IF($B59="","",IFERROR(ROUND(AVERAGEIF('Avaliação'!$C$7:$C$206,$B59,'Avaliação'!$E$7:$E$206),2),""))</f>
        <v/>
      </c>
      <c r="F59" s="52">
        <f t="array" ref="F59">IF($B59="","",IFERROR(INDEX('Avaliação'!$E$7:$E$206,MATCH($B59,'Avaliação'!$C$7:$C$206,0)),""))</f>
        <v/>
      </c>
      <c r="G59" s="52">
        <f>IF($B59="","",IF($D59&lt;&gt;2,"",IF($F59="","",ROUND(SUMIF('Avaliação'!$C$7:$C$206,$B59,'Avaliação'!$E$7:$E$206)-$F59,2))))</f>
        <v/>
      </c>
      <c r="H59" s="52">
        <f>IF($B59="","",IF(OR($F59="",$G59=""),"",ROUND(ABS($F59-$G59),2)))</f>
        <v/>
      </c>
      <c r="I59" s="3">
        <f>IF($B59="","",IF($D59&lt;2,"⚠ falta 2º avaliador",IF($D59&gt;2,"⚠ mais de 2 avaliações — conferir",IF(AND(ISNUMBER($H59),$H59&gt;1),"⚠ divergência &gt; 1,0 — média suspensa, calibrar","OK"))))</f>
        <v/>
      </c>
      <c r="J59" s="3" t="n"/>
      <c r="K59" s="52" t="n"/>
      <c r="L59" s="37" t="n"/>
      <c r="M59" s="52">
        <f>IF($E59="","",COUNTIF($E$5:$E$64,"&gt;"&amp;$E59)+1)</f>
        <v/>
      </c>
      <c r="N59" s="52">
        <f>IF($B59="","",IF(Entrevista!$H59="","",Entrevista!$H59))</f>
        <v/>
      </c>
      <c r="O59" s="3">
        <f>IF($B59="","",IF(Entrevista!$L59="","",Entrevista!$L59))</f>
        <v/>
      </c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14.25" customHeight="1" s="65">
      <c r="A60" s="3">
        <f>IF($B60="","",ROW()-4)</f>
        <v/>
      </c>
      <c r="B60" s="53" t="n"/>
      <c r="C60" s="52" t="n"/>
      <c r="D60" s="52">
        <f>IF($B60="","",COUNTIFS('Avaliação'!$C$7:$C$206,$B60,'Avaliação'!$E$7:$E$206,"&gt;=0"))</f>
        <v/>
      </c>
      <c r="E60" s="32">
        <f>IF($B60="","",IFERROR(ROUND(AVERAGEIF('Avaliação'!$C$7:$C$206,$B60,'Avaliação'!$E$7:$E$206),2),""))</f>
        <v/>
      </c>
      <c r="F60" s="52">
        <f t="array" ref="F60">IF($B60="","",IFERROR(INDEX('Avaliação'!$E$7:$E$206,MATCH($B60,'Avaliação'!$C$7:$C$206,0)),""))</f>
        <v/>
      </c>
      <c r="G60" s="52">
        <f>IF($B60="","",IF($D60&lt;&gt;2,"",IF($F60="","",ROUND(SUMIF('Avaliação'!$C$7:$C$206,$B60,'Avaliação'!$E$7:$E$206)-$F60,2))))</f>
        <v/>
      </c>
      <c r="H60" s="52">
        <f>IF($B60="","",IF(OR($F60="",$G60=""),"",ROUND(ABS($F60-$G60),2)))</f>
        <v/>
      </c>
      <c r="I60" s="3">
        <f>IF($B60="","",IF($D60&lt;2,"⚠ falta 2º avaliador",IF($D60&gt;2,"⚠ mais de 2 avaliações — conferir",IF(AND(ISNUMBER($H60),$H60&gt;1),"⚠ divergência &gt; 1,0 — média suspensa, calibrar","OK"))))</f>
        <v/>
      </c>
      <c r="J60" s="3" t="n"/>
      <c r="K60" s="52" t="n"/>
      <c r="L60" s="37" t="n"/>
      <c r="M60" s="52">
        <f>IF($E60="","",COUNTIF($E$5:$E$64,"&gt;"&amp;$E60)+1)</f>
        <v/>
      </c>
      <c r="N60" s="52">
        <f>IF($B60="","",IF(Entrevista!$H60="","",Entrevista!$H60))</f>
        <v/>
      </c>
      <c r="O60" s="3">
        <f>IF($B60="","",IF(Entrevista!$L60="","",Entrevista!$L60))</f>
        <v/>
      </c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14.25" customHeight="1" s="65">
      <c r="A61" s="3">
        <f>IF($B61="","",ROW()-4)</f>
        <v/>
      </c>
      <c r="B61" s="53" t="n"/>
      <c r="C61" s="52" t="n"/>
      <c r="D61" s="52">
        <f>IF($B61="","",COUNTIFS('Avaliação'!$C$7:$C$206,$B61,'Avaliação'!$E$7:$E$206,"&gt;=0"))</f>
        <v/>
      </c>
      <c r="E61" s="32">
        <f>IF($B61="","",IFERROR(ROUND(AVERAGEIF('Avaliação'!$C$7:$C$206,$B61,'Avaliação'!$E$7:$E$206),2),""))</f>
        <v/>
      </c>
      <c r="F61" s="52">
        <f t="array" ref="F61">IF($B61="","",IFERROR(INDEX('Avaliação'!$E$7:$E$206,MATCH($B61,'Avaliação'!$C$7:$C$206,0)),""))</f>
        <v/>
      </c>
      <c r="G61" s="52">
        <f>IF($B61="","",IF($D61&lt;&gt;2,"",IF($F61="","",ROUND(SUMIF('Avaliação'!$C$7:$C$206,$B61,'Avaliação'!$E$7:$E$206)-$F61,2))))</f>
        <v/>
      </c>
      <c r="H61" s="52">
        <f>IF($B61="","",IF(OR($F61="",$G61=""),"",ROUND(ABS($F61-$G61),2)))</f>
        <v/>
      </c>
      <c r="I61" s="3">
        <f>IF($B61="","",IF($D61&lt;2,"⚠ falta 2º avaliador",IF($D61&gt;2,"⚠ mais de 2 avaliações — conferir",IF(AND(ISNUMBER($H61),$H61&gt;1),"⚠ divergência &gt; 1,0 — média suspensa, calibrar","OK"))))</f>
        <v/>
      </c>
      <c r="J61" s="3" t="n"/>
      <c r="K61" s="52" t="n"/>
      <c r="L61" s="37" t="n"/>
      <c r="M61" s="52">
        <f>IF($E61="","",COUNTIF($E$5:$E$64,"&gt;"&amp;$E61)+1)</f>
        <v/>
      </c>
      <c r="N61" s="52">
        <f>IF($B61="","",IF(Entrevista!$H61="","",Entrevista!$H61))</f>
        <v/>
      </c>
      <c r="O61" s="3">
        <f>IF($B61="","",IF(Entrevista!$L61="","",Entrevista!$L61))</f>
        <v/>
      </c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14.25" customHeight="1" s="65">
      <c r="A62" s="3">
        <f>IF($B62="","",ROW()-4)</f>
        <v/>
      </c>
      <c r="B62" s="53" t="n"/>
      <c r="C62" s="52" t="n"/>
      <c r="D62" s="52">
        <f>IF($B62="","",COUNTIFS('Avaliação'!$C$7:$C$206,$B62,'Avaliação'!$E$7:$E$206,"&gt;=0"))</f>
        <v/>
      </c>
      <c r="E62" s="32">
        <f>IF($B62="","",IFERROR(ROUND(AVERAGEIF('Avaliação'!$C$7:$C$206,$B62,'Avaliação'!$E$7:$E$206),2),""))</f>
        <v/>
      </c>
      <c r="F62" s="52">
        <f t="array" ref="F62">IF($B62="","",IFERROR(INDEX('Avaliação'!$E$7:$E$206,MATCH($B62,'Avaliação'!$C$7:$C$206,0)),""))</f>
        <v/>
      </c>
      <c r="G62" s="52">
        <f>IF($B62="","",IF($D62&lt;&gt;2,"",IF($F62="","",ROUND(SUMIF('Avaliação'!$C$7:$C$206,$B62,'Avaliação'!$E$7:$E$206)-$F62,2))))</f>
        <v/>
      </c>
      <c r="H62" s="52">
        <f>IF($B62="","",IF(OR($F62="",$G62=""),"",ROUND(ABS($F62-$G62),2)))</f>
        <v/>
      </c>
      <c r="I62" s="3">
        <f>IF($B62="","",IF($D62&lt;2,"⚠ falta 2º avaliador",IF($D62&gt;2,"⚠ mais de 2 avaliações — conferir",IF(AND(ISNUMBER($H62),$H62&gt;1),"⚠ divergência &gt; 1,0 — média suspensa, calibrar","OK"))))</f>
        <v/>
      </c>
      <c r="J62" s="3" t="n"/>
      <c r="K62" s="52" t="n"/>
      <c r="L62" s="37" t="n"/>
      <c r="M62" s="52">
        <f>IF($E62="","",COUNTIF($E$5:$E$64,"&gt;"&amp;$E62)+1)</f>
        <v/>
      </c>
      <c r="N62" s="52">
        <f>IF($B62="","",IF(Entrevista!$H62="","",Entrevista!$H62))</f>
        <v/>
      </c>
      <c r="O62" s="3">
        <f>IF($B62="","",IF(Entrevista!$L62="","",Entrevista!$L62))</f>
        <v/>
      </c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14.25" customHeight="1" s="65">
      <c r="A63" s="3">
        <f>IF($B63="","",ROW()-4)</f>
        <v/>
      </c>
      <c r="B63" s="53" t="n"/>
      <c r="C63" s="52" t="n"/>
      <c r="D63" s="52">
        <f>IF($B63="","",COUNTIFS('Avaliação'!$C$7:$C$206,$B63,'Avaliação'!$E$7:$E$206,"&gt;=0"))</f>
        <v/>
      </c>
      <c r="E63" s="32">
        <f>IF($B63="","",IFERROR(ROUND(AVERAGEIF('Avaliação'!$C$7:$C$206,$B63,'Avaliação'!$E$7:$E$206),2),""))</f>
        <v/>
      </c>
      <c r="F63" s="52">
        <f t="array" ref="F63">IF($B63="","",IFERROR(INDEX('Avaliação'!$E$7:$E$206,MATCH($B63,'Avaliação'!$C$7:$C$206,0)),""))</f>
        <v/>
      </c>
      <c r="G63" s="52">
        <f>IF($B63="","",IF($D63&lt;&gt;2,"",IF($F63="","",ROUND(SUMIF('Avaliação'!$C$7:$C$206,$B63,'Avaliação'!$E$7:$E$206)-$F63,2))))</f>
        <v/>
      </c>
      <c r="H63" s="52">
        <f>IF($B63="","",IF(OR($F63="",$G63=""),"",ROUND(ABS($F63-$G63),2)))</f>
        <v/>
      </c>
      <c r="I63" s="3">
        <f>IF($B63="","",IF($D63&lt;2,"⚠ falta 2º avaliador",IF($D63&gt;2,"⚠ mais de 2 avaliações — conferir",IF(AND(ISNUMBER($H63),$H63&gt;1),"⚠ divergência &gt; 1,0 — média suspensa, calibrar","OK"))))</f>
        <v/>
      </c>
      <c r="J63" s="3" t="n"/>
      <c r="K63" s="52" t="n"/>
      <c r="L63" s="37" t="n"/>
      <c r="M63" s="52">
        <f>IF($E63="","",COUNTIF($E$5:$E$64,"&gt;"&amp;$E63)+1)</f>
        <v/>
      </c>
      <c r="N63" s="52">
        <f>IF($B63="","",IF(Entrevista!$H63="","",Entrevista!$H63))</f>
        <v/>
      </c>
      <c r="O63" s="3">
        <f>IF($B63="","",IF(Entrevista!$L63="","",Entrevista!$L63))</f>
        <v/>
      </c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14.25" customHeight="1" s="65">
      <c r="A64" s="3">
        <f>IF($B64="","",ROW()-4)</f>
        <v/>
      </c>
      <c r="B64" s="53" t="n"/>
      <c r="C64" s="52" t="n"/>
      <c r="D64" s="52">
        <f>IF($B64="","",COUNTIFS('Avaliação'!$C$7:$C$206,$B64,'Avaliação'!$E$7:$E$206,"&gt;=0"))</f>
        <v/>
      </c>
      <c r="E64" s="32">
        <f>IF($B64="","",IFERROR(ROUND(AVERAGEIF('Avaliação'!$C$7:$C$206,$B64,'Avaliação'!$E$7:$E$206),2),""))</f>
        <v/>
      </c>
      <c r="F64" s="52">
        <f t="array" ref="F64">IF($B64="","",IFERROR(INDEX('Avaliação'!$E$7:$E$206,MATCH($B64,'Avaliação'!$C$7:$C$206,0)),""))</f>
        <v/>
      </c>
      <c r="G64" s="52">
        <f>IF($B64="","",IF($D64&lt;&gt;2,"",IF($F64="","",ROUND(SUMIF('Avaliação'!$C$7:$C$206,$B64,'Avaliação'!$E$7:$E$206)-$F64,2))))</f>
        <v/>
      </c>
      <c r="H64" s="52">
        <f>IF($B64="","",IF(OR($F64="",$G64=""),"",ROUND(ABS($F64-$G64),2)))</f>
        <v/>
      </c>
      <c r="I64" s="3">
        <f>IF($B64="","",IF($D64&lt;2,"⚠ falta 2º avaliador",IF($D64&gt;2,"⚠ mais de 2 avaliações — conferir",IF(AND(ISNUMBER($H64),$H64&gt;1),"⚠ divergência &gt; 1,0 — média suspensa, calibrar","OK"))))</f>
        <v/>
      </c>
      <c r="J64" s="3" t="n"/>
      <c r="K64" s="52" t="n"/>
      <c r="L64" s="37" t="n"/>
      <c r="M64" s="52">
        <f>IF($E64="","",COUNTIF($E$5:$E$64,"&gt;"&amp;$E64)+1)</f>
        <v/>
      </c>
      <c r="N64" s="52">
        <f>IF($B64="","",IF(Entrevista!$H64="","",Entrevista!$H64))</f>
        <v/>
      </c>
      <c r="O64" s="3">
        <f>IF($B64="","",IF(Entrevista!$L64="","",Entrevista!$L64))</f>
        <v/>
      </c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14.25" customHeight="1" s="65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24" customHeight="1" s="65">
      <c r="A66" s="53" t="n"/>
      <c r="B66" s="55" t="inlineStr">
        <is>
          <t>NOTA FINAL = média das notas dos dois avaliadores (6,0 e 7,0 -&gt; 6,50). Se a diferença passar de 1,0, a média fica suspensa: conversem e refaçam o critério que divergiu.</t>
        </is>
      </c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4" customHeight="1" s="65">
      <c r="A67" s="53" t="n"/>
      <c r="B67" s="55" t="inlineStr">
        <is>
          <t>FLAG: não soma nem subtrai ponto e nunca elimina. Ela (i) obriga uma pergunta específica na entrevista e (ii) só desempata entre candidatos a menos de 0,3 ponto um do outro.</t>
        </is>
      </c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4" customHeight="1" s="65">
      <c r="A68" s="53" t="n"/>
      <c r="B68" s="55" t="inlineStr">
        <is>
          <t>HORAS/SEM: o que o candidato declarou no formulário. Em 2025.2 a mediana foi 8h (de 4 a 40). Abaixo de 6h acende vermelho — é conversa de entrevista, não corte.</t>
        </is>
      </c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4" customHeight="1" s="65">
      <c r="A69" s="53" t="n"/>
      <c r="B69" s="55" t="inlineStr">
        <is>
          <t>ENTREVISTA: as duas últimas colunas vêm da aba Entrevista, não se digita aqui. 'Não OK' na checagem de propriedade é VETO — derruba independentemente da nota.</t>
        </is>
      </c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24" customHeight="1" s="65">
      <c r="A70" s="53" t="n"/>
      <c r="B70" s="55" t="inlineStr">
        <is>
          <t>NOTA AMARELA = provisória: veio de UM avaliador só. Ela entra no ranking normalmente, mas não é comparável com as médias de dois — carrega inteira a severidade de quem corrigiu (0,89 pt de amplitude entre avaliadores no PS 2026-1S). Não feche corte com amarelo na lista.</t>
        </is>
      </c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14.25" customHeight="1" s="65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14.25" customHeight="1" s="65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14.25" customHeight="1" s="65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14.25" customHeight="1" s="65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14.25" customHeight="1" s="65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14.25" customHeight="1" s="65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14.25" customHeight="1" s="65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14.25" customHeight="1" s="65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14.25" customHeight="1" s="65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14.25" customHeight="1" s="65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14.25" customHeight="1" s="65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14.25" customHeight="1" s="65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14.25" customHeight="1" s="65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14.25" customHeight="1" s="65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14.25" customHeight="1" s="65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14.25" customHeight="1" s="65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14.25" customHeight="1" s="65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14.25" customHeight="1" s="65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14.25" customHeight="1" s="65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14.25" customHeight="1" s="65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14.25" customHeight="1" s="65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14.25" customHeight="1" s="65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14.25" customHeight="1" s="65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14.25" customHeight="1" s="65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14.25" customHeight="1" s="65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14.25" customHeight="1" s="65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14.25" customHeight="1" s="65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14.25" customHeight="1" s="65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14.25" customHeight="1" s="65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14.25" customHeight="1" s="65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14.25" customHeight="1" s="65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14.25" customHeight="1" s="65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14.25" customHeight="1" s="65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14.25" customHeight="1" s="65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14.25" customHeight="1" s="6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14.25" customHeight="1" s="65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14.25" customHeight="1" s="65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14.25" customHeight="1" s="65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14.25" customHeight="1" s="65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14.25" customHeight="1" s="65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14.25" customHeight="1" s="65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14.25" customHeight="1" s="65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14.25" customHeight="1" s="65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14.25" customHeight="1" s="65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14.25" customHeight="1" s="6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14.25" customHeight="1" s="65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14.25" customHeight="1" s="65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14.25" customHeight="1" s="65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14.25" customHeight="1" s="65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14.25" customHeight="1" s="65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14.25" customHeight="1" s="65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14.25" customHeight="1" s="65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14.25" customHeight="1" s="65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14.25" customHeight="1" s="65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14.25" customHeight="1" s="6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14.25" customHeight="1" s="65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14.25" customHeight="1" s="65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14.25" customHeight="1" s="65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14.25" customHeight="1" s="65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4.25" customHeight="1" s="65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4.25" customHeight="1" s="65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4.25" customHeight="1" s="65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4.25" customHeight="1" s="65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4.25" customHeight="1" s="65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4.25" customHeight="1" s="6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4.25" customHeight="1" s="65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4.25" customHeight="1" s="65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4.25" customHeight="1" s="65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4.25" customHeight="1" s="65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4.25" customHeight="1" s="65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4.25" customHeight="1" s="65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4.25" customHeight="1" s="65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4.25" customHeight="1" s="65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4.25" customHeight="1" s="65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4.25" customHeight="1" s="6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4.25" customHeight="1" s="65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4.25" customHeight="1" s="65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4.25" customHeight="1" s="65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4.25" customHeight="1" s="65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4.25" customHeight="1" s="65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4.25" customHeight="1" s="65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4.25" customHeight="1" s="65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4.25" customHeight="1" s="65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4.25" customHeight="1" s="65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4.25" customHeight="1" s="6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4.25" customHeight="1" s="65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4.25" customHeight="1" s="65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4.25" customHeight="1" s="65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4.25" customHeight="1" s="65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4.25" customHeight="1" s="65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4.25" customHeight="1" s="65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4.25" customHeight="1" s="65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4.25" customHeight="1" s="65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4.25" customHeight="1" s="65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4.25" customHeight="1" s="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4.25" customHeight="1" s="65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4.25" customHeight="1" s="65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4.25" customHeight="1" s="65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4.25" customHeight="1" s="65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4.25" customHeight="1" s="65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4.25" customHeight="1" s="65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4.25" customHeight="1" s="65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4.25" customHeight="1" s="65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4.25" customHeight="1" s="65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4.25" customHeight="1" s="6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4.25" customHeight="1" s="65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4.25" customHeight="1" s="65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4.25" customHeight="1" s="65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4.25" customHeight="1" s="65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4.25" customHeight="1" s="65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4.25" customHeight="1" s="65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4.25" customHeight="1" s="65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4.25" customHeight="1" s="65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4.25" customHeight="1" s="65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4.25" customHeight="1" s="6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4.25" customHeight="1" s="65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4.25" customHeight="1" s="65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4.25" customHeight="1" s="65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4.25" customHeight="1" s="65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4.25" customHeight="1" s="65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4.25" customHeight="1" s="65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4.25" customHeight="1" s="65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4.25" customHeight="1" s="65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4.25" customHeight="1" s="65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4.25" customHeight="1" s="6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4.25" customHeight="1" s="65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4.25" customHeight="1" s="65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4.25" customHeight="1" s="65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4.25" customHeight="1" s="65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4.25" customHeight="1" s="65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4.25" customHeight="1" s="65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4.25" customHeight="1" s="65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4.25" customHeight="1" s="65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4.25" customHeight="1" s="65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4.25" customHeight="1" s="6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4.25" customHeight="1" s="65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4.25" customHeight="1" s="65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4.25" customHeight="1" s="65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4.25" customHeight="1" s="65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4.25" customHeight="1" s="65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4.25" customHeight="1" s="65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4.25" customHeight="1" s="65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4.25" customHeight="1" s="65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4.25" customHeight="1" s="65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4.25" customHeight="1" s="6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4.25" customHeight="1" s="65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4.25" customHeight="1" s="65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4.25" customHeight="1" s="65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4.25" customHeight="1" s="65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4.25" customHeight="1" s="65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4.25" customHeight="1" s="65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4.25" customHeight="1" s="65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4.25" customHeight="1" s="65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4.25" customHeight="1" s="65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4.25" customHeight="1" s="6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4.25" customHeight="1" s="65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4.25" customHeight="1" s="65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4.25" customHeight="1" s="65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4.25" customHeight="1" s="65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4.25" customHeight="1" s="65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4.25" customHeight="1" s="65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4.25" customHeight="1" s="65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4.25" customHeight="1" s="65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4.25" customHeight="1" s="65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4.25" customHeight="1" s="6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4.25" customHeight="1" s="65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4.25" customHeight="1" s="65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4.25" customHeight="1" s="65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4.25" customHeight="1" s="65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4.25" customHeight="1" s="65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4.25" customHeight="1" s="65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4.25" customHeight="1" s="65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4.25" customHeight="1" s="65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4.25" customHeight="1" s="65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4.25" customHeight="1" s="6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4.25" customHeight="1" s="65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4.25" customHeight="1" s="65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4.25" customHeight="1" s="65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4.25" customHeight="1" s="65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4.25" customHeight="1" s="65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4.25" customHeight="1" s="65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4.25" customHeight="1" s="65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4.25" customHeight="1" s="65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4.25" customHeight="1" s="65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4.25" customHeight="1" s="6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4.25" customHeight="1" s="65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4.25" customHeight="1" s="65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4.25" customHeight="1" s="65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4.25" customHeight="1" s="65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4.25" customHeight="1" s="65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4.25" customHeight="1" s="65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4.25" customHeight="1" s="65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4.25" customHeight="1" s="65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4.25" customHeight="1" s="65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4.25" customHeight="1" s="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4.25" customHeight="1" s="65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4.25" customHeight="1" s="65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4.25" customHeight="1" s="65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4.25" customHeight="1" s="65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4.25" customHeight="1" s="65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65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65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65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65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6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65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65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65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65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65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65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65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65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65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6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65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65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65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65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65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65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65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65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65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6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65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65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65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65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65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65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65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65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65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6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65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65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65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65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65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65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65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65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65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6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65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65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65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65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65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65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65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65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65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6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65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65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65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65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65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65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65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65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65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6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65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65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65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65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65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65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65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65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65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6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65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65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65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65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65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65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65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65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65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6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65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65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65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65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65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65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65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65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65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65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65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65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65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65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65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65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65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65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6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65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65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65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65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65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65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65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65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65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6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65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65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65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65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65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65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65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65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65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6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65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65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65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65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65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65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65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65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65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6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65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65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65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65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65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65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65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65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65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6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65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65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65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65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65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65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65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65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65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6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65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65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65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65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65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65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65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65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65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6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65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65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65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65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65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65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65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65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65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6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65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65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65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65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65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65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65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65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65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6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65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65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65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65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65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65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65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65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65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65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65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65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65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65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65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65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65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65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6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65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65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65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65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65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65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65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65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65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6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65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65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65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65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65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65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65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65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65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6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65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65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65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65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65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65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65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65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65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6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65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65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65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65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65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65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65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65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65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6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65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65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65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65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65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65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65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65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65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6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65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65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65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65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65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65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65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65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65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6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65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65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65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65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65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65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65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65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65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6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65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65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65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65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65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65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65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65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65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6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65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65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65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65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65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65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65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65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65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65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65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65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65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65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65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65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65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65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6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65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65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65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65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65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65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65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65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65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6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65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65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65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65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65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65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65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65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65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6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65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65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65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65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65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65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65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65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65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6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65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65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65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65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65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65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65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65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65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6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65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65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65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65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65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65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65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65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65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6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65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65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65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65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65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65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65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65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65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6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65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65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65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65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65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65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65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65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65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6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65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65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65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65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65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65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65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65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65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6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65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65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65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65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65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65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65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65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65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65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65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65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65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65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65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65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65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65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6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65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65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65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65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65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65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65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65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65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6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65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65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65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65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65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65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65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65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65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6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65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65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65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65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65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65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65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65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65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6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65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65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65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65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65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65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65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65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65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6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65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65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65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65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65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65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65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65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65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6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65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65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65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65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65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65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65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65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65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6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65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65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65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65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65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65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65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65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65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6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65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65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65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65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65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65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65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65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65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6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65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65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65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65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65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65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65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65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65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65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65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65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65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65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65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65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65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65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6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65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65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65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65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65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65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65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65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65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6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65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65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65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65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65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65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65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65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65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6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65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65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65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65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65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65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65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65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65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6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65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65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65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65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65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65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65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65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65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6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65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65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65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65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65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65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65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65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65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6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65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65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65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65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65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65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65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65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65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6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65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65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65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65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65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65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65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65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65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6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65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65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65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65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65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65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65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65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65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6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65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65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65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65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65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65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65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65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65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65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65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65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65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65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65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65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65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65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6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65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65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65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65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65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65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65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65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65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6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65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65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65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65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65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65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65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65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65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6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65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65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65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65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65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65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65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65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65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6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65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65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65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65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65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65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65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65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65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6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65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65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65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65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65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65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65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65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65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6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65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65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65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65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65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65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65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65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65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6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65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65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65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65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65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65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65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65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65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6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65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65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65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65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65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65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65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65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65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6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65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65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65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65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65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65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65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65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65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65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65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65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65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65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65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65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65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65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6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65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65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65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65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65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65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65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65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65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6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65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65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65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65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65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65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65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65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65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6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65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65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65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65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65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</sheetData>
  <mergeCells count="7">
    <mergeCell ref="B69:O69"/>
    <mergeCell ref="B70:O70"/>
    <mergeCell ref="B68:O68"/>
    <mergeCell ref="B2:O2"/>
    <mergeCell ref="B3:O3"/>
    <mergeCell ref="B67:O67"/>
    <mergeCell ref="B66:O66"/>
  </mergeCells>
  <conditionalFormatting sqref="E5:E64">
    <cfRule type="expression" priority="1" dxfId="6">
      <formula>AND($B5&lt;&gt;"",$D5&lt;2)</formula>
    </cfRule>
    <cfRule type="expression" priority="2" dxfId="4">
      <formula>AND(ISNUMBER($E5),$E5&gt;5)</formula>
    </cfRule>
    <cfRule type="expression" priority="3" dxfId="5">
      <formula>AND(ISNUMBER($E5),$E5&lt;5)</formula>
    </cfRule>
  </conditionalFormatting>
  <conditionalFormatting sqref="I5:I64">
    <cfRule type="expression" priority="4" dxfId="6">
      <formula>LEFT($I5,1)="⚠"</formula>
    </cfRule>
  </conditionalFormatting>
  <conditionalFormatting sqref="K5:K64">
    <cfRule type="expression" priority="5" dxfId="5">
      <formula>AND(ISNUMBER($K5),$K5&lt;6)</formula>
    </cfRule>
  </conditionalFormatting>
  <conditionalFormatting sqref="N5:N64">
    <cfRule type="expression" priority="6" dxfId="5">
      <formula>$N5="Não OK"</formula>
    </cfRule>
  </conditionalFormatting>
  <dataValidations count="1">
    <dataValidation sqref="J5:J64" showDropDown="0" showInputMessage="0" showErrorMessage="0" allowBlank="1" type="list">
      <formula1>"🔴 EVASÃO,🟡 CARGA,⚪ sem sinal"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5" customWidth="1" style="65" min="1" max="1"/>
    <col width="34" customWidth="1" style="65" min="2" max="2"/>
    <col width="33.29" customWidth="1" style="65" min="3" max="3"/>
    <col width="12" customWidth="1" style="65" min="4" max="5"/>
    <col width="22" customWidth="1" style="65" min="6" max="6"/>
    <col width="11" customWidth="1" style="65" min="7" max="7"/>
    <col width="20" customWidth="1" style="65" min="8" max="8"/>
    <col width="30" customWidth="1" style="65" min="9" max="9"/>
    <col width="42" customWidth="1" style="65" min="10" max="10"/>
    <col width="46" customWidth="1" style="65" min="11" max="11"/>
    <col width="14" customWidth="1" style="65" min="12" max="12"/>
    <col width="40" customWidth="1" style="65" min="13" max="13"/>
  </cols>
  <sheetData>
    <row r="1" ht="14.25" customHeight="1" s="65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5.5" customHeight="1" s="65">
      <c r="A2" s="53" t="n"/>
      <c r="B2" s="71" t="inlineStr">
        <is>
          <t>ENTREVISTA — nesta versão NÃO pontua. Ela veta, desempata e registra.</t>
        </is>
      </c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42" customHeight="1" s="65">
      <c r="A3" s="53" t="n"/>
      <c r="B3" s="70" t="inlineStr">
        <is>
          <t>⚠  A entrevista não é formalidade. Em 2025.2 ela cortou 10 dos 23 convocados (43%): o 3º colocado (8,15) foi cortado e o 20º (5,42) foi aprovado. Em 2026.1 não sobrou registro nenhum do que ela decidiu. Preencher esta aba é o mínimo para a próxima gestão saber o que aconteceu aqui.</t>
        </is>
      </c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30" customHeight="1" s="65">
      <c r="A4" s="25" t="inlineStr">
        <is>
          <t>#</t>
        </is>
      </c>
      <c r="B4" s="25" t="inlineStr">
        <is>
          <t>Candidato(a)</t>
        </is>
      </c>
      <c r="C4" s="25" t="inlineStr">
        <is>
          <t>Nome</t>
        </is>
      </c>
      <c r="D4" s="25" t="inlineStr">
        <is>
          <t>Nota do case</t>
        </is>
      </c>
      <c r="E4" s="25" t="inlineStr">
        <is>
          <t>Flag</t>
        </is>
      </c>
      <c r="F4" s="25" t="inlineStr">
        <is>
          <t>Entrevistador(es)</t>
        </is>
      </c>
      <c r="G4" s="25" t="inlineStr">
        <is>
          <t>Data</t>
        </is>
      </c>
      <c r="H4" s="25" t="inlineStr">
        <is>
          <t>Refez a conta ao vivo?</t>
        </is>
      </c>
      <c r="I4" s="25" t="inlineStr">
        <is>
          <t>Qual conta foi pedida</t>
        </is>
      </c>
      <c r="J4" s="25" t="inlineStr">
        <is>
          <t>Pergunta da flag + resposta</t>
        </is>
      </c>
      <c r="K4" s="25" t="inlineStr">
        <is>
          <t>Observações da entrevista</t>
        </is>
      </c>
      <c r="L4" s="25" t="inlineStr">
        <is>
          <t>Decisão</t>
        </is>
      </c>
      <c r="M4" s="25" t="inlineStr">
        <is>
          <t>Motivo da decisão</t>
        </is>
      </c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14.25" customHeight="1" s="65">
      <c r="A5" s="52">
        <f>IF($B5="","",ROW()-4)</f>
        <v/>
      </c>
      <c r="B5" s="53" t="n"/>
      <c r="C5" s="53" t="n"/>
      <c r="D5" s="56">
        <f>IF($B5="","",Consolidado!$E5)</f>
        <v/>
      </c>
      <c r="E5" s="52">
        <f>IF($B5="","",Consolidado!$J5)</f>
        <v/>
      </c>
      <c r="F5" s="53" t="n"/>
      <c r="G5" s="57" t="n"/>
      <c r="H5" s="52" t="n"/>
      <c r="I5" s="37" t="n"/>
      <c r="J5" s="37" t="n"/>
      <c r="K5" s="37" t="n"/>
      <c r="L5" s="3" t="n"/>
      <c r="M5" s="37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14.25" customHeight="1" s="65">
      <c r="A6" s="52">
        <f>IF($B6="","",ROW()-4)</f>
        <v/>
      </c>
      <c r="B6" s="53" t="n"/>
      <c r="C6" s="53" t="n"/>
      <c r="D6" s="56">
        <f>IF($B6="","",Consolidado!$E6)</f>
        <v/>
      </c>
      <c r="E6" s="52">
        <f>IF($B6="","",Consolidado!$J6)</f>
        <v/>
      </c>
      <c r="F6" s="53" t="n"/>
      <c r="G6" s="57" t="n"/>
      <c r="H6" s="52" t="n"/>
      <c r="I6" s="37" t="n"/>
      <c r="J6" s="37" t="n"/>
      <c r="K6" s="37" t="n"/>
      <c r="L6" s="3" t="n"/>
      <c r="M6" s="37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14.25" customHeight="1" s="65">
      <c r="A7" s="52">
        <f>IF($B7="","",ROW()-4)</f>
        <v/>
      </c>
      <c r="B7" s="53" t="n"/>
      <c r="C7" s="53" t="n"/>
      <c r="D7" s="56">
        <f>IF($B7="","",Consolidado!$E7)</f>
        <v/>
      </c>
      <c r="E7" s="52">
        <f>IF($B7="","",Consolidado!$J7)</f>
        <v/>
      </c>
      <c r="F7" s="53" t="n"/>
      <c r="G7" s="57" t="n"/>
      <c r="H7" s="52" t="n"/>
      <c r="I7" s="37" t="n"/>
      <c r="J7" s="37" t="n"/>
      <c r="K7" s="37" t="n"/>
      <c r="L7" s="3" t="n"/>
      <c r="M7" s="37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14.25" customHeight="1" s="65">
      <c r="A8" s="52">
        <f>IF($B8="","",ROW()-4)</f>
        <v/>
      </c>
      <c r="B8" s="53" t="n"/>
      <c r="C8" s="53" t="n"/>
      <c r="D8" s="56">
        <f>IF($B8="","",Consolidado!$E8)</f>
        <v/>
      </c>
      <c r="E8" s="52">
        <f>IF($B8="","",Consolidado!$J8)</f>
        <v/>
      </c>
      <c r="F8" s="53" t="n"/>
      <c r="G8" s="57" t="n"/>
      <c r="H8" s="52" t="n"/>
      <c r="I8" s="37" t="n"/>
      <c r="J8" s="37" t="n"/>
      <c r="K8" s="37" t="n"/>
      <c r="L8" s="3" t="n"/>
      <c r="M8" s="37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14.25" customHeight="1" s="65">
      <c r="A9" s="52">
        <f>IF($B9="","",ROW()-4)</f>
        <v/>
      </c>
      <c r="B9" s="53" t="n"/>
      <c r="C9" s="53" t="n"/>
      <c r="D9" s="56">
        <f>IF($B9="","",Consolidado!$E9)</f>
        <v/>
      </c>
      <c r="E9" s="52">
        <f>IF($B9="","",Consolidado!$J9)</f>
        <v/>
      </c>
      <c r="F9" s="53" t="n"/>
      <c r="G9" s="57" t="n"/>
      <c r="H9" s="52" t="n"/>
      <c r="I9" s="37" t="n"/>
      <c r="J9" s="37" t="n"/>
      <c r="K9" s="37" t="n"/>
      <c r="L9" s="3" t="n"/>
      <c r="M9" s="37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14.25" customHeight="1" s="65">
      <c r="A10" s="52">
        <f>IF($B10="","",ROW()-4)</f>
        <v/>
      </c>
      <c r="B10" s="53" t="n"/>
      <c r="C10" s="53" t="n"/>
      <c r="D10" s="56">
        <f>IF($B10="","",Consolidado!$E10)</f>
        <v/>
      </c>
      <c r="E10" s="52">
        <f>IF($B10="","",Consolidado!$J10)</f>
        <v/>
      </c>
      <c r="F10" s="53" t="n"/>
      <c r="G10" s="57" t="n"/>
      <c r="H10" s="52" t="n"/>
      <c r="I10" s="37" t="n"/>
      <c r="J10" s="37" t="n"/>
      <c r="K10" s="37" t="n"/>
      <c r="L10" s="3" t="n"/>
      <c r="M10" s="37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14.25" customHeight="1" s="65">
      <c r="A11" s="52">
        <f>IF($B11="","",ROW()-4)</f>
        <v/>
      </c>
      <c r="B11" s="53" t="n"/>
      <c r="C11" s="53" t="n"/>
      <c r="D11" s="56">
        <f>IF($B11="","",Consolidado!$E11)</f>
        <v/>
      </c>
      <c r="E11" s="52">
        <f>IF($B11="","",Consolidado!$J11)</f>
        <v/>
      </c>
      <c r="F11" s="53" t="n"/>
      <c r="G11" s="57" t="n"/>
      <c r="H11" s="52" t="n"/>
      <c r="I11" s="37" t="n"/>
      <c r="J11" s="37" t="n"/>
      <c r="K11" s="37" t="n"/>
      <c r="L11" s="3" t="n"/>
      <c r="M11" s="37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14.25" customHeight="1" s="65">
      <c r="A12" s="52">
        <f>IF($B12="","",ROW()-4)</f>
        <v/>
      </c>
      <c r="B12" s="53" t="inlineStr">
        <is>
          <t>l304532@dac.unicamp.br</t>
        </is>
      </c>
      <c r="C12" s="53" t="inlineStr">
        <is>
          <t>Leandra Cunha de Souza</t>
        </is>
      </c>
      <c r="D12" s="56">
        <f>IF($B12="","",Consolidado!$E12)</f>
        <v/>
      </c>
      <c r="E12" s="52">
        <f>IF($B12="","",Consolidado!$J12)</f>
        <v/>
      </c>
      <c r="F12" s="53" t="n"/>
      <c r="G12" s="57" t="n"/>
      <c r="H12" s="52" t="n"/>
      <c r="I12" s="37" t="n"/>
      <c r="J12" s="37" t="n"/>
      <c r="K12" s="37" t="n"/>
      <c r="L12" s="3" t="inlineStr">
        <is>
          <t>Reprovada</t>
        </is>
      </c>
      <c r="M12" s="37" t="inlineStr">
        <is>
          <t>Reprovada. Nota abaixo do corte nas tres correcoes: victor 5,17, Proc 4,77 e Matteo 5,00, media 4,98. A conta do case esta certa, os oito cenarios conferem com o gabarito. O que derrubou foi comunicacao e acabamento: nome da empresa errado na capa, utilizacao trocada no slide 3 contra o slide 12, texto de template esquecido, recomendacao so no slide 11 de 13 e riscos sem mitigacao.</t>
        </is>
      </c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14.25" customHeight="1" s="65">
      <c r="A13" s="52">
        <f>IF($B13="","",ROW()-4)</f>
        <v/>
      </c>
      <c r="B13" s="53" t="n"/>
      <c r="C13" s="53" t="n"/>
      <c r="D13" s="56">
        <f>IF($B13="","",Consolidado!$E13)</f>
        <v/>
      </c>
      <c r="E13" s="52">
        <f>IF($B13="","",Consolidado!$J13)</f>
        <v/>
      </c>
      <c r="F13" s="53" t="n"/>
      <c r="G13" s="57" t="n"/>
      <c r="H13" s="52" t="n"/>
      <c r="I13" s="37" t="n"/>
      <c r="J13" s="37" t="n"/>
      <c r="K13" s="37" t="n"/>
      <c r="L13" s="3" t="n"/>
      <c r="M13" s="37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14.25" customHeight="1" s="65">
      <c r="A14" s="52">
        <f>IF($B14="","",ROW()-4)</f>
        <v/>
      </c>
      <c r="B14" s="53" t="n"/>
      <c r="C14" s="53" t="n"/>
      <c r="D14" s="56">
        <f>IF($B14="","",Consolidado!$E14)</f>
        <v/>
      </c>
      <c r="E14" s="52">
        <f>IF($B14="","",Consolidado!$J14)</f>
        <v/>
      </c>
      <c r="F14" s="53" t="n"/>
      <c r="G14" s="57" t="n"/>
      <c r="H14" s="52" t="n"/>
      <c r="I14" s="37" t="n"/>
      <c r="J14" s="37" t="n"/>
      <c r="K14" s="37" t="n"/>
      <c r="L14" s="3" t="n"/>
      <c r="M14" s="37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14.25" customHeight="1" s="65">
      <c r="A15" s="52">
        <f>IF($B15="","",ROW()-4)</f>
        <v/>
      </c>
      <c r="B15" s="53" t="n"/>
      <c r="C15" s="53" t="n"/>
      <c r="D15" s="56">
        <f>IF($B15="","",Consolidado!$E15)</f>
        <v/>
      </c>
      <c r="E15" s="52">
        <f>IF($B15="","",Consolidado!$J15)</f>
        <v/>
      </c>
      <c r="F15" s="53" t="n"/>
      <c r="G15" s="57" t="n"/>
      <c r="H15" s="52" t="n"/>
      <c r="I15" s="37" t="n"/>
      <c r="J15" s="37" t="n"/>
      <c r="K15" s="37" t="n"/>
      <c r="L15" s="3" t="n"/>
      <c r="M15" s="37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14.25" customHeight="1" s="65">
      <c r="A16" s="52">
        <f>IF($B16="","",ROW()-4)</f>
        <v/>
      </c>
      <c r="B16" s="53" t="n"/>
      <c r="C16" s="53" t="n"/>
      <c r="D16" s="56">
        <f>IF($B16="","",Consolidado!$E16)</f>
        <v/>
      </c>
      <c r="E16" s="52">
        <f>IF($B16="","",Consolidado!$J16)</f>
        <v/>
      </c>
      <c r="F16" s="53" t="n"/>
      <c r="G16" s="57" t="n"/>
      <c r="H16" s="52" t="n"/>
      <c r="I16" s="37" t="n"/>
      <c r="J16" s="37" t="n"/>
      <c r="K16" s="37" t="n"/>
      <c r="L16" s="3" t="n"/>
      <c r="M16" s="37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14.25" customHeight="1" s="65">
      <c r="A17" s="52">
        <f>IF($B17="","",ROW()-4)</f>
        <v/>
      </c>
      <c r="B17" s="53" t="n"/>
      <c r="C17" s="53" t="n"/>
      <c r="D17" s="56">
        <f>IF($B17="","",Consolidado!$E17)</f>
        <v/>
      </c>
      <c r="E17" s="52">
        <f>IF($B17="","",Consolidado!$J17)</f>
        <v/>
      </c>
      <c r="F17" s="53" t="n"/>
      <c r="G17" s="57" t="n"/>
      <c r="H17" s="52" t="n"/>
      <c r="I17" s="37" t="n"/>
      <c r="J17" s="37" t="n"/>
      <c r="K17" s="37" t="n"/>
      <c r="L17" s="3" t="n"/>
      <c r="M17" s="37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14.25" customHeight="1" s="65">
      <c r="A18" s="52">
        <f>IF($B18="","",ROW()-4)</f>
        <v/>
      </c>
      <c r="B18" s="53" t="n"/>
      <c r="C18" s="53" t="n"/>
      <c r="D18" s="56">
        <f>IF($B18="","",Consolidado!$E18)</f>
        <v/>
      </c>
      <c r="E18" s="52">
        <f>IF($B18="","",Consolidado!$J18)</f>
        <v/>
      </c>
      <c r="F18" s="53" t="n"/>
      <c r="G18" s="57" t="n"/>
      <c r="H18" s="52" t="n"/>
      <c r="I18" s="37" t="n"/>
      <c r="J18" s="37" t="n"/>
      <c r="K18" s="37" t="n"/>
      <c r="L18" s="3" t="n"/>
      <c r="M18" s="37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14.25" customHeight="1" s="65">
      <c r="A19" s="52">
        <f>IF($B19="","",ROW()-4)</f>
        <v/>
      </c>
      <c r="B19" s="53" t="n"/>
      <c r="C19" s="53" t="n"/>
      <c r="D19" s="56">
        <f>IF($B19="","",Consolidado!$E19)</f>
        <v/>
      </c>
      <c r="E19" s="52">
        <f>IF($B19="","",Consolidado!$J19)</f>
        <v/>
      </c>
      <c r="F19" s="53" t="n"/>
      <c r="G19" s="57" t="n"/>
      <c r="H19" s="52" t="n"/>
      <c r="I19" s="37" t="n"/>
      <c r="J19" s="37" t="n"/>
      <c r="K19" s="37" t="n"/>
      <c r="L19" s="3" t="n"/>
      <c r="M19" s="37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14.25" customHeight="1" s="65">
      <c r="A20" s="52">
        <f>IF($B20="","",ROW()-4)</f>
        <v/>
      </c>
      <c r="B20" s="53" t="n"/>
      <c r="C20" s="53" t="n"/>
      <c r="D20" s="56">
        <f>IF($B20="","",Consolidado!$E20)</f>
        <v/>
      </c>
      <c r="E20" s="52">
        <f>IF($B20="","",Consolidado!$J20)</f>
        <v/>
      </c>
      <c r="F20" s="53" t="n"/>
      <c r="G20" s="57" t="n"/>
      <c r="H20" s="52" t="n"/>
      <c r="I20" s="37" t="n"/>
      <c r="J20" s="37" t="n"/>
      <c r="K20" s="37" t="n"/>
      <c r="L20" s="3" t="n"/>
      <c r="M20" s="37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14.25" customHeight="1" s="65">
      <c r="A21" s="52">
        <f>IF($B21="","",ROW()-4)</f>
        <v/>
      </c>
      <c r="B21" s="53" t="n"/>
      <c r="C21" s="53" t="n"/>
      <c r="D21" s="56">
        <f>IF($B21="","",Consolidado!$E21)</f>
        <v/>
      </c>
      <c r="E21" s="52">
        <f>IF($B21="","",Consolidado!$J21)</f>
        <v/>
      </c>
      <c r="F21" s="53" t="n"/>
      <c r="G21" s="57" t="n"/>
      <c r="H21" s="52" t="n"/>
      <c r="I21" s="37" t="n"/>
      <c r="J21" s="37" t="n"/>
      <c r="K21" s="37" t="n"/>
      <c r="L21" s="3" t="n"/>
      <c r="M21" s="37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14.25" customHeight="1" s="65">
      <c r="A22" s="52">
        <f>IF($B22="","",ROW()-4)</f>
        <v/>
      </c>
      <c r="B22" s="53" t="n"/>
      <c r="C22" s="53" t="n"/>
      <c r="D22" s="56">
        <f>IF($B22="","",Consolidado!$E22)</f>
        <v/>
      </c>
      <c r="E22" s="52">
        <f>IF($B22="","",Consolidado!$J22)</f>
        <v/>
      </c>
      <c r="F22" s="53" t="n"/>
      <c r="G22" s="57" t="n"/>
      <c r="H22" s="52" t="n"/>
      <c r="I22" s="37" t="n"/>
      <c r="J22" s="37" t="n"/>
      <c r="K22" s="37" t="n"/>
      <c r="L22" s="3" t="n"/>
      <c r="M22" s="37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14.25" customHeight="1" s="65">
      <c r="A23" s="52">
        <f>IF($B23="","",ROW()-4)</f>
        <v/>
      </c>
      <c r="B23" s="53" t="n"/>
      <c r="C23" s="53" t="n"/>
      <c r="D23" s="56">
        <f>IF($B23="","",Consolidado!$E23)</f>
        <v/>
      </c>
      <c r="E23" s="52">
        <f>IF($B23="","",Consolidado!$J23)</f>
        <v/>
      </c>
      <c r="F23" s="53" t="n"/>
      <c r="G23" s="57" t="n"/>
      <c r="H23" s="52" t="n"/>
      <c r="I23" s="37" t="n"/>
      <c r="J23" s="37" t="n"/>
      <c r="K23" s="37" t="n"/>
      <c r="L23" s="3" t="n"/>
      <c r="M23" s="37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14.25" customHeight="1" s="65">
      <c r="A24" s="52">
        <f>IF($B24="","",ROW()-4)</f>
        <v/>
      </c>
      <c r="B24" s="53" t="inlineStr">
        <is>
          <t>j260826@dac.unicamp.br</t>
        </is>
      </c>
      <c r="C24" s="53" t="inlineStr">
        <is>
          <t>José Vitor Dias Tutu</t>
        </is>
      </c>
      <c r="D24" s="56">
        <f>IF($B24="","",Consolidado!$E24)</f>
        <v/>
      </c>
      <c r="E24" s="52">
        <f>IF($B24="","",Consolidado!$J24)</f>
        <v/>
      </c>
      <c r="F24" s="53" t="n"/>
      <c r="G24" s="57" t="n"/>
      <c r="H24" s="52" t="n"/>
      <c r="I24" s="37" t="n"/>
      <c r="J24" s="37" t="n"/>
      <c r="K24" s="37" t="n"/>
      <c r="L24" s="3" t="inlineStr">
        <is>
          <t>Reprovado</t>
        </is>
      </c>
      <c r="M24" s="37" t="inlineStr">
        <is>
          <t>Reprovado por uso de IA na entrega. Os tres avaliadores registraram o mesmo indicio: o deck inteiro e imagem, sem texto selecionavel, e o relatorio e um HTML exportado em PDF, com o nome do arquivo trazendo "McKinsey Style". A decisao e de desqualificacao e nao reflete a qualidade tecnica: os oito cenarios do case conferem com o gabarito, inclusive o arredondamento de 23 bancos na Arena.</t>
        </is>
      </c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14.25" customHeight="1" s="65">
      <c r="A25" s="52">
        <f>IF($B25="","",ROW()-4)</f>
        <v/>
      </c>
      <c r="B25" s="53" t="n"/>
      <c r="C25" s="53" t="n"/>
      <c r="D25" s="56">
        <f>IF($B25="","",Consolidado!$E25)</f>
        <v/>
      </c>
      <c r="E25" s="52">
        <f>IF($B25="","",Consolidado!$J25)</f>
        <v/>
      </c>
      <c r="F25" s="53" t="n"/>
      <c r="G25" s="57" t="n"/>
      <c r="H25" s="52" t="n"/>
      <c r="I25" s="37" t="n"/>
      <c r="J25" s="37" t="n"/>
      <c r="K25" s="37" t="n"/>
      <c r="L25" s="3" t="n"/>
      <c r="M25" s="37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14.25" customHeight="1" s="65">
      <c r="A26" s="52">
        <f>IF($B26="","",ROW()-4)</f>
        <v/>
      </c>
      <c r="B26" s="3">
        <f>IF(Consolidado!$B26="","",Consolidado!$B26)</f>
        <v/>
      </c>
      <c r="C26" s="56" t="n"/>
      <c r="D26" s="56">
        <f>IF($B26="","",Consolidado!$E26)</f>
        <v/>
      </c>
      <c r="E26" s="52">
        <f>IF($B26="","",Consolidado!$J26)</f>
        <v/>
      </c>
      <c r="F26" s="53" t="n"/>
      <c r="G26" s="57" t="n"/>
      <c r="H26" s="52" t="n"/>
      <c r="I26" s="37" t="n"/>
      <c r="J26" s="37" t="n"/>
      <c r="K26" s="37" t="n"/>
      <c r="L26" s="3" t="n"/>
      <c r="M26" s="37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14.25" customHeight="1" s="65">
      <c r="A27" s="52">
        <f>IF($B27="","",ROW()-4)</f>
        <v/>
      </c>
      <c r="B27" s="3">
        <f>IF(Consolidado!$B27="","",Consolidado!$B27)</f>
        <v/>
      </c>
      <c r="C27" s="56" t="n"/>
      <c r="D27" s="56">
        <f>IF($B27="","",Consolidado!$E27)</f>
        <v/>
      </c>
      <c r="E27" s="52">
        <f>IF($B27="","",Consolidado!$J27)</f>
        <v/>
      </c>
      <c r="F27" s="53" t="n"/>
      <c r="G27" s="57" t="n"/>
      <c r="H27" s="52" t="n"/>
      <c r="I27" s="37" t="n"/>
      <c r="J27" s="37" t="n"/>
      <c r="K27" s="37" t="n"/>
      <c r="L27" s="3" t="n"/>
      <c r="M27" s="37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14.25" customHeight="1" s="65">
      <c r="A28" s="52">
        <f>IF($B28="","",ROW()-4)</f>
        <v/>
      </c>
      <c r="B28" s="3">
        <f>IF(Consolidado!$B28="","",Consolidado!$B28)</f>
        <v/>
      </c>
      <c r="C28" s="56" t="n"/>
      <c r="D28" s="56">
        <f>IF($B28="","",Consolidado!$E28)</f>
        <v/>
      </c>
      <c r="E28" s="52">
        <f>IF($B28="","",Consolidado!$J28)</f>
        <v/>
      </c>
      <c r="F28" s="53" t="n"/>
      <c r="G28" s="57" t="n"/>
      <c r="H28" s="52" t="n"/>
      <c r="I28" s="37" t="n"/>
      <c r="J28" s="37" t="n"/>
      <c r="K28" s="37" t="n"/>
      <c r="L28" s="3" t="n"/>
      <c r="M28" s="37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14.25" customHeight="1" s="65">
      <c r="A29" s="52">
        <f>IF($B29="","",ROW()-4)</f>
        <v/>
      </c>
      <c r="B29" s="3">
        <f>IF(Consolidado!$B29="","",Consolidado!$B29)</f>
        <v/>
      </c>
      <c r="C29" s="56" t="n"/>
      <c r="D29" s="56">
        <f>IF($B29="","",Consolidado!$E29)</f>
        <v/>
      </c>
      <c r="E29" s="52">
        <f>IF($B29="","",Consolidado!$J29)</f>
        <v/>
      </c>
      <c r="F29" s="53" t="n"/>
      <c r="G29" s="57" t="n"/>
      <c r="H29" s="52" t="n"/>
      <c r="I29" s="37" t="n"/>
      <c r="J29" s="37" t="n"/>
      <c r="K29" s="37" t="n"/>
      <c r="L29" s="3" t="n"/>
      <c r="M29" s="37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14.25" customHeight="1" s="65">
      <c r="A30" s="52">
        <f>IF($B30="","",ROW()-4)</f>
        <v/>
      </c>
      <c r="B30" s="3">
        <f>IF(Consolidado!$B30="","",Consolidado!$B30)</f>
        <v/>
      </c>
      <c r="C30" s="56" t="n"/>
      <c r="D30" s="56">
        <f>IF($B30="","",Consolidado!$E30)</f>
        <v/>
      </c>
      <c r="E30" s="52">
        <f>IF($B30="","",Consolidado!$J30)</f>
        <v/>
      </c>
      <c r="F30" s="53" t="n"/>
      <c r="G30" s="57" t="n"/>
      <c r="H30" s="52" t="n"/>
      <c r="I30" s="37" t="n"/>
      <c r="J30" s="37" t="n"/>
      <c r="K30" s="37" t="n"/>
      <c r="L30" s="3" t="n"/>
      <c r="M30" s="37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14.25" customHeight="1" s="65">
      <c r="A31" s="52">
        <f>IF($B31="","",ROW()-4)</f>
        <v/>
      </c>
      <c r="B31" s="3">
        <f>IF(Consolidado!$B31="","",Consolidado!$B31)</f>
        <v/>
      </c>
      <c r="C31" s="56" t="n"/>
      <c r="D31" s="56">
        <f>IF($B31="","",Consolidado!$E31)</f>
        <v/>
      </c>
      <c r="E31" s="52">
        <f>IF($B31="","",Consolidado!$J31)</f>
        <v/>
      </c>
      <c r="F31" s="53" t="n"/>
      <c r="G31" s="57" t="n"/>
      <c r="H31" s="52" t="n"/>
      <c r="I31" s="37" t="n"/>
      <c r="J31" s="37" t="n"/>
      <c r="K31" s="37" t="n"/>
      <c r="L31" s="3" t="n"/>
      <c r="M31" s="37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14.25" customHeight="1" s="65">
      <c r="A32" s="52">
        <f>IF($B32="","",ROW()-4)</f>
        <v/>
      </c>
      <c r="B32" s="3">
        <f>IF(Consolidado!$B32="","",Consolidado!$B32)</f>
        <v/>
      </c>
      <c r="C32" s="56" t="n"/>
      <c r="D32" s="56">
        <f>IF($B32="","",Consolidado!$E32)</f>
        <v/>
      </c>
      <c r="E32" s="52">
        <f>IF($B32="","",Consolidado!$J32)</f>
        <v/>
      </c>
      <c r="F32" s="53" t="n"/>
      <c r="G32" s="57" t="n"/>
      <c r="H32" s="52" t="n"/>
      <c r="I32" s="37" t="n"/>
      <c r="J32" s="37" t="n"/>
      <c r="K32" s="37" t="n"/>
      <c r="L32" s="3" t="n"/>
      <c r="M32" s="37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14.25" customHeight="1" s="65">
      <c r="A33" s="52">
        <f>IF($B33="","",ROW()-4)</f>
        <v/>
      </c>
      <c r="B33" s="3">
        <f>IF(Consolidado!$B33="","",Consolidado!$B33)</f>
        <v/>
      </c>
      <c r="C33" s="56" t="n"/>
      <c r="D33" s="56">
        <f>IF($B33="","",Consolidado!$E33)</f>
        <v/>
      </c>
      <c r="E33" s="52">
        <f>IF($B33="","",Consolidado!$J33)</f>
        <v/>
      </c>
      <c r="F33" s="53" t="n"/>
      <c r="G33" s="57" t="n"/>
      <c r="H33" s="52" t="n"/>
      <c r="I33" s="37" t="n"/>
      <c r="J33" s="37" t="n"/>
      <c r="K33" s="37" t="n"/>
      <c r="L33" s="3" t="n"/>
      <c r="M33" s="37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14.25" customHeight="1" s="65">
      <c r="A34" s="52">
        <f>IF($B34="","",ROW()-4)</f>
        <v/>
      </c>
      <c r="B34" s="3">
        <f>IF(Consolidado!$B34="","",Consolidado!$B34)</f>
        <v/>
      </c>
      <c r="C34" s="56" t="n"/>
      <c r="D34" s="56">
        <f>IF($B34="","",Consolidado!$E34)</f>
        <v/>
      </c>
      <c r="E34" s="52">
        <f>IF($B34="","",Consolidado!$J34)</f>
        <v/>
      </c>
      <c r="F34" s="53" t="n"/>
      <c r="G34" s="57" t="n"/>
      <c r="H34" s="52" t="n"/>
      <c r="I34" s="37" t="n"/>
      <c r="J34" s="37" t="n"/>
      <c r="K34" s="37" t="n"/>
      <c r="L34" s="3" t="n"/>
      <c r="M34" s="37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14.25" customHeight="1" s="65">
      <c r="A35" s="52">
        <f>IF($B35="","",ROW()-4)</f>
        <v/>
      </c>
      <c r="B35" s="3">
        <f>IF(Consolidado!$B35="","",Consolidado!$B35)</f>
        <v/>
      </c>
      <c r="C35" s="56" t="n"/>
      <c r="D35" s="56">
        <f>IF($B35="","",Consolidado!$E35)</f>
        <v/>
      </c>
      <c r="E35" s="52">
        <f>IF($B35="","",Consolidado!$J35)</f>
        <v/>
      </c>
      <c r="F35" s="53" t="n"/>
      <c r="G35" s="57" t="n"/>
      <c r="H35" s="52" t="n"/>
      <c r="I35" s="37" t="n"/>
      <c r="J35" s="37" t="n"/>
      <c r="K35" s="37" t="n"/>
      <c r="L35" s="3" t="n"/>
      <c r="M35" s="37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14.25" customHeight="1" s="65">
      <c r="A36" s="52">
        <f>IF($B36="","",ROW()-4)</f>
        <v/>
      </c>
      <c r="B36" s="3">
        <f>IF(Consolidado!$B36="","",Consolidado!$B36)</f>
        <v/>
      </c>
      <c r="C36" s="56" t="n"/>
      <c r="D36" s="56">
        <f>IF($B36="","",Consolidado!$E36)</f>
        <v/>
      </c>
      <c r="E36" s="52">
        <f>IF($B36="","",Consolidado!$J36)</f>
        <v/>
      </c>
      <c r="F36" s="53" t="n"/>
      <c r="G36" s="57" t="n"/>
      <c r="H36" s="52" t="n"/>
      <c r="I36" s="37" t="n"/>
      <c r="J36" s="37" t="n"/>
      <c r="K36" s="37" t="n"/>
      <c r="L36" s="3" t="n"/>
      <c r="M36" s="37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14.25" customHeight="1" s="65">
      <c r="A37" s="52">
        <f>IF($B37="","",ROW()-4)</f>
        <v/>
      </c>
      <c r="B37" s="3">
        <f>IF(Consolidado!$B37="","",Consolidado!$B37)</f>
        <v/>
      </c>
      <c r="C37" s="56" t="n"/>
      <c r="D37" s="56">
        <f>IF($B37="","",Consolidado!$E37)</f>
        <v/>
      </c>
      <c r="E37" s="52">
        <f>IF($B37="","",Consolidado!$J37)</f>
        <v/>
      </c>
      <c r="F37" s="53" t="n"/>
      <c r="G37" s="57" t="n"/>
      <c r="H37" s="52" t="n"/>
      <c r="I37" s="37" t="n"/>
      <c r="J37" s="37" t="n"/>
      <c r="K37" s="37" t="n"/>
      <c r="L37" s="3" t="n"/>
      <c r="M37" s="37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14.25" customHeight="1" s="65">
      <c r="A38" s="52">
        <f>IF($B38="","",ROW()-4)</f>
        <v/>
      </c>
      <c r="B38" s="3">
        <f>IF(Consolidado!$B38="","",Consolidado!$B38)</f>
        <v/>
      </c>
      <c r="C38" s="56" t="n"/>
      <c r="D38" s="56">
        <f>IF($B38="","",Consolidado!$E38)</f>
        <v/>
      </c>
      <c r="E38" s="52">
        <f>IF($B38="","",Consolidado!$J38)</f>
        <v/>
      </c>
      <c r="F38" s="53" t="n"/>
      <c r="G38" s="57" t="n"/>
      <c r="H38" s="52" t="n"/>
      <c r="I38" s="37" t="n"/>
      <c r="J38" s="37" t="n"/>
      <c r="K38" s="37" t="n"/>
      <c r="L38" s="3" t="n"/>
      <c r="M38" s="37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14.25" customHeight="1" s="65">
      <c r="A39" s="52">
        <f>IF($B39="","",ROW()-4)</f>
        <v/>
      </c>
      <c r="B39" s="3">
        <f>IF(Consolidado!$B39="","",Consolidado!$B39)</f>
        <v/>
      </c>
      <c r="C39" s="56" t="n"/>
      <c r="D39" s="56">
        <f>IF($B39="","",Consolidado!$E39)</f>
        <v/>
      </c>
      <c r="E39" s="52">
        <f>IF($B39="","",Consolidado!$J39)</f>
        <v/>
      </c>
      <c r="F39" s="53" t="n"/>
      <c r="G39" s="57" t="n"/>
      <c r="H39" s="52" t="n"/>
      <c r="I39" s="37" t="n"/>
      <c r="J39" s="37" t="n"/>
      <c r="K39" s="37" t="n"/>
      <c r="L39" s="3" t="n"/>
      <c r="M39" s="37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14.25" customHeight="1" s="65">
      <c r="A40" s="52">
        <f>IF($B40="","",ROW()-4)</f>
        <v/>
      </c>
      <c r="B40" s="3">
        <f>IF(Consolidado!$B40="","",Consolidado!$B40)</f>
        <v/>
      </c>
      <c r="C40" s="56" t="n"/>
      <c r="D40" s="56">
        <f>IF($B40="","",Consolidado!$E40)</f>
        <v/>
      </c>
      <c r="E40" s="52">
        <f>IF($B40="","",Consolidado!$J40)</f>
        <v/>
      </c>
      <c r="F40" s="53" t="n"/>
      <c r="G40" s="57" t="n"/>
      <c r="H40" s="52" t="n"/>
      <c r="I40" s="37" t="n"/>
      <c r="J40" s="37" t="n"/>
      <c r="K40" s="37" t="n"/>
      <c r="L40" s="3" t="n"/>
      <c r="M40" s="37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14.25" customHeight="1" s="65">
      <c r="A41" s="52">
        <f>IF($B41="","",ROW()-4)</f>
        <v/>
      </c>
      <c r="B41" s="3">
        <f>IF(Consolidado!$B41="","",Consolidado!$B41)</f>
        <v/>
      </c>
      <c r="C41" s="56" t="n"/>
      <c r="D41" s="56">
        <f>IF($B41="","",Consolidado!$E41)</f>
        <v/>
      </c>
      <c r="E41" s="52">
        <f>IF($B41="","",Consolidado!$J41)</f>
        <v/>
      </c>
      <c r="F41" s="53" t="n"/>
      <c r="G41" s="57" t="n"/>
      <c r="H41" s="52" t="n"/>
      <c r="I41" s="37" t="n"/>
      <c r="J41" s="37" t="n"/>
      <c r="K41" s="37" t="n"/>
      <c r="L41" s="3" t="n"/>
      <c r="M41" s="37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14.25" customHeight="1" s="65">
      <c r="A42" s="52">
        <f>IF($B42="","",ROW()-4)</f>
        <v/>
      </c>
      <c r="B42" s="3">
        <f>IF(Consolidado!$B42="","",Consolidado!$B42)</f>
        <v/>
      </c>
      <c r="C42" s="56" t="n"/>
      <c r="D42" s="56">
        <f>IF($B42="","",Consolidado!$E42)</f>
        <v/>
      </c>
      <c r="E42" s="52">
        <f>IF($B42="","",Consolidado!$J42)</f>
        <v/>
      </c>
      <c r="F42" s="53" t="n"/>
      <c r="G42" s="57" t="n"/>
      <c r="H42" s="52" t="n"/>
      <c r="I42" s="37" t="n"/>
      <c r="J42" s="37" t="n"/>
      <c r="K42" s="37" t="n"/>
      <c r="L42" s="3" t="n"/>
      <c r="M42" s="37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14.25" customHeight="1" s="65">
      <c r="A43" s="52">
        <f>IF($B43="","",ROW()-4)</f>
        <v/>
      </c>
      <c r="B43" s="3">
        <f>IF(Consolidado!$B43="","",Consolidado!$B43)</f>
        <v/>
      </c>
      <c r="C43" s="56" t="n"/>
      <c r="D43" s="56">
        <f>IF($B43="","",Consolidado!$E43)</f>
        <v/>
      </c>
      <c r="E43" s="52">
        <f>IF($B43="","",Consolidado!$J43)</f>
        <v/>
      </c>
      <c r="F43" s="53" t="n"/>
      <c r="G43" s="57" t="n"/>
      <c r="H43" s="52" t="n"/>
      <c r="I43" s="37" t="n"/>
      <c r="J43" s="37" t="n"/>
      <c r="K43" s="37" t="n"/>
      <c r="L43" s="3" t="n"/>
      <c r="M43" s="37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14.25" customHeight="1" s="65">
      <c r="A44" s="52">
        <f>IF($B44="","",ROW()-4)</f>
        <v/>
      </c>
      <c r="B44" s="3">
        <f>IF(Consolidado!$B44="","",Consolidado!$B44)</f>
        <v/>
      </c>
      <c r="C44" s="56" t="n"/>
      <c r="D44" s="56">
        <f>IF($B44="","",Consolidado!$E44)</f>
        <v/>
      </c>
      <c r="E44" s="52">
        <f>IF($B44="","",Consolidado!$J44)</f>
        <v/>
      </c>
      <c r="F44" s="53" t="n"/>
      <c r="G44" s="57" t="n"/>
      <c r="H44" s="52" t="n"/>
      <c r="I44" s="37" t="n"/>
      <c r="J44" s="37" t="n"/>
      <c r="K44" s="37" t="n"/>
      <c r="L44" s="3" t="n"/>
      <c r="M44" s="37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14.25" customHeight="1" s="65">
      <c r="A45" s="52">
        <f>IF($B45="","",ROW()-4)</f>
        <v/>
      </c>
      <c r="B45" s="3">
        <f>IF(Consolidado!$B45="","",Consolidado!$B45)</f>
        <v/>
      </c>
      <c r="C45" s="56" t="n"/>
      <c r="D45" s="56">
        <f>IF($B45="","",Consolidado!$E45)</f>
        <v/>
      </c>
      <c r="E45" s="52">
        <f>IF($B45="","",Consolidado!$J45)</f>
        <v/>
      </c>
      <c r="F45" s="53" t="n"/>
      <c r="G45" s="57" t="n"/>
      <c r="H45" s="52" t="n"/>
      <c r="I45" s="37" t="n"/>
      <c r="J45" s="37" t="n"/>
      <c r="K45" s="37" t="n"/>
      <c r="L45" s="3" t="n"/>
      <c r="M45" s="37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14.25" customHeight="1" s="65">
      <c r="A46" s="52">
        <f>IF($B46="","",ROW()-4)</f>
        <v/>
      </c>
      <c r="B46" s="3">
        <f>IF(Consolidado!$B46="","",Consolidado!$B46)</f>
        <v/>
      </c>
      <c r="C46" s="56" t="n"/>
      <c r="D46" s="56">
        <f>IF($B46="","",Consolidado!$E46)</f>
        <v/>
      </c>
      <c r="E46" s="52">
        <f>IF($B46="","",Consolidado!$J46)</f>
        <v/>
      </c>
      <c r="F46" s="53" t="n"/>
      <c r="G46" s="57" t="n"/>
      <c r="H46" s="52" t="n"/>
      <c r="I46" s="37" t="n"/>
      <c r="J46" s="37" t="n"/>
      <c r="K46" s="37" t="n"/>
      <c r="L46" s="3" t="n"/>
      <c r="M46" s="37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14.25" customHeight="1" s="65">
      <c r="A47" s="52">
        <f>IF($B47="","",ROW()-4)</f>
        <v/>
      </c>
      <c r="B47" s="3">
        <f>IF(Consolidado!$B47="","",Consolidado!$B47)</f>
        <v/>
      </c>
      <c r="C47" s="56" t="n"/>
      <c r="D47" s="56">
        <f>IF($B47="","",Consolidado!$E47)</f>
        <v/>
      </c>
      <c r="E47" s="52">
        <f>IF($B47="","",Consolidado!$J47)</f>
        <v/>
      </c>
      <c r="F47" s="53" t="n"/>
      <c r="G47" s="57" t="n"/>
      <c r="H47" s="52" t="n"/>
      <c r="I47" s="37" t="n"/>
      <c r="J47" s="37" t="n"/>
      <c r="K47" s="37" t="n"/>
      <c r="L47" s="3" t="n"/>
      <c r="M47" s="37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14.25" customHeight="1" s="65">
      <c r="A48" s="52">
        <f>IF($B48="","",ROW()-4)</f>
        <v/>
      </c>
      <c r="B48" s="3">
        <f>IF(Consolidado!$B48="","",Consolidado!$B48)</f>
        <v/>
      </c>
      <c r="C48" s="56" t="n"/>
      <c r="D48" s="56">
        <f>IF($B48="","",Consolidado!$E48)</f>
        <v/>
      </c>
      <c r="E48" s="52">
        <f>IF($B48="","",Consolidado!$J48)</f>
        <v/>
      </c>
      <c r="F48" s="53" t="n"/>
      <c r="G48" s="57" t="n"/>
      <c r="H48" s="52" t="n"/>
      <c r="I48" s="37" t="n"/>
      <c r="J48" s="37" t="n"/>
      <c r="K48" s="37" t="n"/>
      <c r="L48" s="3" t="n"/>
      <c r="M48" s="37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14.25" customHeight="1" s="65">
      <c r="A49" s="52">
        <f>IF($B49="","",ROW()-4)</f>
        <v/>
      </c>
      <c r="B49" s="3">
        <f>IF(Consolidado!$B49="","",Consolidado!$B49)</f>
        <v/>
      </c>
      <c r="C49" s="56" t="n"/>
      <c r="D49" s="56">
        <f>IF($B49="","",Consolidado!$E49)</f>
        <v/>
      </c>
      <c r="E49" s="52">
        <f>IF($B49="","",Consolidado!$J49)</f>
        <v/>
      </c>
      <c r="F49" s="53" t="n"/>
      <c r="G49" s="57" t="n"/>
      <c r="H49" s="52" t="n"/>
      <c r="I49" s="37" t="n"/>
      <c r="J49" s="37" t="n"/>
      <c r="K49" s="37" t="n"/>
      <c r="L49" s="3" t="n"/>
      <c r="M49" s="37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14.25" customHeight="1" s="65">
      <c r="A50" s="52">
        <f>IF($B50="","",ROW()-4)</f>
        <v/>
      </c>
      <c r="B50" s="3">
        <f>IF(Consolidado!$B50="","",Consolidado!$B50)</f>
        <v/>
      </c>
      <c r="C50" s="56" t="n"/>
      <c r="D50" s="56">
        <f>IF($B50="","",Consolidado!$E50)</f>
        <v/>
      </c>
      <c r="E50" s="52">
        <f>IF($B50="","",Consolidado!$J50)</f>
        <v/>
      </c>
      <c r="F50" s="53" t="n"/>
      <c r="G50" s="57" t="n"/>
      <c r="H50" s="52" t="n"/>
      <c r="I50" s="37" t="n"/>
      <c r="J50" s="37" t="n"/>
      <c r="K50" s="37" t="n"/>
      <c r="L50" s="3" t="n"/>
      <c r="M50" s="37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14.25" customHeight="1" s="65">
      <c r="A51" s="52">
        <f>IF($B51="","",ROW()-4)</f>
        <v/>
      </c>
      <c r="B51" s="3">
        <f>IF(Consolidado!$B51="","",Consolidado!$B51)</f>
        <v/>
      </c>
      <c r="C51" s="56" t="n"/>
      <c r="D51" s="56">
        <f>IF($B51="","",Consolidado!$E51)</f>
        <v/>
      </c>
      <c r="E51" s="52">
        <f>IF($B51="","",Consolidado!$J51)</f>
        <v/>
      </c>
      <c r="F51" s="53" t="n"/>
      <c r="G51" s="57" t="n"/>
      <c r="H51" s="52" t="n"/>
      <c r="I51" s="37" t="n"/>
      <c r="J51" s="37" t="n"/>
      <c r="K51" s="37" t="n"/>
      <c r="L51" s="3" t="n"/>
      <c r="M51" s="37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14.25" customHeight="1" s="65">
      <c r="A52" s="52">
        <f>IF($B52="","",ROW()-4)</f>
        <v/>
      </c>
      <c r="B52" s="3">
        <f>IF(Consolidado!$B52="","",Consolidado!$B52)</f>
        <v/>
      </c>
      <c r="C52" s="56" t="n"/>
      <c r="D52" s="56">
        <f>IF($B52="","",Consolidado!$E52)</f>
        <v/>
      </c>
      <c r="E52" s="52">
        <f>IF($B52="","",Consolidado!$J52)</f>
        <v/>
      </c>
      <c r="F52" s="53" t="n"/>
      <c r="G52" s="57" t="n"/>
      <c r="H52" s="52" t="n"/>
      <c r="I52" s="37" t="n"/>
      <c r="J52" s="37" t="n"/>
      <c r="K52" s="37" t="n"/>
      <c r="L52" s="3" t="n"/>
      <c r="M52" s="37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14.25" customHeight="1" s="65">
      <c r="A53" s="52">
        <f>IF($B53="","",ROW()-4)</f>
        <v/>
      </c>
      <c r="B53" s="3">
        <f>IF(Consolidado!$B53="","",Consolidado!$B53)</f>
        <v/>
      </c>
      <c r="C53" s="56" t="n"/>
      <c r="D53" s="56">
        <f>IF($B53="","",Consolidado!$E53)</f>
        <v/>
      </c>
      <c r="E53" s="52">
        <f>IF($B53="","",Consolidado!$J53)</f>
        <v/>
      </c>
      <c r="F53" s="53" t="n"/>
      <c r="G53" s="57" t="n"/>
      <c r="H53" s="52" t="n"/>
      <c r="I53" s="37" t="n"/>
      <c r="J53" s="37" t="n"/>
      <c r="K53" s="37" t="n"/>
      <c r="L53" s="3" t="n"/>
      <c r="M53" s="37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14.25" customHeight="1" s="65">
      <c r="A54" s="52">
        <f>IF($B54="","",ROW()-4)</f>
        <v/>
      </c>
      <c r="B54" s="3">
        <f>IF(Consolidado!$B54="","",Consolidado!$B54)</f>
        <v/>
      </c>
      <c r="C54" s="56" t="n"/>
      <c r="D54" s="56">
        <f>IF($B54="","",Consolidado!$E54)</f>
        <v/>
      </c>
      <c r="E54" s="52">
        <f>IF($B54="","",Consolidado!$J54)</f>
        <v/>
      </c>
      <c r="F54" s="53" t="n"/>
      <c r="G54" s="57" t="n"/>
      <c r="H54" s="52" t="n"/>
      <c r="I54" s="37" t="n"/>
      <c r="J54" s="37" t="n"/>
      <c r="K54" s="37" t="n"/>
      <c r="L54" s="3" t="n"/>
      <c r="M54" s="37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14.25" customHeight="1" s="65">
      <c r="A55" s="52">
        <f>IF($B55="","",ROW()-4)</f>
        <v/>
      </c>
      <c r="B55" s="3">
        <f>IF(Consolidado!$B55="","",Consolidado!$B55)</f>
        <v/>
      </c>
      <c r="C55" s="56" t="n"/>
      <c r="D55" s="56">
        <f>IF($B55="","",Consolidado!$E55)</f>
        <v/>
      </c>
      <c r="E55" s="52">
        <f>IF($B55="","",Consolidado!$J55)</f>
        <v/>
      </c>
      <c r="F55" s="53" t="n"/>
      <c r="G55" s="57" t="n"/>
      <c r="H55" s="52" t="n"/>
      <c r="I55" s="37" t="n"/>
      <c r="J55" s="37" t="n"/>
      <c r="K55" s="37" t="n"/>
      <c r="L55" s="3" t="n"/>
      <c r="M55" s="37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14.25" customHeight="1" s="65">
      <c r="A56" s="52">
        <f>IF($B56="","",ROW()-4)</f>
        <v/>
      </c>
      <c r="B56" s="3">
        <f>IF(Consolidado!$B56="","",Consolidado!$B56)</f>
        <v/>
      </c>
      <c r="C56" s="56" t="n"/>
      <c r="D56" s="56">
        <f>IF($B56="","",Consolidado!$E56)</f>
        <v/>
      </c>
      <c r="E56" s="52">
        <f>IF($B56="","",Consolidado!$J56)</f>
        <v/>
      </c>
      <c r="F56" s="53" t="n"/>
      <c r="G56" s="57" t="n"/>
      <c r="H56" s="52" t="n"/>
      <c r="I56" s="37" t="n"/>
      <c r="J56" s="37" t="n"/>
      <c r="K56" s="37" t="n"/>
      <c r="L56" s="3" t="n"/>
      <c r="M56" s="37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14.25" customHeight="1" s="65">
      <c r="A57" s="52">
        <f>IF($B57="","",ROW()-4)</f>
        <v/>
      </c>
      <c r="B57" s="3">
        <f>IF(Consolidado!$B57="","",Consolidado!$B57)</f>
        <v/>
      </c>
      <c r="C57" s="56" t="n"/>
      <c r="D57" s="56">
        <f>IF($B57="","",Consolidado!$E57)</f>
        <v/>
      </c>
      <c r="E57" s="52">
        <f>IF($B57="","",Consolidado!$J57)</f>
        <v/>
      </c>
      <c r="F57" s="53" t="n"/>
      <c r="G57" s="57" t="n"/>
      <c r="H57" s="52" t="n"/>
      <c r="I57" s="37" t="n"/>
      <c r="J57" s="37" t="n"/>
      <c r="K57" s="37" t="n"/>
      <c r="L57" s="3" t="n"/>
      <c r="M57" s="37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14.25" customHeight="1" s="65">
      <c r="A58" s="52">
        <f>IF($B58="","",ROW()-4)</f>
        <v/>
      </c>
      <c r="B58" s="3">
        <f>IF(Consolidado!$B58="","",Consolidado!$B58)</f>
        <v/>
      </c>
      <c r="C58" s="56" t="n"/>
      <c r="D58" s="56">
        <f>IF($B58="","",Consolidado!$E58)</f>
        <v/>
      </c>
      <c r="E58" s="52">
        <f>IF($B58="","",Consolidado!$J58)</f>
        <v/>
      </c>
      <c r="F58" s="53" t="n"/>
      <c r="G58" s="57" t="n"/>
      <c r="H58" s="52" t="n"/>
      <c r="I58" s="37" t="n"/>
      <c r="J58" s="37" t="n"/>
      <c r="K58" s="37" t="n"/>
      <c r="L58" s="3" t="n"/>
      <c r="M58" s="37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14.25" customHeight="1" s="65">
      <c r="A59" s="52">
        <f>IF($B59="","",ROW()-4)</f>
        <v/>
      </c>
      <c r="B59" s="3">
        <f>IF(Consolidado!$B59="","",Consolidado!$B59)</f>
        <v/>
      </c>
      <c r="C59" s="56" t="n"/>
      <c r="D59" s="56">
        <f>IF($B59="","",Consolidado!$E59)</f>
        <v/>
      </c>
      <c r="E59" s="52">
        <f>IF($B59="","",Consolidado!$J59)</f>
        <v/>
      </c>
      <c r="F59" s="53" t="n"/>
      <c r="G59" s="57" t="n"/>
      <c r="H59" s="52" t="n"/>
      <c r="I59" s="37" t="n"/>
      <c r="J59" s="37" t="n"/>
      <c r="K59" s="37" t="n"/>
      <c r="L59" s="3" t="n"/>
      <c r="M59" s="37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14.25" customHeight="1" s="65">
      <c r="A60" s="52">
        <f>IF($B60="","",ROW()-4)</f>
        <v/>
      </c>
      <c r="B60" s="3">
        <f>IF(Consolidado!$B60="","",Consolidado!$B60)</f>
        <v/>
      </c>
      <c r="C60" s="56" t="n"/>
      <c r="D60" s="56">
        <f>IF($B60="","",Consolidado!$E60)</f>
        <v/>
      </c>
      <c r="E60" s="52">
        <f>IF($B60="","",Consolidado!$J60)</f>
        <v/>
      </c>
      <c r="F60" s="53" t="n"/>
      <c r="G60" s="57" t="n"/>
      <c r="H60" s="52" t="n"/>
      <c r="I60" s="37" t="n"/>
      <c r="J60" s="37" t="n"/>
      <c r="K60" s="37" t="n"/>
      <c r="L60" s="3" t="n"/>
      <c r="M60" s="37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14.25" customHeight="1" s="65">
      <c r="A61" s="52">
        <f>IF($B61="","",ROW()-4)</f>
        <v/>
      </c>
      <c r="B61" s="3">
        <f>IF(Consolidado!$B61="","",Consolidado!$B61)</f>
        <v/>
      </c>
      <c r="C61" s="56" t="n"/>
      <c r="D61" s="56">
        <f>IF($B61="","",Consolidado!$E61)</f>
        <v/>
      </c>
      <c r="E61" s="52">
        <f>IF($B61="","",Consolidado!$J61)</f>
        <v/>
      </c>
      <c r="F61" s="53" t="n"/>
      <c r="G61" s="57" t="n"/>
      <c r="H61" s="52" t="n"/>
      <c r="I61" s="37" t="n"/>
      <c r="J61" s="37" t="n"/>
      <c r="K61" s="37" t="n"/>
      <c r="L61" s="3" t="n"/>
      <c r="M61" s="37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14.25" customHeight="1" s="65">
      <c r="A62" s="52">
        <f>IF($B62="","",ROW()-4)</f>
        <v/>
      </c>
      <c r="B62" s="3">
        <f>IF(Consolidado!$B62="","",Consolidado!$B62)</f>
        <v/>
      </c>
      <c r="C62" s="56" t="n"/>
      <c r="D62" s="56">
        <f>IF($B62="","",Consolidado!$E62)</f>
        <v/>
      </c>
      <c r="E62" s="52">
        <f>IF($B62="","",Consolidado!$J62)</f>
        <v/>
      </c>
      <c r="F62" s="53" t="n"/>
      <c r="G62" s="57" t="n"/>
      <c r="H62" s="52" t="n"/>
      <c r="I62" s="37" t="n"/>
      <c r="J62" s="37" t="n"/>
      <c r="K62" s="37" t="n"/>
      <c r="L62" s="3" t="n"/>
      <c r="M62" s="37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14.25" customHeight="1" s="65">
      <c r="A63" s="52">
        <f>IF($B63="","",ROW()-4)</f>
        <v/>
      </c>
      <c r="B63" s="3">
        <f>IF(Consolidado!$B63="","",Consolidado!$B63)</f>
        <v/>
      </c>
      <c r="C63" s="56" t="n"/>
      <c r="D63" s="56">
        <f>IF($B63="","",Consolidado!$E63)</f>
        <v/>
      </c>
      <c r="E63" s="52">
        <f>IF($B63="","",Consolidado!$J63)</f>
        <v/>
      </c>
      <c r="F63" s="53" t="n"/>
      <c r="G63" s="57" t="n"/>
      <c r="H63" s="52" t="n"/>
      <c r="I63" s="37" t="n"/>
      <c r="J63" s="37" t="n"/>
      <c r="K63" s="37" t="n"/>
      <c r="L63" s="3" t="n"/>
      <c r="M63" s="37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14.25" customHeight="1" s="65">
      <c r="A64" s="52">
        <f>IF($B64="","",ROW()-4)</f>
        <v/>
      </c>
      <c r="B64" s="3">
        <f>IF(Consolidado!$B64="","",Consolidado!$B64)</f>
        <v/>
      </c>
      <c r="C64" s="56" t="n"/>
      <c r="D64" s="56">
        <f>IF($B64="","",Consolidado!$E64)</f>
        <v/>
      </c>
      <c r="E64" s="52">
        <f>IF($B64="","",Consolidado!$J64)</f>
        <v/>
      </c>
      <c r="F64" s="53" t="n"/>
      <c r="G64" s="57" t="n"/>
      <c r="H64" s="52" t="n"/>
      <c r="I64" s="37" t="n"/>
      <c r="J64" s="37" t="n"/>
      <c r="K64" s="37" t="n"/>
      <c r="L64" s="3" t="n"/>
      <c r="M64" s="37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14.25" customHeight="1" s="65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14.25" customHeight="1" s="65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4" customHeight="1" s="65">
      <c r="A67" s="53" t="n"/>
      <c r="B67" s="55" t="inlineStr">
        <is>
          <t>COMO FAZER A CHECAGEM DE PROPRIEDADE: nos primeiros 10 minutos, peça que o candidato refaça UMA conta da própria entrega, ao vivo, com um parâmetro alterado (o combinado na aba Gabarito). Quem montou o modelo resolve em 3 minutos. Anote em H qual conta foi pedida.</t>
        </is>
      </c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4" customHeight="1" s="65">
      <c r="A68" s="53" t="n"/>
      <c r="B68" s="55" t="inlineStr">
        <is>
          <t>Isso substitui tentar 'detectar IA' na entrega — que é injusto de errar e impossível de provar. Aqui não se acusa ninguém: ou defende o próprio trabalho, ou não defende.</t>
        </is>
      </c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4" customHeight="1" s="65">
      <c r="A69" s="53" t="n"/>
      <c r="B69" s="55" t="inlineStr">
        <is>
          <t>A coluna Decisão volta sozinha para o Consolidado. Não digite a decisão nos dois lugares.</t>
        </is>
      </c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14.25" customHeight="1" s="65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14.25" customHeight="1" s="65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14.25" customHeight="1" s="65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14.25" customHeight="1" s="65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14.25" customHeight="1" s="65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14.25" customHeight="1" s="65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14.25" customHeight="1" s="65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14.25" customHeight="1" s="65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14.25" customHeight="1" s="65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14.25" customHeight="1" s="65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14.25" customHeight="1" s="65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14.25" customHeight="1" s="65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14.25" customHeight="1" s="65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14.25" customHeight="1" s="65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14.25" customHeight="1" s="65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14.25" customHeight="1" s="65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14.25" customHeight="1" s="65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14.25" customHeight="1" s="65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14.25" customHeight="1" s="65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14.25" customHeight="1" s="65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14.25" customHeight="1" s="65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14.25" customHeight="1" s="65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14.25" customHeight="1" s="65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14.25" customHeight="1" s="65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14.25" customHeight="1" s="65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14.25" customHeight="1" s="65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14.25" customHeight="1" s="65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14.25" customHeight="1" s="65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14.25" customHeight="1" s="65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14.25" customHeight="1" s="65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14.25" customHeight="1" s="65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14.25" customHeight="1" s="65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14.25" customHeight="1" s="65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14.25" customHeight="1" s="65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14.25" customHeight="1" s="65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14.25" customHeight="1" s="6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14.25" customHeight="1" s="65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14.25" customHeight="1" s="65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14.25" customHeight="1" s="65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14.25" customHeight="1" s="65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14.25" customHeight="1" s="65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14.25" customHeight="1" s="65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14.25" customHeight="1" s="65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14.25" customHeight="1" s="65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14.25" customHeight="1" s="65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14.25" customHeight="1" s="6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14.25" customHeight="1" s="65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14.25" customHeight="1" s="65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14.25" customHeight="1" s="65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14.25" customHeight="1" s="65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14.25" customHeight="1" s="65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14.25" customHeight="1" s="65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14.25" customHeight="1" s="65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14.25" customHeight="1" s="65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14.25" customHeight="1" s="65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14.25" customHeight="1" s="6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14.25" customHeight="1" s="65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14.25" customHeight="1" s="65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14.25" customHeight="1" s="65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14.25" customHeight="1" s="65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4.25" customHeight="1" s="65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4.25" customHeight="1" s="65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4.25" customHeight="1" s="65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4.25" customHeight="1" s="65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4.25" customHeight="1" s="65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4.25" customHeight="1" s="6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4.25" customHeight="1" s="65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4.25" customHeight="1" s="65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4.25" customHeight="1" s="65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4.25" customHeight="1" s="65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4.25" customHeight="1" s="65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4.25" customHeight="1" s="65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4.25" customHeight="1" s="65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4.25" customHeight="1" s="65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4.25" customHeight="1" s="65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4.25" customHeight="1" s="6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4.25" customHeight="1" s="65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4.25" customHeight="1" s="65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4.25" customHeight="1" s="65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4.25" customHeight="1" s="65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4.25" customHeight="1" s="65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4.25" customHeight="1" s="65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4.25" customHeight="1" s="65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4.25" customHeight="1" s="65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4.25" customHeight="1" s="65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4.25" customHeight="1" s="6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4.25" customHeight="1" s="65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4.25" customHeight="1" s="65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4.25" customHeight="1" s="65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4.25" customHeight="1" s="65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4.25" customHeight="1" s="65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4.25" customHeight="1" s="65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4.25" customHeight="1" s="65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4.25" customHeight="1" s="65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4.25" customHeight="1" s="65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4.25" customHeight="1" s="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4.25" customHeight="1" s="65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4.25" customHeight="1" s="65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4.25" customHeight="1" s="65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4.25" customHeight="1" s="65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4.25" customHeight="1" s="65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4.25" customHeight="1" s="65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4.25" customHeight="1" s="65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4.25" customHeight="1" s="65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4.25" customHeight="1" s="65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4.25" customHeight="1" s="6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4.25" customHeight="1" s="65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4.25" customHeight="1" s="65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4.25" customHeight="1" s="65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4.25" customHeight="1" s="65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4.25" customHeight="1" s="65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4.25" customHeight="1" s="65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4.25" customHeight="1" s="65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4.25" customHeight="1" s="65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4.25" customHeight="1" s="65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4.25" customHeight="1" s="6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4.25" customHeight="1" s="65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4.25" customHeight="1" s="65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4.25" customHeight="1" s="65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4.25" customHeight="1" s="65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4.25" customHeight="1" s="65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4.25" customHeight="1" s="65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4.25" customHeight="1" s="65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4.25" customHeight="1" s="65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4.25" customHeight="1" s="65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4.25" customHeight="1" s="6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4.25" customHeight="1" s="65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4.25" customHeight="1" s="65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4.25" customHeight="1" s="65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4.25" customHeight="1" s="65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4.25" customHeight="1" s="65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4.25" customHeight="1" s="65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4.25" customHeight="1" s="65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4.25" customHeight="1" s="65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4.25" customHeight="1" s="65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4.25" customHeight="1" s="6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4.25" customHeight="1" s="65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4.25" customHeight="1" s="65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4.25" customHeight="1" s="65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4.25" customHeight="1" s="65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4.25" customHeight="1" s="65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4.25" customHeight="1" s="65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4.25" customHeight="1" s="65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4.25" customHeight="1" s="65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4.25" customHeight="1" s="65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4.25" customHeight="1" s="6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4.25" customHeight="1" s="65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4.25" customHeight="1" s="65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4.25" customHeight="1" s="65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4.25" customHeight="1" s="65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4.25" customHeight="1" s="65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4.25" customHeight="1" s="65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4.25" customHeight="1" s="65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4.25" customHeight="1" s="65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4.25" customHeight="1" s="65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4.25" customHeight="1" s="6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4.25" customHeight="1" s="65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4.25" customHeight="1" s="65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4.25" customHeight="1" s="65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4.25" customHeight="1" s="65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4.25" customHeight="1" s="65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4.25" customHeight="1" s="65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4.25" customHeight="1" s="65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4.25" customHeight="1" s="65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4.25" customHeight="1" s="65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4.25" customHeight="1" s="6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4.25" customHeight="1" s="65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4.25" customHeight="1" s="65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4.25" customHeight="1" s="65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4.25" customHeight="1" s="65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4.25" customHeight="1" s="65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4.25" customHeight="1" s="65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4.25" customHeight="1" s="65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4.25" customHeight="1" s="65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4.25" customHeight="1" s="65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4.25" customHeight="1" s="6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4.25" customHeight="1" s="65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4.25" customHeight="1" s="65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4.25" customHeight="1" s="65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4.25" customHeight="1" s="65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4.25" customHeight="1" s="65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4.25" customHeight="1" s="65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4.25" customHeight="1" s="65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4.25" customHeight="1" s="65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4.25" customHeight="1" s="65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4.25" customHeight="1" s="6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4.25" customHeight="1" s="65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4.25" customHeight="1" s="65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4.25" customHeight="1" s="65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4.25" customHeight="1" s="65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4.25" customHeight="1" s="65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4.25" customHeight="1" s="65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4.25" customHeight="1" s="65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4.25" customHeight="1" s="65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4.25" customHeight="1" s="65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4.25" customHeight="1" s="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4.25" customHeight="1" s="65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4.25" customHeight="1" s="65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4.25" customHeight="1" s="65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4.25" customHeight="1" s="65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65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65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65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65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65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6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65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65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65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65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65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65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65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65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65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6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65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65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65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65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65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65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65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65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65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6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65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65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65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65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65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65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65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65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65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6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65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65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65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65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65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65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65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65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65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6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65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65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65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65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65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65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65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65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65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6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65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65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65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65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65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65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65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65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65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6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65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65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65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65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65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65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65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65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65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6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65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65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65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65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65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65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65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65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65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6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65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65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65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65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65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65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65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65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65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65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65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65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65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65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65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65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65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65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6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65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65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65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65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65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65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65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65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65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6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65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65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65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65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65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65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65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65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65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6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65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65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65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65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65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65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65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65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65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6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65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65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65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65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65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65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65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65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65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6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65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65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65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65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65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65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65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65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65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6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65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65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65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65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65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65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65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65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65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6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65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65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65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65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65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65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65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65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65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6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65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65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65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65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65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65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65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65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65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6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65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65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65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65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65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65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65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65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65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65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65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65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65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65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65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65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65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65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6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65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65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65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65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65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65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65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65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65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6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65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65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65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65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65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65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65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65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65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6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65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65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65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65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65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65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65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65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65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6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65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65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65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65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65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65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65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65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65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6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65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65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65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65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65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65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65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65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65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6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65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65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65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65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65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65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65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65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65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6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65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65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65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65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65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65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65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65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65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6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65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65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65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65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65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65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65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65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65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6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65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65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65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65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65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65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65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65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65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65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65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65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65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65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65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65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65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65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6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65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65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65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65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65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65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65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65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65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6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65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65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65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65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65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65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65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65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65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6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65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65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65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65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65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65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65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65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65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6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65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65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65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65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65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65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65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65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65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6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65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65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65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65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65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65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65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65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65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6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65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65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65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65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65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65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65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65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65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6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65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65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65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65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65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65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65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65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65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6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65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65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65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65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65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65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65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65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65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6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65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65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65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65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65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65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65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65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65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65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65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65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65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65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65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65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65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65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6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65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65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65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65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65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65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65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65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65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6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65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65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65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65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65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65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65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65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65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6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65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65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65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65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65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65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65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65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65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6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65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65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65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65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65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65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65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65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65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6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65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65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65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65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65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65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65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65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65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6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65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65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65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65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65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65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65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65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65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6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65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65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65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65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65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65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65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65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65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6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65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65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65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65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65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65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65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65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65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6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65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65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65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65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65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65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65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65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65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65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65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65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65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65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65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65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65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65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6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65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65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65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65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65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65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65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65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65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6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65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65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65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65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65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65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65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65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65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6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65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65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65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65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65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65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65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65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65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6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65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65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65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65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65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65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65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65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65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6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65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65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65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65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65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65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65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65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65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6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65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65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65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65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65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65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65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65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65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6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65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65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65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65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65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65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65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65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65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6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65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65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65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65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65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65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65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65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65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6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65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65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65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65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65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65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65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65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65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65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65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65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65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65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65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65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65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65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6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65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65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65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65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65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65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65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65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65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6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65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65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65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65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65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65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65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65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65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6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65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65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65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65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65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65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65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65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65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6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65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65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65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65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65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65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65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65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65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6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65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65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65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65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65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65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65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65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65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6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65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65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65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65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65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65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65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65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65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6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65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65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65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65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65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65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65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65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65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6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65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65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65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65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65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65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65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65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65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6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65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65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65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65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65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65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65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65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65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65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65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65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65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65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65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65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65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65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6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65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65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65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65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65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65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65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65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65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6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65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65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65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65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65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65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65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65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65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6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65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65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65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65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65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</sheetData>
  <mergeCells count="5">
    <mergeCell ref="B2:M2"/>
    <mergeCell ref="B3:M3"/>
    <mergeCell ref="B67:M67"/>
    <mergeCell ref="B68:M68"/>
    <mergeCell ref="B69:M69"/>
  </mergeCells>
  <conditionalFormatting sqref="H5:H64">
    <cfRule type="cellIs" priority="1" operator="equal" dxfId="2">
      <formula>"Não OK"</formula>
    </cfRule>
    <cfRule type="cellIs" priority="2" operator="equal" dxfId="1">
      <formula>"OK"</formula>
    </cfRule>
  </conditionalFormatting>
  <conditionalFormatting sqref="L5:L64">
    <cfRule type="cellIs" priority="3" operator="equal" dxfId="1">
      <formula>"Aprovado"</formula>
    </cfRule>
    <cfRule type="cellIs" priority="4" operator="equal" dxfId="3">
      <formula>"Reprovado"</formula>
    </cfRule>
  </conditionalFormatting>
  <dataValidations count="2">
    <dataValidation sqref="H5:H64" showDropDown="0" showInputMessage="1" showErrorMessage="1" allowBlank="1" prompt="Checagem de propriedade - OK = refez a conta ao vivo com o parâmetro alterado. Não OK = não conseguiu. Não OK é veto, independentemente da nota do case." type="list">
      <formula1>"OK,Não OK,Pendente"</formula1>
    </dataValidation>
    <dataValidation sqref="L5:L64" showDropDown="0" showInputMessage="0" showErrorMessage="0" allowBlank="1" type="list">
      <formula1>"Aprovado,Reprovado,Em análise"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65" min="1" max="1"/>
    <col width="8" customWidth="1" style="65" min="2" max="2"/>
    <col width="46" customWidth="1" style="65" min="3" max="3"/>
    <col width="18" customWidth="1" style="65" min="4" max="4"/>
    <col width="12" customWidth="1" style="65" min="5" max="5"/>
    <col width="54" customWidth="1" style="65" min="6" max="6"/>
  </cols>
  <sheetData>
    <row r="1" ht="14.25" customHeight="1" s="65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5.5" customHeight="1" s="65">
      <c r="A2" s="53" t="n"/>
      <c r="B2" s="71" t="inlineStr">
        <is>
          <t>GABARITO E MONTAGEM DO CASE — preencher DEPOIS que o case do semestre existir.</t>
        </is>
      </c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14.25" customHeight="1" s="65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43.5" customHeight="1" s="65">
      <c r="A4" s="53" t="n"/>
      <c r="B4" s="70" t="inlineStr">
        <is>
          <t>Só o bloco de ACURÁCIA (A1–A6) depende do case. Comunicação, Raciocínio, Entrega e Vídeo já estão prontos e valem para qualquer case — a rubrica pode ser aprovada antes do case ficar pronto. Aqui você faz duas coisas: (1) confere se o case tem o que a rubrica precisa medir e (2) preenche os valores do gabarito.</t>
        </is>
      </c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14.25" customHeight="1" s="6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14.25" customHeight="1" s="65">
      <c r="A6" s="53" t="n"/>
      <c r="B6" s="67" t="inlineStr">
        <is>
          <t>PARTE 1 — O QUE O CASE PRECISA TER (conferir ao montar)</t>
        </is>
      </c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14.25" customHeight="1" s="65">
      <c r="A7" s="53" t="n"/>
      <c r="B7" s="53" t="n"/>
      <c r="C7" s="25" t="inlineStr">
        <is>
          <t>O que o case precisa conter</t>
        </is>
      </c>
      <c r="D7" s="25" t="inlineStr">
        <is>
          <t>Alimenta</t>
        </is>
      </c>
      <c r="E7" s="25" t="inlineStr">
        <is>
          <t>Status</t>
        </is>
      </c>
      <c r="F7" s="25" t="inlineStr">
        <is>
          <t>Por quê / como fazer</t>
        </is>
      </c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39.75" customHeight="1" s="65">
      <c r="A8" s="53" t="n"/>
      <c r="B8" s="58" t="inlineStr">
        <is>
          <t>☐</t>
        </is>
      </c>
      <c r="C8" s="45" t="inlineStr">
        <is>
          <t>Duas contas centrais com UMA resposta certa cada</t>
        </is>
      </c>
      <c r="D8" s="59" t="inlineStr">
        <is>
          <t>A1, A2</t>
        </is>
      </c>
      <c r="E8" s="22" t="inlineStr">
        <is>
          <t>OK — A1 armários / A2 parceiros</t>
        </is>
      </c>
      <c r="F8" s="60" t="inlineStr">
        <is>
          <t>Tem que ser conferível em 30 segundos, sem discussão. Se dois avaliadores podem chegar a números diferentes, não serve para este bloco — mande para Raciocínio.</t>
        </is>
      </c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39.75" customHeight="1" s="65">
      <c r="A9" s="53" t="n"/>
      <c r="B9" s="58" t="inlineStr">
        <is>
          <t>☐</t>
        </is>
      </c>
      <c r="C9" s="45" t="inlineStr">
        <is>
          <t>DIFICULDADE CALIBRADA: acerto médio perto de 50% do teto</t>
        </is>
      </c>
      <c r="D9" s="59" t="inlineStr">
        <is>
          <t>A1, A2</t>
        </is>
      </c>
      <c r="E9" s="22" t="inlineStr">
        <is>
          <t>Conferir na correção</t>
        </is>
      </c>
      <c r="F9" s="60" t="inlineStr">
        <is>
          <t>Em 2025.2 os itens de gabarito ficaram entre 41% e 62% do teto e o bloco discriminou (Spearman 0,89 com o ranking final). Em 2026.1 ficaram entre 72% e 82% e viraram ruído (0,64). Se na correção um item passar de ~75% de acerto médio, ele não está separando ninguém — por mais peso que tenha.</t>
        </is>
      </c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39.75" customHeight="1" s="65">
      <c r="A10" s="53" t="n"/>
      <c r="B10" s="58" t="inlineStr">
        <is>
          <t>☐</t>
        </is>
      </c>
      <c r="C10" s="45" t="inlineStr">
        <is>
          <t>Uma projeção ou plano com meta numérica declarada no enunciado</t>
        </is>
      </c>
      <c r="D10" s="59" t="inlineStr">
        <is>
          <t>A3</t>
        </is>
      </c>
      <c r="E10" s="22" t="inlineStr">
        <is>
          <t>FALTA — sem projeção</t>
        </is>
      </c>
      <c r="F10" s="60" t="inlineStr">
        <is>
          <t>A meta precisa estar escrita no case (ex.: crescer X%, atingir Y de margem), senão não há contra o que conferir.</t>
        </is>
      </c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39.75" customHeight="1" s="65">
      <c r="A11" s="53" t="n"/>
      <c r="B11" s="58" t="inlineStr">
        <is>
          <t>☐</t>
        </is>
      </c>
      <c r="C11" s="45" t="inlineStr">
        <is>
          <t>Um caminho alternativo que o candidato consiga dimensionar</t>
        </is>
      </c>
      <c r="D11" s="59" t="inlineStr">
        <is>
          <t>A4</t>
        </is>
      </c>
      <c r="E11" s="22" t="inlineStr">
        <is>
          <t>OK — 2º bairro / outro modelo</t>
        </is>
      </c>
      <c r="F11" s="60" t="inlineStr">
        <is>
          <t>Precisa existir dado suficiente no material para ele estimar o impacto. Sem isso, todo mundo fica no nível 2.</t>
        </is>
      </c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39.75" customHeight="1" s="65">
      <c r="A12" s="53" t="n"/>
      <c r="B12" s="58" t="inlineStr">
        <is>
          <t>☐</t>
        </is>
      </c>
      <c r="C12" s="45" t="inlineStr">
        <is>
          <t>Pergunta explícita de riscos e próximos passos</t>
        </is>
      </c>
      <c r="D12" s="59" t="inlineStr">
        <is>
          <t>A5</t>
        </is>
      </c>
      <c r="E12" s="22" t="inlineStr">
        <is>
          <t>OK — passo 04 do desafio</t>
        </is>
      </c>
      <c r="F12" s="60" t="inlineStr">
        <is>
          <t>Já está na rubrica e serve para qualquer case. Só garanta que o enunciado peça.</t>
        </is>
      </c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39.75" customHeight="1" s="65">
      <c r="A13" s="53" t="n"/>
      <c r="B13" s="58" t="inlineStr">
        <is>
          <t>☐</t>
        </is>
      </c>
      <c r="C13" s="45" t="inlineStr">
        <is>
          <t>UMA INCONSISTÊNCIA PLANTADA de propósito</t>
        </is>
      </c>
      <c r="D13" s="59" t="inlineStr">
        <is>
          <t>A6</t>
        </is>
      </c>
      <c r="E13" s="22" t="inlineStr">
        <is>
          <t>FALTA — nada plantado</t>
        </is>
      </c>
      <c r="F13" s="60" t="inlineStr">
        <is>
          <t>Ex.: a DRE não fecha por um valor, ou o número do enunciado contradiz a tabela anexa. É o item que a IA erra e o melhor discriminador do bloco. Não conte para os candidatos, obviamente.</t>
        </is>
      </c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39.75" customHeight="1" s="65">
      <c r="A14" s="53" t="n"/>
      <c r="B14" s="58" t="inlineStr">
        <is>
          <t>☐</t>
        </is>
      </c>
      <c r="C14" s="45" t="inlineStr">
        <is>
          <t>UMA PREMISSA DEIXADA EM ABERTO de propósito</t>
        </is>
      </c>
      <c r="D14" s="59" t="inlineStr">
        <is>
          <t>R1, A4</t>
        </is>
      </c>
      <c r="E14" s="22" t="inlineStr">
        <is>
          <t>OK — capacidade por ponto</t>
        </is>
      </c>
      <c r="F14" s="60" t="inlineStr">
        <is>
          <t>Ex.: não informar o critério de rateio de um custo entre unidades. Não pontua sozinha: aparece na qualidade da recomendação. Como não existe resposta certa, a IA não ajuda.</t>
        </is>
      </c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39.75" customHeight="1" s="65">
      <c r="A15" s="53" t="n"/>
      <c r="B15" s="58" t="inlineStr">
        <is>
          <t>☐</t>
        </is>
      </c>
      <c r="C15" s="45" t="inlineStr">
        <is>
          <t>Entregáveis obrigatórios declarados no enunciado</t>
        </is>
      </c>
      <c r="D15" s="59" t="inlineStr">
        <is>
          <t>E1, E2, E3</t>
        </is>
      </c>
      <c r="E15" s="22" t="inlineStr">
        <is>
          <t>FALTA — case não declara</t>
        </is>
      </c>
      <c r="F15" s="60" t="inlineStr">
        <is>
          <t>Escrever no case: planilha com a memória de cálculo, apresentação fechada e vídeo. Se não estiver pedido, não dá para pontuar como checklist.</t>
        </is>
      </c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39.75" customHeight="1" s="65">
      <c r="A16" s="53" t="n"/>
      <c r="B16" s="58" t="inlineStr">
        <is>
          <t>☐</t>
        </is>
      </c>
      <c r="C16" s="45" t="inlineStr">
        <is>
          <t>Um parâmetro escolhido para a checagem ao vivo</t>
        </is>
      </c>
      <c r="D16" s="59" t="inlineStr">
        <is>
          <t>Entrevista</t>
        </is>
      </c>
      <c r="E16" s="22" t="inlineStr">
        <is>
          <t>Definir — sugestão abaixo</t>
        </is>
      </c>
      <c r="F16" s="60" t="inlineStr">
        <is>
          <t>Defina agora qual número o candidato terá de refazer na entrevista com valor alterado. É a verificação de propriedade que o take-home não consegue dar.</t>
        </is>
      </c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14.25" customHeight="1" s="65">
      <c r="A17" s="53" t="n"/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14.25" customHeight="1" s="65">
      <c r="A18" s="53" t="n"/>
      <c r="B18" s="67" t="inlineStr">
        <is>
          <t>PARTE 2 — GABARITO (preencher com o case pronto)</t>
        </is>
      </c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14.25" customHeight="1" s="65">
      <c r="A19" s="53" t="n"/>
      <c r="B19" s="25" t="inlineStr">
        <is>
          <t>Item</t>
        </is>
      </c>
      <c r="C19" s="25" t="inlineStr">
        <is>
          <t>Pergunta do case / o que se espera</t>
        </is>
      </c>
      <c r="D19" s="25" t="inlineStr">
        <is>
          <t>Valor esperado</t>
        </is>
      </c>
      <c r="E19" s="25" t="inlineStr">
        <is>
          <t>Tolerância</t>
        </is>
      </c>
      <c r="F19" s="25" t="inlineStr">
        <is>
          <t>Observação</t>
        </is>
      </c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31.5" customHeight="1" s="65">
      <c r="A20" s="53" t="n"/>
      <c r="B20" s="29" t="inlineStr">
        <is>
          <t>A1</t>
        </is>
      </c>
      <c r="C20" s="46" t="inlineStr">
        <is>
          <t>Resultado operacional anual dos 4 bairros — modelo ARMÁRIOS (R$ milhões/ano)</t>
        </is>
      </c>
      <c r="D20" s="61" t="inlineStr">
        <is>
          <t>Estação Central 25,08 · Centro Histórico 23,15 · Arena 13,87 · Noite Alta 18,57</t>
        </is>
      </c>
      <c r="E20" s="58" t="inlineStr">
        <is>
          <t>±0,01 mi</t>
        </is>
      </c>
      <c r="F20" s="62" t="inlineStr">
        <is>
          <t>Todos os insumos estão no case: espera-se valor exato. Sem memória de cálculo visível, o teto é 2 mesmo com o valor certo. Arena: 900÷40=22,5 → 23 bancos.</t>
        </is>
      </c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31.5" customHeight="1" s="65">
      <c r="A21" s="53" t="n"/>
      <c r="B21" s="29" t="inlineStr">
        <is>
          <t>A2</t>
        </is>
      </c>
      <c r="C21" s="46" t="inlineStr">
        <is>
          <t>Resultado operacional anual dos 4 bairros — modelo PARCEIROS (R$ milhões/ano)</t>
        </is>
      </c>
      <c r="D21" s="61" t="inlineStr">
        <is>
          <t>Estação Central 27,84 · Centro Histórico 24,50 · Arena 14,94 · Noite Alta 19,20</t>
        </is>
      </c>
      <c r="E21" s="58" t="inlineStr">
        <is>
          <t>±0,01 mi</t>
        </is>
      </c>
      <c r="F21" s="62" t="inlineStr">
        <is>
          <t>Receita e custo-base são idênticos aos dos armários. A diferença mora só em bancos × operação.</t>
        </is>
      </c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31.5" customHeight="1" s="65">
      <c r="A22" s="53" t="n"/>
      <c r="B22" s="29" t="inlineStr">
        <is>
          <t>A3</t>
        </is>
      </c>
      <c r="C22" s="46" t="inlineStr">
        <is>
          <t>Ganho líquido dos parceiros = economia de bancos − acréscimo de operação (R$ mi/ano)</t>
        </is>
      </c>
      <c r="D22" s="61" t="inlineStr">
        <is>
          <t>Estação Central 2,76 · Centro Histórico 1,35 · Arena 1,07 · Noite Alta 0,63</t>
        </is>
      </c>
      <c r="E22" s="58" t="inlineStr">
        <is>
          <t>±0,01 mi</t>
        </is>
      </c>
      <c r="F22" s="62" t="inlineStr">
        <is>
          <t>Não há meta declarada neste case. Confira contra a tabela do próprio candidato: o número da recomendação tem de estar lá.</t>
        </is>
      </c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31.5" customHeight="1" s="65">
      <c r="A23" s="53" t="n"/>
      <c r="B23" s="29" t="inlineStr">
        <is>
          <t>A4</t>
        </is>
      </c>
      <c r="C23" s="46" t="inlineStr">
        <is>
          <t>Ordem de prioridade dos demais bairros, ou defesa do modelo de armários</t>
        </is>
      </c>
      <c r="D23" s="61" t="inlineStr">
        <is>
          <t>Centro Histórico como 2º: 24,50 mi, 3,34 abaixo da Estação Central, margem 90,7% contra 77,3%. Armários: aceitar se reconhecer o resultado menor e justificar 24h/autosserviço, sem inventar receita.</t>
        </is>
      </c>
      <c r="E23" s="58" t="inlineStr">
        <is>
          <t>—</t>
        </is>
      </c>
      <c r="F23" s="62" t="inlineStr">
        <is>
          <t>Não existe resposta única: serve para calibrar o que é 'quantificado'.</t>
        </is>
      </c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31.5" customHeight="1" s="65">
      <c r="A24" s="53" t="n"/>
      <c r="B24" s="29" t="inlineStr">
        <is>
          <t>A6</t>
        </is>
      </c>
      <c r="C24" s="46" t="inlineStr">
        <is>
          <t>Premissas em aberto (substituem a inconsistência plantada, ausente neste case)</t>
        </is>
      </c>
      <c r="D24" s="61" t="inlineStr">
        <is>
          <t>(1) A utilização não entra na receita — o enunciado avisa no Anexo C e nas Premissas. (2) A capacidade por estabelecimento não é informada: 2.400 posições não significam 2.400 parceiros.</t>
        </is>
      </c>
      <c r="E24" s="58" t="inlineStr">
        <is>
          <t>—</t>
        </is>
      </c>
      <c r="F24" s="62" t="inlineStr">
        <is>
          <t>ARMADILHAS que zeram A6: 52 semanas; utilização aplicada à receita; custos anuais multiplicados por 50; bancos cobrados dos parceiros; 920 posições na Arena; comissão inventada; índice de complexidade trocado.</t>
        </is>
      </c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31.5" customHeight="1" s="65">
      <c r="A25" s="53" t="n"/>
      <c r="B25" s="29" t="inlineStr">
        <is>
          <t>—</t>
        </is>
      </c>
      <c r="C25" s="46" t="inlineStr">
        <is>
          <t>[descrever a PREMISSA deixada em aberto]</t>
        </is>
      </c>
      <c r="D25" s="61" t="inlineStr">
        <is>
          <t>Capacidade por ponto parceiro. Entra em R1 (recomendação) e A4 (alternativa), não pontua sozinha.</t>
        </is>
      </c>
      <c r="E25" s="58" t="inlineStr">
        <is>
          <t>—</t>
        </is>
      </c>
      <c r="F25" s="62" t="inlineStr">
        <is>
          <t>Não pontua sozinha: entra em R1 (recomendação) e A4 (alternativa).</t>
        </is>
      </c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31.5" customHeight="1" s="65">
      <c r="A26" s="53" t="n"/>
      <c r="B26" s="29" t="inlineStr">
        <is>
          <t>—</t>
        </is>
      </c>
      <c r="C26" s="46" t="inlineStr">
        <is>
          <t>[parâmetro da checagem ao vivo na entrevista]</t>
        </is>
      </c>
      <c r="D26" s="61" t="inlineStr">
        <is>
          <t>Subir a operação dos parceiros na Estação Central de R$ 2.000 para R$ 3.400 por posição. Resposta: 36,00 − 3,36 − 8,16 = 24,48 mi — a Estação Central cai abaixo do Centro Histórico (24,50) e a recomendação vira.</t>
        </is>
      </c>
      <c r="E26" s="58" t="inlineStr">
        <is>
          <t>—</t>
        </is>
      </c>
      <c r="F26" s="62" t="inlineStr">
        <is>
          <t>Escolhido de propósito no ponto de virada: quem decorou o resultado não percebe que a conclusão muda.</t>
        </is>
      </c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14.25" customHeight="1" s="65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14.25" customHeight="1" s="65">
      <c r="A28" s="53" t="n"/>
      <c r="B28" s="67" t="inlineStr">
        <is>
          <t>PARTE 3 — AUTOCORREÇÃO (opcional, mas é onde mora o maior ganho)</t>
        </is>
      </c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18" customHeight="1" s="65">
      <c r="A29" s="53" t="n"/>
      <c r="B29" s="63" t="inlineStr">
        <is>
          <t>Se vocês pedirem os números-chave em campos obrigatórios do formulário de entrega, A1 e A2 se corrigem sozinhos.</t>
        </is>
      </c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18" customHeight="1" s="65">
      <c r="A30" s="53" t="n"/>
      <c r="B30" s="63" t="inlineStr">
        <is>
          <t>Fórmula de exemplo, com a resposta do candidato em X2 e o valor esperado de A1 em D19:</t>
        </is>
      </c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18" customHeight="1" s="65">
      <c r="A31" s="53" t="n"/>
      <c r="B31" s="64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18" customHeight="1" s="65">
      <c r="A32" s="53" t="n"/>
      <c r="B32" s="63" t="inlineStr">
        <is>
          <t>Resultado: 12 dos 25 pontos de acurácia deixam de depender de quem corrigiu, e a conferência cai para segundos.</t>
        </is>
      </c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18" customHeight="1" s="65">
      <c r="A33" s="53" t="n"/>
      <c r="B33" s="63" t="inlineStr">
        <is>
          <t>Atenção: o nível 3 exige memória de cálculo visível. A fórmula dá o teto; quem confere rebaixa para 2 se o Excel não veio.</t>
        </is>
      </c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14.25" customHeight="1" s="65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14.25" customHeight="1" s="6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14.25" customHeight="1" s="65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14.25" customHeight="1" s="65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14.25" customHeight="1" s="65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14.25" customHeight="1" s="65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14.25" customHeight="1" s="65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14.25" customHeight="1" s="65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14.25" customHeight="1" s="65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14.25" customHeight="1" s="65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14.25" customHeight="1" s="65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14.25" customHeight="1" s="65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14.25" customHeight="1" s="65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14.25" customHeight="1" s="65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14.25" customHeight="1" s="65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14.25" customHeight="1" s="65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14.25" customHeight="1" s="65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14.25" customHeight="1" s="65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14.25" customHeight="1" s="65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14.25" customHeight="1" s="65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14.25" customHeight="1" s="65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14.25" customHeight="1" s="6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14.25" customHeight="1" s="65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14.25" customHeight="1" s="65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14.25" customHeight="1" s="65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14.25" customHeight="1" s="65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14.25" customHeight="1" s="65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14.25" customHeight="1" s="65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14.25" customHeight="1" s="65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14.25" customHeight="1" s="65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14.25" customHeight="1" s="65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14.25" customHeight="1" s="65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14.25" customHeight="1" s="65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14.25" customHeight="1" s="65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14.25" customHeight="1" s="65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14.25" customHeight="1" s="65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14.25" customHeight="1" s="65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14.25" customHeight="1" s="65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14.25" customHeight="1" s="65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14.25" customHeight="1" s="65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14.25" customHeight="1" s="65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14.25" customHeight="1" s="65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14.25" customHeight="1" s="65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14.25" customHeight="1" s="65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14.25" customHeight="1" s="65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14.25" customHeight="1" s="65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14.25" customHeight="1" s="65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14.25" customHeight="1" s="65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14.25" customHeight="1" s="65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14.25" customHeight="1" s="65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14.25" customHeight="1" s="65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14.25" customHeight="1" s="65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14.25" customHeight="1" s="65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14.25" customHeight="1" s="65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14.25" customHeight="1" s="65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14.25" customHeight="1" s="65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14.25" customHeight="1" s="65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14.25" customHeight="1" s="65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14.25" customHeight="1" s="65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14.25" customHeight="1" s="65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14.25" customHeight="1" s="65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14.25" customHeight="1" s="65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14.25" customHeight="1" s="65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14.25" customHeight="1" s="65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14.25" customHeight="1" s="65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14.25" customHeight="1" s="65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14.25" customHeight="1" s="65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14.25" customHeight="1" s="65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14.25" customHeight="1" s="65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14.25" customHeight="1" s="65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14.25" customHeight="1" s="65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14.25" customHeight="1" s="6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14.25" customHeight="1" s="65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14.25" customHeight="1" s="65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14.25" customHeight="1" s="65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14.25" customHeight="1" s="65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14.25" customHeight="1" s="65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14.25" customHeight="1" s="65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14.25" customHeight="1" s="65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14.25" customHeight="1" s="65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14.25" customHeight="1" s="65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14.25" customHeight="1" s="6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14.25" customHeight="1" s="65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14.25" customHeight="1" s="65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14.25" customHeight="1" s="65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14.25" customHeight="1" s="65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14.25" customHeight="1" s="65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14.25" customHeight="1" s="65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14.25" customHeight="1" s="65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14.25" customHeight="1" s="65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14.25" customHeight="1" s="65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14.25" customHeight="1" s="6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14.25" customHeight="1" s="65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14.25" customHeight="1" s="65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14.25" customHeight="1" s="65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14.25" customHeight="1" s="65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4.25" customHeight="1" s="65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4.25" customHeight="1" s="65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4.25" customHeight="1" s="65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4.25" customHeight="1" s="65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4.25" customHeight="1" s="65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4.25" customHeight="1" s="6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4.25" customHeight="1" s="65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4.25" customHeight="1" s="65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4.25" customHeight="1" s="65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4.25" customHeight="1" s="65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4.25" customHeight="1" s="65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4.25" customHeight="1" s="65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4.25" customHeight="1" s="65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4.25" customHeight="1" s="65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4.25" customHeight="1" s="65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4.25" customHeight="1" s="6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4.25" customHeight="1" s="65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4.25" customHeight="1" s="65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4.25" customHeight="1" s="65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4.25" customHeight="1" s="65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4.25" customHeight="1" s="65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4.25" customHeight="1" s="65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4.25" customHeight="1" s="65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4.25" customHeight="1" s="65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4.25" customHeight="1" s="65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4.25" customHeight="1" s="6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4.25" customHeight="1" s="65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4.25" customHeight="1" s="65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4.25" customHeight="1" s="65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4.25" customHeight="1" s="65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4.25" customHeight="1" s="65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4.25" customHeight="1" s="65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4.25" customHeight="1" s="65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4.25" customHeight="1" s="65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4.25" customHeight="1" s="65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4.25" customHeight="1" s="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4.25" customHeight="1" s="65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4.25" customHeight="1" s="65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4.25" customHeight="1" s="65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4.25" customHeight="1" s="65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4.25" customHeight="1" s="65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4.25" customHeight="1" s="65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4.25" customHeight="1" s="65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4.25" customHeight="1" s="65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4.25" customHeight="1" s="65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4.25" customHeight="1" s="6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4.25" customHeight="1" s="65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4.25" customHeight="1" s="65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4.25" customHeight="1" s="65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4.25" customHeight="1" s="65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4.25" customHeight="1" s="65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4.25" customHeight="1" s="65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4.25" customHeight="1" s="65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4.25" customHeight="1" s="65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4.25" customHeight="1" s="65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4.25" customHeight="1" s="6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4.25" customHeight="1" s="65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4.25" customHeight="1" s="65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4.25" customHeight="1" s="65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4.25" customHeight="1" s="65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4.25" customHeight="1" s="65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4.25" customHeight="1" s="65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4.25" customHeight="1" s="65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4.25" customHeight="1" s="65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4.25" customHeight="1" s="65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4.25" customHeight="1" s="6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4.25" customHeight="1" s="65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4.25" customHeight="1" s="65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4.25" customHeight="1" s="65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4.25" customHeight="1" s="65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4.25" customHeight="1" s="65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4.25" customHeight="1" s="65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4.25" customHeight="1" s="65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4.25" customHeight="1" s="65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4.25" customHeight="1" s="65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4.25" customHeight="1" s="6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4.25" customHeight="1" s="65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4.25" customHeight="1" s="65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4.25" customHeight="1" s="65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4.25" customHeight="1" s="65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4.25" customHeight="1" s="65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4.25" customHeight="1" s="65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4.25" customHeight="1" s="65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4.25" customHeight="1" s="65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4.25" customHeight="1" s="65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4.25" customHeight="1" s="6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4.25" customHeight="1" s="65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4.25" customHeight="1" s="65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4.25" customHeight="1" s="65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4.25" customHeight="1" s="65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4.25" customHeight="1" s="65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4.25" customHeight="1" s="65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4.25" customHeight="1" s="65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4.25" customHeight="1" s="65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4.25" customHeight="1" s="65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4.25" customHeight="1" s="6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4.25" customHeight="1" s="65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4.25" customHeight="1" s="65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4.25" customHeight="1" s="65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4.25" customHeight="1" s="65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4.25" customHeight="1" s="65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4.25" customHeight="1" s="65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4.25" customHeight="1" s="65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4.25" customHeight="1" s="65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5.75" customHeight="1" s="65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5.75" customHeight="1" s="6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5.75" customHeight="1" s="65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5.75" customHeight="1" s="65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5.75" customHeight="1" s="65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5.75" customHeight="1" s="65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5.75" customHeight="1" s="65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5.75" customHeight="1" s="65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5.75" customHeight="1" s="65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5.75" customHeight="1" s="65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5.75" customHeight="1" s="65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5.75" customHeight="1" s="6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5.75" customHeight="1" s="65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5.75" customHeight="1" s="65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5.75" customHeight="1" s="65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5.75" customHeight="1" s="65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5.75" customHeight="1" s="65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5.75" customHeight="1" s="65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5.75" customHeight="1" s="65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5.75" customHeight="1" s="65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5.75" customHeight="1" s="65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5.75" customHeight="1" s="6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5.75" customHeight="1" s="65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5.75" customHeight="1" s="65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5.75" customHeight="1" s="65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5.75" customHeight="1" s="65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5.75" customHeight="1" s="65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5.75" customHeight="1" s="65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5.75" customHeight="1" s="65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5.75" customHeight="1" s="65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5.75" customHeight="1" s="65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5.75" customHeight="1" s="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5.75" customHeight="1" s="65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5.75" customHeight="1" s="65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5.75" customHeight="1" s="65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5.75" customHeight="1" s="65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65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65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65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65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65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6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65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65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65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65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65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65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65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65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65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6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65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65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65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65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65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65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65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65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65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6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65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65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65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65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65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65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65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65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65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6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65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65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65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65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65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65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65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65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65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6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65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65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65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65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65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65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65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65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65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6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65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65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65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65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65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65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65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65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65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6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65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65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65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65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65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65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65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65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65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6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65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65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65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65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65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65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65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65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65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6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65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65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65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65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65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65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65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65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65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65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65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65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65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65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65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65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65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65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6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65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65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65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65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65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65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65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65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65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6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65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65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65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65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65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65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65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65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65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6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65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65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65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65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65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65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65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65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65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6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65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65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65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65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65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65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65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65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65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6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65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65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65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65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65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65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65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65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65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6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65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65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65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65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65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65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65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65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65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6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65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65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65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65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65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65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65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65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65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6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65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65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65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65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65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65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65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65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65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6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65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65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65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65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65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65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65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65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65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65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65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65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65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65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65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65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65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65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6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65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65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65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65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65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65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65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65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65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6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65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65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65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65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65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65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65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65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65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6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65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65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65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65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65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65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65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65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65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6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65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65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65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65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65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65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65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65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65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6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65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65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65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65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65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65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65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65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65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6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65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65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65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65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65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65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65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65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65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6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65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65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65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65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65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65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65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65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65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6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65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65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65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65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65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65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65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65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65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6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65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65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65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65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65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65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65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65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65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65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65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65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65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65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65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65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65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65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6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65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65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65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65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65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65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65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65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65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6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65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65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65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65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65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65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65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65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65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6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65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65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65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65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65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65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65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65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65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6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65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65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65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65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65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65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65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65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65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6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65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65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65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65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65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65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65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65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65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6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65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65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65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65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65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65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65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65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65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6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65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65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65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65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65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65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65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65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65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6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65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65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65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65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65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65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65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65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65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6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65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65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65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65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65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65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65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65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65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65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65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65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65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65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65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65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65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65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6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65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65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65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65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65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65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65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65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65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6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65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65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65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65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65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65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65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65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65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6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65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65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65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65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65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65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65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65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65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6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65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65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65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65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65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65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65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65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65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6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65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65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65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65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65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65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65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65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65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6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65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65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65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65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65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65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65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65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65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6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65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65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65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65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65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65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65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65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65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6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65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65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65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65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65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65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65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65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65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6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65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65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65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65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65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65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65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65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65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65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65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65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65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65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65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65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65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65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6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65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65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65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65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65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65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65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65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65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6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65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65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65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65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65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65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65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65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65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6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65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65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65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65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65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65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65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65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65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6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65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65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65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65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65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65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65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65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65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6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65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65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65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65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65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65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65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65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65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6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65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65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65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65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65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65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65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65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65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6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65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65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65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65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65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65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65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65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65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6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65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65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65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65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65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65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65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65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65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6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65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65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65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65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65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65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65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65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65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65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65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65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65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65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65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65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65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65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6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65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65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65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65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65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65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65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65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65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6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65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65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65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65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65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65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65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65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65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6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65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65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65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65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65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65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65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65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65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6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65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65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65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65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65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65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65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65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65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6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65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65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65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65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65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65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65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65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65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6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65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65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65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65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65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65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65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65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65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6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65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65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65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65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65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65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65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65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65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6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65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65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65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65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65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65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65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65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65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6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65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65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65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65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65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65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65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65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65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65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65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65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65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65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65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65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65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65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6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65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65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65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65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65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65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65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65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65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6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65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65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65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65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65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65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65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65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65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6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65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65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65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65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65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</sheetData>
  <mergeCells count="10">
    <mergeCell ref="B4:F4"/>
    <mergeCell ref="B30:F30"/>
    <mergeCell ref="B29:F29"/>
    <mergeCell ref="B6:F6"/>
    <mergeCell ref="B2:F2"/>
    <mergeCell ref="B33:F33"/>
    <mergeCell ref="B28:F28"/>
    <mergeCell ref="B31:F31"/>
    <mergeCell ref="B32:F32"/>
    <mergeCell ref="B18:F18"/>
  </mergeCells>
  <conditionalFormatting sqref="E8:E16">
    <cfRule type="cellIs" priority="1" operator="equal" dxfId="1">
      <formula>"Feito"</formula>
    </cfRule>
    <cfRule type="cellIs" priority="2" operator="equal" dxfId="3">
      <formula>"Pendente"</formula>
    </cfRule>
  </conditionalFormatting>
  <dataValidations count="1">
    <dataValidation sqref="E8:E16" showDropDown="0" showInputMessage="0" showErrorMessage="0" allowBlank="1" type="list">
      <formula1>"Feito,Pendente"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3" customWidth="1" style="65" min="1" max="1"/>
    <col width="5" customWidth="1" style="65" min="2" max="2"/>
    <col width="34" customWidth="1" style="65" min="3" max="3"/>
    <col width="33.29" customWidth="1" style="65" min="4" max="4"/>
    <col width="16" customWidth="1" style="65" min="5" max="5"/>
    <col width="96" customWidth="1" style="65" min="6" max="6"/>
    <col width="22" customWidth="1" style="65" min="7" max="7"/>
  </cols>
  <sheetData>
    <row r="1" ht="14.25" customHeight="1" s="65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5.5" customHeight="1" s="65">
      <c r="A2" s="53" t="n"/>
      <c r="B2" s="71" t="inlineStr">
        <is>
          <t>COMENTÁRIOS — resuma o que achou da entrega (mesma estrutura da planilha antiga)</t>
        </is>
      </c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14.25" customHeight="1" s="65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14.25" customHeight="1" s="65">
      <c r="A4" s="53" t="n"/>
      <c r="B4" s="25" t="inlineStr">
        <is>
          <t>#</t>
        </is>
      </c>
      <c r="C4" s="25" t="inlineStr">
        <is>
          <t>Candidato(a)</t>
        </is>
      </c>
      <c r="D4" s="25" t="inlineStr">
        <is>
          <t>Nome</t>
        </is>
      </c>
      <c r="E4" s="25" t="inlineStr">
        <is>
          <t>Avaliador</t>
        </is>
      </c>
      <c r="F4" s="25" t="inlineStr">
        <is>
          <t>Comentários</t>
        </is>
      </c>
      <c r="G4" s="25" t="inlineStr">
        <is>
          <t>Aprovaria?</t>
        </is>
      </c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14.25" customHeight="1" s="65">
      <c r="A5" s="53" t="n"/>
      <c r="B5" s="3">
        <f>IF($C5="","",ROW()-4)</f>
        <v/>
      </c>
      <c r="C5" s="3" t="inlineStr">
        <is>
          <t>g278083@dac.unicamp.br</t>
        </is>
      </c>
      <c r="D5" s="3" t="inlineStr">
        <is>
          <t>Gabrielle Cristofani do Rosario</t>
        </is>
      </c>
      <c r="E5" s="53" t="inlineStr">
        <is>
          <t>Matteo</t>
        </is>
      </c>
      <c r="F5" s="73" t="inlineStr">
        <is>
          <t>Entrega sólida, com a conta certa e memória de cálculo verificável à mão, inclusive o arredondamento da Arena. Achou sozinha a causa de os parceiros ganharem e tratou a tensão do case de frente. Três reparos, todos de execução: a complexidade invertida no slide 4, a recomendação chegando só no slide 8 e a promessa de um relatório que não está na pasta. Na entrevista eu pergunto qual é a complexidade certa do Centro, já que o slide e as contas divergem. O vídeo de entrega está na pasta do Drive, então E3 vale 1.</t>
        </is>
      </c>
      <c r="G5" s="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14.25" customHeight="1" s="65">
      <c r="A6" s="53" t="n"/>
      <c r="B6" s="3">
        <f>IF($C6="","",ROW()-4)</f>
        <v/>
      </c>
      <c r="C6" s="3" t="inlineStr">
        <is>
          <t>b309603@dac.unicamp.br</t>
        </is>
      </c>
      <c r="D6" s="3" t="inlineStr">
        <is>
          <t>Bruno Heberth Oliveira Bastos</t>
        </is>
      </c>
      <c r="E6" s="53" t="inlineStr">
        <is>
          <t>Matteo</t>
        </is>
      </c>
      <c r="F6" s="73" t="inlineStr">
        <is>
          <t>Entrega honesta, com o melhor artefato do grupo: planilha que funciona de verdade, com fórmulas ligadas entre abas. Gostei de ele separar o que a conta mostra do que a conta não mostra, e de apontar lacuna em vez de inventar estimativa. Onde deixou valor na mesa foi ao se recusar a generalizar a vantagem dos parceiros. O custo maior é de forma: títulos sem mensagem e texto com ressalva a cada parágrafo. Na entrevista eu peço a conta que ele não quis fazer: a partir de que custo de banco os armários ganham na Estação?</t>
        </is>
      </c>
      <c r="G6" s="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14.25" customHeight="1" s="65">
      <c r="A7" s="53" t="n"/>
      <c r="B7" s="3">
        <f>IF($C7="","",ROW()-4)</f>
        <v/>
      </c>
      <c r="C7" s="3" t="inlineStr">
        <is>
          <t>j309764@dac.unicamp.br</t>
        </is>
      </c>
      <c r="D7" s="3" t="inlineStr">
        <is>
          <t>João Pedro Mendes Stama</t>
        </is>
      </c>
      <c r="E7" s="53" t="n"/>
      <c r="F7" s="73" t="n"/>
      <c r="G7" s="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14.25" customHeight="1" s="65">
      <c r="A8" s="53" t="n"/>
      <c r="B8" s="3">
        <f>IF($C8="","",ROW()-4)</f>
        <v/>
      </c>
      <c r="C8" s="3" t="inlineStr">
        <is>
          <t>r238449@dac.unicamp.br</t>
        </is>
      </c>
      <c r="D8" s="3" t="inlineStr">
        <is>
          <t>Rafael Ponciano Rodrigues dos Santos</t>
        </is>
      </c>
      <c r="E8" s="53" t="inlineStr">
        <is>
          <t>Matteo</t>
        </is>
      </c>
      <c r="F8" s="73" t="inlineStr">
        <is>
          <t>A entrega mais frustrante do grupo: a parte difícil está certa e a fácil não foi feita. Os oito cenários estão corretos à mão, aplicou os 3C's e projetou cinco anos. E fez a melhor observação qualitativa que eu vi, sobre a conexão de 1h30 não dar tempo de passear. E então não recomendou nada, sem bairro, sem modelo, sem riscos. Na entrevista a pergunta é a que falta: qual bairro e qual modelo você escolhe?</t>
        </is>
      </c>
      <c r="G8" s="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14.25" customHeight="1" s="65">
      <c r="A9" s="53" t="n"/>
      <c r="B9" s="3">
        <f>IF($C9="","",ROW()-4)</f>
        <v/>
      </c>
      <c r="C9" s="3" t="inlineStr">
        <is>
          <t>enzo.gag17@gmail.com</t>
        </is>
      </c>
      <c r="D9" s="3" t="inlineStr">
        <is>
          <t>Enzo Chofakian Gagliardi</t>
        </is>
      </c>
      <c r="E9" s="53" t="inlineStr">
        <is>
          <t>Matteo</t>
        </is>
      </c>
      <c r="F9" s="73" t="inlineStr">
        <is>
          <t>Melhor nota, e o que decide é disciplina de modelagem somada à pergunta certa. A planilha tem autoconferência e validador de capacidade, e ele é o único que modela a sobra do arredondamento e que antecipa por escrito que o banco é custo anual. O slide 7 mede duas robustezas, e a segunda, os 9,3% até perder a liderança, é a pergunta que importa. Discordo de ele chamar isso de risco baixo, é margem estreita. Na entrevista eu pergunto por que a queda até zerar dá exatamente a margem operacional.</t>
        </is>
      </c>
      <c r="G9" s="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14.25" customHeight="1" s="65">
      <c r="A10" s="53" t="n"/>
      <c r="B10" s="3">
        <f>IF($C10="","",ROW()-4)</f>
        <v/>
      </c>
      <c r="C10" s="3" t="inlineStr">
        <is>
          <t>e278588@dac.unicamp.br</t>
        </is>
      </c>
      <c r="D10" s="3" t="inlineStr">
        <is>
          <t>Enrico Tristão e Mello de Oliveira</t>
        </is>
      </c>
      <c r="E10" s="53" t="inlineStr">
        <is>
          <t>Matteo</t>
        </is>
      </c>
      <c r="F10" s="73" t="inlineStr">
        <is>
          <t>Tecnicamente a mais completa, e o que separa é o que ele faz depois da conta. Publicou o breakeven do banco nos quatro bairros e, melhor, percebeu que o case não modela custo de coordenação e calculou quanto de overhead zeraria a vantagem dos parceiros, virando gate do piloto. Os riscos são os melhores do grupo. Os reparos são de acabamento: nome do arquivo e numeração trocada. Na entrevista eu pergunto de onde vem o 23 no denominador do breakeven da Arena. O vídeo de entrega está na pasta do Drive, então E3 vale 1.</t>
        </is>
      </c>
      <c r="G10" s="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14.25" customHeight="1" s="65">
      <c r="A11" s="53" t="n"/>
      <c r="B11" s="3">
        <f>IF($C11="","",ROW()-4)</f>
        <v/>
      </c>
      <c r="C11" s="3" t="inlineStr">
        <is>
          <t>e221509@dac.unicamp.br</t>
        </is>
      </c>
      <c r="D11" s="3" t="inlineStr">
        <is>
          <t>Eduardo Alves Henrique</t>
        </is>
      </c>
      <c r="E11" s="53" t="inlineStr">
        <is>
          <t>Matteo</t>
        </is>
      </c>
      <c r="F11" s="73" t="inlineStr">
        <is>
          <t>Conta impecável e decisão deliberadamente contra o número, o que torna interessante de corrigir. Escolheu o segundo maior lucro e assumiu, com argumento de complexidade e eficiência de capital. O problema é a premissa do breakeven: trata o banco como investimento e o Anexo E diz que é anual, e isso não aparece em nenhum slide. Não há riscos e o descarte da Estação não é justificado. Na entrevista eu pergunto por que o banco vale só no primeiro ano.</t>
        </is>
      </c>
      <c r="G11" s="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14.25" customHeight="1" s="65">
      <c r="A12" s="53" t="n"/>
      <c r="B12" s="3">
        <f>IF($C12="","",ROW()-4)</f>
        <v/>
      </c>
      <c r="C12" s="3" t="inlineStr">
        <is>
          <t>l304532@dac.unicamp.br</t>
        </is>
      </c>
      <c r="D12" s="3" t="inlineStr">
        <is>
          <t>Leandra Cunha de Souza</t>
        </is>
      </c>
      <c r="E12" s="53" t="inlineStr">
        <is>
          <t>Matteo</t>
        </is>
      </c>
      <c r="F12" s="73" t="inlineStr">
        <is>
          <t>REPROVADA. A análise está certa e a comunicação derruba a nota, o que é uma pena porque os dois problemas são baratos. Os oito cenários fecham e as tabelas de custo são um modelo de memória de cálculo. Ela também faz a coisa certa de enfrentar o contra-argumento em vez de esconder. O que custa é o acabamento: nome da empresa errado na capa, utilização trocada, texto de template esquecido, e a recomendação no slide 11 de 13. Na entrevista eu pergunto se a utilização da Arena é 31% ou 33%.</t>
        </is>
      </c>
      <c r="G12" s="3" t="inlineStr">
        <is>
          <t>Não</t>
        </is>
      </c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14.25" customHeight="1" s="65">
      <c r="A13" s="53" t="n"/>
      <c r="B13" s="3">
        <f>IF($C13="","",ROW()-4)</f>
        <v/>
      </c>
      <c r="C13" s="3" t="inlineStr">
        <is>
          <t>v188630@dac.unicamp.br</t>
        </is>
      </c>
      <c r="D13" s="3" t="inlineStr">
        <is>
          <t>Vagner Ássimos Gomes Carlos Filho</t>
        </is>
      </c>
      <c r="E13" s="53" t="inlineStr">
        <is>
          <t>Matteo</t>
        </is>
      </c>
      <c r="F13" s="73" t="inlineStr">
        <is>
          <t>Entrega madura, e o que distingue é fazer a pergunta que o case não faz. Questiona a própria demanda projetada, observando que quem vai a bar não carrega mala, o que derruba Noite Alta apesar do volume. E recomenda parceiros listando o que se perde com isso, que é sinal de maturidade. As mitigações são as mais concretas do grupo. Os reparos são a recomendação chegar no slide 9 e três slides de prosa corrida. Na entrevista eu pergunto o que ele faz com as 20 mil transações de Noite Alta.</t>
        </is>
      </c>
      <c r="G13" s="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14.25" customHeight="1" s="65">
      <c r="A14" s="53" t="n"/>
      <c r="B14" s="3">
        <f>IF($C14="","",ROW()-4)</f>
        <v/>
      </c>
      <c r="C14" s="3" t="inlineStr">
        <is>
          <t>m277865@dac.unicamp.br</t>
        </is>
      </c>
      <c r="D14" s="3" t="inlineStr">
        <is>
          <t>Mariana Nunes Galvão Sant'Anna</t>
        </is>
      </c>
      <c r="E14" s="53" t="inlineStr">
        <is>
          <t>Matteo</t>
        </is>
      </c>
      <c r="F14" s="73" t="inlineStr">
        <is>
          <t>Entrega muito boa, e o que distingue é ter lido o que todos ignoraram. Foi a única a usar o mapa do anexo, contando as fronteiras da Estação e virando isso em critério. A matriz ordena as oito combinações certo e marca a incerteza de Noite Alta em vez de simular precisão. O erro que eu cobraria é propor aproveitar as horas ociosas como ganho, quando a demanda já está dada. Na entrevista eu pergunto como as horas vazias virariam lucro.</t>
        </is>
      </c>
      <c r="G14" s="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14.25" customHeight="1" s="65">
      <c r="A15" s="53" t="n"/>
      <c r="B15" s="3">
        <f>IF($C15="","",ROW()-4)</f>
        <v/>
      </c>
      <c r="C15" s="3" t="inlineStr">
        <is>
          <t>a266739@dac.unicamp.br</t>
        </is>
      </c>
      <c r="D15" s="3" t="inlineStr">
        <is>
          <t>Aslan Rodrigues Maia</t>
        </is>
      </c>
      <c r="E15" s="3" t="inlineStr">
        <is>
          <t>Ferro</t>
        </is>
      </c>
      <c r="F15" s="73" t="inlineStr">
        <is>
          <t>TIrou 2/3 do Gmat, e falou um pouco travado no vídeo, mas foi bem (não é bixo)</t>
        </is>
      </c>
      <c r="G15" s="3" t="inlineStr">
        <is>
          <t>Passaria para ver o case</t>
        </is>
      </c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14.25" customHeight="1" s="65">
      <c r="A16" s="53" t="n"/>
      <c r="B16" s="3">
        <f>IF($C16="","",ROW()-4)</f>
        <v/>
      </c>
      <c r="C16" s="3" t="inlineStr">
        <is>
          <t>j278641@dac.unicamp.br</t>
        </is>
      </c>
      <c r="D16" s="3" t="inlineStr">
        <is>
          <t>João Gabriel de Oliveira Morcelli</t>
        </is>
      </c>
      <c r="E16" s="3" t="inlineStr">
        <is>
          <t>Ferro</t>
        </is>
      </c>
      <c r="F16" s="73" t="inlineStr">
        <is>
          <t>Tirou 2/3 do Gmat tbm, e fez no final sem energia, cara foi resiliente, falou muito bem no vídeo</t>
        </is>
      </c>
      <c r="G16" s="3" t="inlineStr">
        <is>
          <t>Sim</t>
        </is>
      </c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14.25" customHeight="1" s="65">
      <c r="A17" s="53" t="n"/>
      <c r="B17" s="3">
        <f>IF($C17="","",ROW()-4)</f>
        <v/>
      </c>
      <c r="C17" s="3" t="inlineStr">
        <is>
          <t>r278709@dac.unicamp.br</t>
        </is>
      </c>
      <c r="D17" s="3" t="inlineStr">
        <is>
          <t>Raphael Negrini Saggioro</t>
        </is>
      </c>
      <c r="E17" s="3" t="inlineStr">
        <is>
          <t>Ferro</t>
        </is>
      </c>
      <c r="F17" s="73" t="inlineStr">
        <is>
          <t>Foi bem no Gmat tbm, falou muito bem, e falou dos projetos do CCU, fez a pesquisa básica ali, mandou bem</t>
        </is>
      </c>
      <c r="G17" s="3" t="inlineStr">
        <is>
          <t>Sim</t>
        </is>
      </c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14.25" customHeight="1" s="65">
      <c r="A18" s="53" t="n"/>
      <c r="B18" s="3">
        <f>IF($C18="","",ROW()-4)</f>
        <v/>
      </c>
      <c r="C18" s="3" t="inlineStr">
        <is>
          <t>g278107@dac.unicamp.br</t>
        </is>
      </c>
      <c r="D18" s="3" t="inlineStr">
        <is>
          <t>Gustavo Daher Pereira</t>
        </is>
      </c>
      <c r="E18" s="53" t="n"/>
      <c r="F18" s="73" t="n"/>
      <c r="G18" s="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14.25" customHeight="1" s="65">
      <c r="A19" s="53" t="n"/>
      <c r="B19" s="3">
        <f>IF($C19="","",ROW()-4)</f>
        <v/>
      </c>
      <c r="C19" s="3" t="inlineStr">
        <is>
          <t>rickfilho2007@gmail.com</t>
        </is>
      </c>
      <c r="D19" s="3" t="inlineStr">
        <is>
          <t>Ricardo Augusto Schmitt Filho</t>
        </is>
      </c>
      <c r="E19" s="53" t="n"/>
      <c r="F19" s="73" t="n"/>
      <c r="G19" s="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14.25" customHeight="1" s="65">
      <c r="A20" s="53" t="n"/>
      <c r="B20" s="3">
        <f>IF($C20="","",ROW()-4)</f>
        <v/>
      </c>
      <c r="C20" s="3" t="inlineStr">
        <is>
          <t>m306365@dac.unicamp.br</t>
        </is>
      </c>
      <c r="D20" s="3" t="inlineStr">
        <is>
          <t>Matheus Dias Freitas</t>
        </is>
      </c>
      <c r="E20" s="53" t="n"/>
      <c r="F20" s="73" t="n"/>
      <c r="G20" s="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14.25" customHeight="1" s="65">
      <c r="A21" s="53" t="n"/>
      <c r="B21" s="3">
        <f>IF($C21="","",ROW()-4)</f>
        <v/>
      </c>
      <c r="C21" s="3" t="inlineStr">
        <is>
          <t>k267983@dac.unicamp.br</t>
        </is>
      </c>
      <c r="D21" s="3" t="inlineStr">
        <is>
          <t>Klaus Augusto Santos da Silva</t>
        </is>
      </c>
      <c r="E21" s="53" t="inlineStr">
        <is>
          <t>Matteo</t>
        </is>
      </c>
      <c r="F21" s="73" t="inlineStr">
        <is>
          <t>A melhor ideia do grupo está na seção 7: em vez de justificar a escolha com adjetivos, ele precifica o que está abdicando. Isso transforma julgamento em algo que a diretoria aceita ou recusa com número na mão. Dois reparos de peso: somou os quatro bairros como se abrissem juntos, e listou só os riscos da opção que descartou. Faltam próximos passos. Na entrevista eu pergunto quanto ele abdica de fato se a decisão é só sobre a Estação.</t>
        </is>
      </c>
      <c r="G21" s="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14.25" customHeight="1" s="65">
      <c r="A22" s="53" t="n"/>
      <c r="B22" s="3">
        <f>IF($C22="","",ROW()-4)</f>
        <v/>
      </c>
      <c r="C22" s="3" t="inlineStr">
        <is>
          <t>r302729@dac.unicamp.br</t>
        </is>
      </c>
      <c r="D22" s="3" t="inlineStr">
        <is>
          <t>Rafael Rodrigues Moreira</t>
        </is>
      </c>
      <c r="E22" s="53" t="inlineStr">
        <is>
          <t>Matteo</t>
        </is>
      </c>
      <c r="F22" s="73" t="inlineStr">
        <is>
          <t>Tem a melhor análise e a pior conclusão, e isso foi difícil de pontuar. Tirou o tempo de permanência das malas da utilização, cerca de 7 horas na Estação, o que ninguém mais fez, e a regra de robustez dele é a mais rigorosa do grupo. E então não recomenda nada, com o índice prometendo uma seção que não existe. Pior: a tabela dele mostra o Centro ganhando em três dos quatro critérios e a contradição fica em aberto. Na entrevista eu pergunto como ele chegou nas 7 horas e qual bairro recomenda.</t>
        </is>
      </c>
      <c r="G22" s="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14.25" customHeight="1" s="65">
      <c r="A23" s="53" t="n"/>
      <c r="B23" s="3">
        <f>IF($C23="","",ROW()-4)</f>
        <v/>
      </c>
      <c r="C23" s="3" t="inlineStr">
        <is>
          <t>c258388@dac.unicamp.br</t>
        </is>
      </c>
      <c r="D23" s="3" t="inlineStr">
        <is>
          <t>Caio Augusto Saab</t>
        </is>
      </c>
      <c r="E23" s="53" t="inlineStr">
        <is>
          <t>Matteo</t>
        </is>
      </c>
      <c r="F23" s="73" t="inlineStr">
        <is>
          <t>O problema não é a conta, é a decisão. Sete dos oito cenários estão certos, mas a conclusão vai contra os números: disse que a métrica é margem e escolheu a pior opção pela própria régua. Tem duas contradições factuais sobre complexidade e margem da Arena. Faltam riscos e próximos passos, e não há uma tabela em cinco páginas. Na entrevista eu pergunto por que armários a 85,7% e não parceiros a 90,7% no mesmo bairro.</t>
        </is>
      </c>
      <c r="G23" s="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14.25" customHeight="1" s="65">
      <c r="A24" s="53" t="n"/>
      <c r="B24" s="3">
        <f>IF($C24="","",ROW()-4)</f>
        <v/>
      </c>
      <c r="C24" s="3" t="inlineStr">
        <is>
          <t>j260826@dac.unicamp.br</t>
        </is>
      </c>
      <c r="D24" s="3" t="inlineStr">
        <is>
          <t>José Vitor Dias Tutu</t>
        </is>
      </c>
      <c r="E24" s="53" t="inlineStr">
        <is>
          <t>Matteo</t>
        </is>
      </c>
      <c r="F24" s="73" t="inlineStr">
        <is>
          <t>REPROVADO POR USO DE IA. Entrega boa e bem conferida. Os oito cenários fecham, inclusive o arredondamento da Arena. O que me incomodou foi o critério do rollout mudar no meio: começa priorizando caixa, na fase 2 muda para margem e depois volta. Não fez sensibilidade. O deck inteiro é imagem e o relatório é HTML exportado, o que me fez desconfiar de IA. Na entrevista eu perguntaria por que Noite Alta vem antes da Arena se a margem da Arena é maior.</t>
        </is>
      </c>
      <c r="G24" s="3" t="inlineStr">
        <is>
          <t>Não</t>
        </is>
      </c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14.25" customHeight="1" s="65">
      <c r="A25" s="53" t="n"/>
      <c r="B25" s="3">
        <f>IF($C25="","",ROW()-4)</f>
        <v/>
      </c>
      <c r="C25" s="3" t="inlineStr">
        <is>
          <t xml:space="preserve">i253464@dac.unicamp.br
</t>
        </is>
      </c>
      <c r="D25" s="3" t="inlineStr">
        <is>
          <t>Isadora Kluge Dorigan</t>
        </is>
      </c>
      <c r="E25" s="53" t="n"/>
      <c r="F25" s="73" t="n"/>
      <c r="G25" s="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14.25" customHeight="1" s="65">
      <c r="A26" s="53" t="n"/>
      <c r="B26" s="3">
        <f>IF($C26="","",ROW()-4)</f>
        <v/>
      </c>
      <c r="C26" s="53" t="n"/>
      <c r="D26" s="53" t="n"/>
      <c r="E26" s="53" t="n"/>
      <c r="F26" s="73" t="n"/>
      <c r="G26" s="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14.25" customHeight="1" s="65">
      <c r="A27" s="53" t="n"/>
      <c r="B27" s="3">
        <f>IF($C27="","",ROW()-4)</f>
        <v/>
      </c>
      <c r="C27" s="53" t="n"/>
      <c r="D27" s="53" t="n"/>
      <c r="E27" s="53" t="n"/>
      <c r="F27" s="73" t="n"/>
      <c r="G27" s="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14.25" customHeight="1" s="65">
      <c r="A28" s="53" t="n"/>
      <c r="B28" s="3">
        <f>IF($C28="","",ROW()-4)</f>
        <v/>
      </c>
      <c r="C28" s="53" t="n"/>
      <c r="D28" s="53" t="n"/>
      <c r="E28" s="53" t="n"/>
      <c r="F28" s="73" t="n"/>
      <c r="G28" s="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14.25" customHeight="1" s="65">
      <c r="A29" s="53" t="n"/>
      <c r="B29" s="3">
        <f>IF($C29="","",ROW()-4)</f>
        <v/>
      </c>
      <c r="C29" s="53" t="n"/>
      <c r="D29" s="53" t="n"/>
      <c r="E29" s="53" t="n"/>
      <c r="F29" s="73" t="n"/>
      <c r="G29" s="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14.25" customHeight="1" s="65">
      <c r="A30" s="53" t="n"/>
      <c r="B30" s="3">
        <f>IF($C30="","",ROW()-4)</f>
        <v/>
      </c>
      <c r="C30" s="53" t="n"/>
      <c r="D30" s="53" t="n"/>
      <c r="E30" s="53" t="n"/>
      <c r="F30" s="73" t="n"/>
      <c r="G30" s="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14.25" customHeight="1" s="65">
      <c r="A31" s="53" t="n"/>
      <c r="B31" s="3">
        <f>IF($C31="","",ROW()-4)</f>
        <v/>
      </c>
      <c r="C31" s="53" t="n"/>
      <c r="D31" s="53" t="n"/>
      <c r="E31" s="53" t="n"/>
      <c r="F31" s="73" t="n"/>
      <c r="G31" s="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14.25" customHeight="1" s="65">
      <c r="A32" s="53" t="n"/>
      <c r="B32" s="3">
        <f>IF($C32="","",ROW()-4)</f>
        <v/>
      </c>
      <c r="C32" s="53" t="n"/>
      <c r="D32" s="53" t="n"/>
      <c r="E32" s="53" t="n"/>
      <c r="F32" s="73" t="n"/>
      <c r="G32" s="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14.25" customHeight="1" s="65">
      <c r="A33" s="53" t="n"/>
      <c r="B33" s="3">
        <f>IF($C33="","",ROW()-4)</f>
        <v/>
      </c>
      <c r="C33" s="53" t="n"/>
      <c r="D33" s="53" t="n"/>
      <c r="E33" s="53" t="n"/>
      <c r="F33" s="73" t="n"/>
      <c r="G33" s="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14.25" customHeight="1" s="65">
      <c r="A34" s="53" t="n"/>
      <c r="B34" s="3">
        <f>IF($C34="","",ROW()-4)</f>
        <v/>
      </c>
      <c r="C34" s="53" t="n"/>
      <c r="D34" s="53" t="n"/>
      <c r="E34" s="53" t="n"/>
      <c r="F34" s="73" t="n"/>
      <c r="G34" s="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14.25" customHeight="1" s="65">
      <c r="A35" s="53" t="n"/>
      <c r="B35" s="3">
        <f>IF($C35="","",ROW()-4)</f>
        <v/>
      </c>
      <c r="C35" s="53" t="n"/>
      <c r="D35" s="53" t="n"/>
      <c r="E35" s="53" t="n"/>
      <c r="F35" s="73" t="n"/>
      <c r="G35" s="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14.25" customHeight="1" s="65">
      <c r="A36" s="53" t="n"/>
      <c r="B36" s="3">
        <f>IF($C36="","",ROW()-4)</f>
        <v/>
      </c>
      <c r="C36" s="53" t="n"/>
      <c r="D36" s="53" t="n"/>
      <c r="E36" s="53" t="n"/>
      <c r="F36" s="73" t="n"/>
      <c r="G36" s="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14.25" customHeight="1" s="65">
      <c r="A37" s="53" t="n"/>
      <c r="B37" s="3">
        <f>IF($C37="","",ROW()-4)</f>
        <v/>
      </c>
      <c r="C37" s="53" t="n"/>
      <c r="D37" s="53" t="n"/>
      <c r="E37" s="53" t="n"/>
      <c r="F37" s="73" t="n"/>
      <c r="G37" s="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14.25" customHeight="1" s="65">
      <c r="A38" s="53" t="n"/>
      <c r="B38" s="3">
        <f>IF($C38="","",ROW()-4)</f>
        <v/>
      </c>
      <c r="C38" s="53" t="n"/>
      <c r="D38" s="53" t="n"/>
      <c r="E38" s="53" t="n"/>
      <c r="F38" s="73" t="n"/>
      <c r="G38" s="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14.25" customHeight="1" s="65">
      <c r="A39" s="53" t="n"/>
      <c r="B39" s="3">
        <f>IF($C39="","",ROW()-4)</f>
        <v/>
      </c>
      <c r="C39" s="53" t="n"/>
      <c r="D39" s="53" t="n"/>
      <c r="E39" s="53" t="n"/>
      <c r="F39" s="73" t="n"/>
      <c r="G39" s="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14.25" customHeight="1" s="65">
      <c r="A40" s="53" t="n"/>
      <c r="B40" s="3">
        <f>IF($C40="","",ROW()-4)</f>
        <v/>
      </c>
      <c r="C40" s="53" t="n"/>
      <c r="D40" s="53" t="n"/>
      <c r="E40" s="53" t="n"/>
      <c r="F40" s="73" t="n"/>
      <c r="G40" s="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14.25" customHeight="1" s="65">
      <c r="A41" s="53" t="n"/>
      <c r="B41" s="3">
        <f>IF($C41="","",ROW()-4)</f>
        <v/>
      </c>
      <c r="C41" s="53" t="n"/>
      <c r="D41" s="53" t="n"/>
      <c r="E41" s="53" t="n"/>
      <c r="F41" s="73" t="n"/>
      <c r="G41" s="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14.25" customHeight="1" s="65">
      <c r="A42" s="53" t="n"/>
      <c r="B42" s="3">
        <f>IF($C42="","",ROW()-4)</f>
        <v/>
      </c>
      <c r="C42" s="53" t="n"/>
      <c r="D42" s="53" t="n"/>
      <c r="E42" s="53" t="n"/>
      <c r="F42" s="73" t="n"/>
      <c r="G42" s="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14.25" customHeight="1" s="65">
      <c r="A43" s="53" t="n"/>
      <c r="B43" s="3">
        <f>IF($C43="","",ROW()-4)</f>
        <v/>
      </c>
      <c r="C43" s="53" t="n"/>
      <c r="D43" s="53" t="n"/>
      <c r="E43" s="53" t="n"/>
      <c r="F43" s="73" t="n"/>
      <c r="G43" s="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14.25" customHeight="1" s="65">
      <c r="A44" s="53" t="n"/>
      <c r="B44" s="3">
        <f>IF($C44="","",ROW()-4)</f>
        <v/>
      </c>
      <c r="C44" s="53" t="n"/>
      <c r="D44" s="53" t="n"/>
      <c r="E44" s="53" t="n"/>
      <c r="F44" s="73" t="n"/>
      <c r="G44" s="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14.25" customHeight="1" s="65">
      <c r="A45" s="53" t="n"/>
      <c r="B45" s="3">
        <f>IF($C45="","",ROW()-4)</f>
        <v/>
      </c>
      <c r="C45" s="53" t="n"/>
      <c r="D45" s="53" t="n"/>
      <c r="E45" s="53" t="n"/>
      <c r="F45" s="73" t="n"/>
      <c r="G45" s="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14.25" customHeight="1" s="65">
      <c r="A46" s="53" t="n"/>
      <c r="B46" s="3">
        <f>IF($C46="","",ROW()-4)</f>
        <v/>
      </c>
      <c r="C46" s="53" t="n"/>
      <c r="D46" s="53" t="n"/>
      <c r="E46" s="53" t="n"/>
      <c r="F46" s="73" t="n"/>
      <c r="G46" s="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14.25" customHeight="1" s="65">
      <c r="A47" s="53" t="n"/>
      <c r="B47" s="3">
        <f>IF($C47="","",ROW()-4)</f>
        <v/>
      </c>
      <c r="C47" s="53" t="n"/>
      <c r="D47" s="53" t="n"/>
      <c r="E47" s="53" t="n"/>
      <c r="F47" s="73" t="n"/>
      <c r="G47" s="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14.25" customHeight="1" s="65">
      <c r="A48" s="53" t="n"/>
      <c r="B48" s="3">
        <f>IF($C48="","",ROW()-4)</f>
        <v/>
      </c>
      <c r="C48" s="53" t="n"/>
      <c r="D48" s="53" t="n"/>
      <c r="E48" s="53" t="n"/>
      <c r="F48" s="73" t="n"/>
      <c r="G48" s="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14.25" customHeight="1" s="65">
      <c r="A49" s="53" t="n"/>
      <c r="B49" s="3">
        <f>IF($C49="","",ROW()-4)</f>
        <v/>
      </c>
      <c r="C49" s="53" t="n"/>
      <c r="D49" s="53" t="n"/>
      <c r="E49" s="53" t="n"/>
      <c r="F49" s="73" t="n"/>
      <c r="G49" s="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14.25" customHeight="1" s="65">
      <c r="A50" s="53" t="n"/>
      <c r="B50" s="3">
        <f>IF($C50="","",ROW()-4)</f>
        <v/>
      </c>
      <c r="C50" s="53" t="n"/>
      <c r="D50" s="53" t="n"/>
      <c r="E50" s="53" t="n"/>
      <c r="F50" s="73" t="n"/>
      <c r="G50" s="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14.25" customHeight="1" s="65">
      <c r="A51" s="53" t="n"/>
      <c r="B51" s="3">
        <f>IF($C51="","",ROW()-4)</f>
        <v/>
      </c>
      <c r="C51" s="53" t="n"/>
      <c r="D51" s="53" t="n"/>
      <c r="E51" s="53" t="n"/>
      <c r="F51" s="73" t="n"/>
      <c r="G51" s="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14.25" customHeight="1" s="65">
      <c r="A52" s="53" t="n"/>
      <c r="B52" s="3">
        <f>IF($C52="","",ROW()-4)</f>
        <v/>
      </c>
      <c r="C52" s="53" t="n"/>
      <c r="D52" s="53" t="n"/>
      <c r="E52" s="53" t="n"/>
      <c r="F52" s="73" t="n"/>
      <c r="G52" s="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14.25" customHeight="1" s="65">
      <c r="A53" s="53" t="n"/>
      <c r="B53" s="3">
        <f>IF($C53="","",ROW()-4)</f>
        <v/>
      </c>
      <c r="C53" s="53" t="n"/>
      <c r="D53" s="53" t="n"/>
      <c r="E53" s="53" t="n"/>
      <c r="F53" s="73" t="n"/>
      <c r="G53" s="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14.25" customHeight="1" s="65">
      <c r="A54" s="53" t="n"/>
      <c r="B54" s="3">
        <f>IF($C54="","",ROW()-4)</f>
        <v/>
      </c>
      <c r="C54" s="53" t="n"/>
      <c r="D54" s="53" t="n"/>
      <c r="E54" s="53" t="n"/>
      <c r="F54" s="73" t="n"/>
      <c r="G54" s="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14.25" customHeight="1" s="65">
      <c r="A55" s="53" t="n"/>
      <c r="B55" s="3">
        <f>IF($C55="","",ROW()-4)</f>
        <v/>
      </c>
      <c r="C55" s="53" t="n"/>
      <c r="D55" s="53" t="n"/>
      <c r="E55" s="53" t="n"/>
      <c r="F55" s="73" t="n"/>
      <c r="G55" s="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14.25" customHeight="1" s="65">
      <c r="A56" s="53" t="n"/>
      <c r="B56" s="3">
        <f>IF($C56="","",ROW()-4)</f>
        <v/>
      </c>
      <c r="C56" s="53" t="n"/>
      <c r="D56" s="53" t="n"/>
      <c r="E56" s="53" t="n"/>
      <c r="F56" s="73" t="n"/>
      <c r="G56" s="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14.25" customHeight="1" s="65">
      <c r="A57" s="53" t="n"/>
      <c r="B57" s="3">
        <f>IF($C57="","",ROW()-4)</f>
        <v/>
      </c>
      <c r="C57" s="53" t="n"/>
      <c r="D57" s="53" t="n"/>
      <c r="E57" s="53" t="n"/>
      <c r="F57" s="73" t="n"/>
      <c r="G57" s="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14.25" customHeight="1" s="65">
      <c r="A58" s="53" t="n"/>
      <c r="B58" s="3">
        <f>IF($C58="","",ROW()-4)</f>
        <v/>
      </c>
      <c r="C58" s="53" t="n"/>
      <c r="D58" s="53" t="n"/>
      <c r="E58" s="53" t="n"/>
      <c r="F58" s="73" t="n"/>
      <c r="G58" s="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14.25" customHeight="1" s="65">
      <c r="A59" s="53" t="n"/>
      <c r="B59" s="3">
        <f>IF($C59="","",ROW()-4)</f>
        <v/>
      </c>
      <c r="C59" s="53" t="n"/>
      <c r="D59" s="53" t="n"/>
      <c r="E59" s="53" t="n"/>
      <c r="F59" s="73" t="n"/>
      <c r="G59" s="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14.25" customHeight="1" s="65">
      <c r="A60" s="53" t="n"/>
      <c r="B60" s="3">
        <f>IF($C60="","",ROW()-4)</f>
        <v/>
      </c>
      <c r="C60" s="53" t="n"/>
      <c r="D60" s="53" t="n"/>
      <c r="E60" s="53" t="n"/>
      <c r="F60" s="73" t="n"/>
      <c r="G60" s="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14.25" customHeight="1" s="65">
      <c r="A61" s="53" t="n"/>
      <c r="B61" s="3">
        <f>IF($C61="","",ROW()-4)</f>
        <v/>
      </c>
      <c r="C61" s="53" t="n"/>
      <c r="D61" s="53" t="n"/>
      <c r="E61" s="53" t="n"/>
      <c r="F61" s="73" t="n"/>
      <c r="G61" s="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14.25" customHeight="1" s="65">
      <c r="A62" s="53" t="n"/>
      <c r="B62" s="3">
        <f>IF($C62="","",ROW()-4)</f>
        <v/>
      </c>
      <c r="C62" s="53" t="n"/>
      <c r="D62" s="53" t="n"/>
      <c r="E62" s="53" t="n"/>
      <c r="F62" s="73" t="n"/>
      <c r="G62" s="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14.25" customHeight="1" s="65">
      <c r="A63" s="53" t="n"/>
      <c r="B63" s="3">
        <f>IF($C63="","",ROW()-4)</f>
        <v/>
      </c>
      <c r="C63" s="53" t="n"/>
      <c r="D63" s="53" t="n"/>
      <c r="E63" s="53" t="n"/>
      <c r="F63" s="73" t="n"/>
      <c r="G63" s="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14.25" customHeight="1" s="65">
      <c r="A64" s="53" t="n"/>
      <c r="B64" s="3">
        <f>IF($C64="","",ROW()-4)</f>
        <v/>
      </c>
      <c r="C64" s="53" t="n"/>
      <c r="D64" s="53" t="n"/>
      <c r="E64" s="53" t="n"/>
      <c r="F64" s="73" t="n"/>
      <c r="G64" s="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14.25" customHeight="1" s="65">
      <c r="A65" s="53" t="n"/>
      <c r="B65" s="3">
        <f>IF($C65="","",ROW()-4)</f>
        <v/>
      </c>
      <c r="C65" s="53" t="n"/>
      <c r="D65" s="53" t="n"/>
      <c r="E65" s="53" t="n"/>
      <c r="F65" s="73" t="n"/>
      <c r="G65" s="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14.25" customHeight="1" s="65">
      <c r="A66" s="53" t="n"/>
      <c r="B66" s="3">
        <f>IF($C66="","",ROW()-4)</f>
        <v/>
      </c>
      <c r="C66" s="53" t="n"/>
      <c r="D66" s="53" t="n"/>
      <c r="E66" s="53" t="n"/>
      <c r="F66" s="73" t="n"/>
      <c r="G66" s="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14.25" customHeight="1" s="65">
      <c r="A67" s="53" t="n"/>
      <c r="B67" s="3">
        <f>IF($C67="","",ROW()-4)</f>
        <v/>
      </c>
      <c r="C67" s="53" t="n"/>
      <c r="D67" s="53" t="n"/>
      <c r="E67" s="53" t="n"/>
      <c r="F67" s="73" t="n"/>
      <c r="G67" s="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14.25" customHeight="1" s="65">
      <c r="A68" s="53" t="n"/>
      <c r="B68" s="3">
        <f>IF($C68="","",ROW()-4)</f>
        <v/>
      </c>
      <c r="C68" s="53" t="n"/>
      <c r="D68" s="53" t="n"/>
      <c r="E68" s="53" t="n"/>
      <c r="F68" s="73" t="n"/>
      <c r="G68" s="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14.25" customHeight="1" s="65">
      <c r="A69" s="53" t="n"/>
      <c r="B69" s="3">
        <f>IF($C69="","",ROW()-4)</f>
        <v/>
      </c>
      <c r="C69" s="53" t="n"/>
      <c r="D69" s="53" t="n"/>
      <c r="E69" s="53" t="n"/>
      <c r="F69" s="73" t="n"/>
      <c r="G69" s="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14.25" customHeight="1" s="65">
      <c r="A70" s="53" t="n"/>
      <c r="B70" s="3">
        <f>IF($C70="","",ROW()-4)</f>
        <v/>
      </c>
      <c r="C70" s="53" t="n"/>
      <c r="D70" s="53" t="n"/>
      <c r="E70" s="53" t="n"/>
      <c r="F70" s="73" t="n"/>
      <c r="G70" s="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14.25" customHeight="1" s="65">
      <c r="A71" s="53" t="n"/>
      <c r="B71" s="3">
        <f>IF($C71="","",ROW()-4)</f>
        <v/>
      </c>
      <c r="C71" s="53" t="n"/>
      <c r="D71" s="53" t="n"/>
      <c r="E71" s="53" t="n"/>
      <c r="F71" s="73" t="n"/>
      <c r="G71" s="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14.25" customHeight="1" s="65">
      <c r="A72" s="53" t="n"/>
      <c r="B72" s="3">
        <f>IF($C72="","",ROW()-4)</f>
        <v/>
      </c>
      <c r="C72" s="53" t="n"/>
      <c r="D72" s="53" t="n"/>
      <c r="E72" s="53" t="n"/>
      <c r="F72" s="73" t="n"/>
      <c r="G72" s="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14.25" customHeight="1" s="65">
      <c r="A73" s="53" t="n"/>
      <c r="B73" s="3">
        <f>IF($C73="","",ROW()-4)</f>
        <v/>
      </c>
      <c r="C73" s="53" t="n"/>
      <c r="D73" s="53" t="n"/>
      <c r="E73" s="53" t="n"/>
      <c r="F73" s="73" t="n"/>
      <c r="G73" s="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14.25" customHeight="1" s="65">
      <c r="A74" s="53" t="n"/>
      <c r="B74" s="3">
        <f>IF($C74="","",ROW()-4)</f>
        <v/>
      </c>
      <c r="C74" s="53" t="n"/>
      <c r="D74" s="53" t="n"/>
      <c r="E74" s="53" t="n"/>
      <c r="F74" s="73" t="n"/>
      <c r="G74" s="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14.25" customHeight="1" s="65">
      <c r="A75" s="53" t="n"/>
      <c r="B75" s="3">
        <f>IF($C75="","",ROW()-4)</f>
        <v/>
      </c>
      <c r="C75" s="53" t="n"/>
      <c r="D75" s="53" t="n"/>
      <c r="E75" s="53" t="n"/>
      <c r="F75" s="73" t="n"/>
      <c r="G75" s="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14.25" customHeight="1" s="65">
      <c r="A76" s="53" t="n"/>
      <c r="B76" s="3">
        <f>IF($C76="","",ROW()-4)</f>
        <v/>
      </c>
      <c r="C76" s="53" t="n"/>
      <c r="D76" s="53" t="n"/>
      <c r="E76" s="53" t="n"/>
      <c r="F76" s="73" t="n"/>
      <c r="G76" s="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14.25" customHeight="1" s="65">
      <c r="A77" s="53" t="n"/>
      <c r="B77" s="3">
        <f>IF($C77="","",ROW()-4)</f>
        <v/>
      </c>
      <c r="C77" s="53" t="n"/>
      <c r="D77" s="53" t="n"/>
      <c r="E77" s="53" t="n"/>
      <c r="F77" s="73" t="n"/>
      <c r="G77" s="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14.25" customHeight="1" s="65">
      <c r="A78" s="53" t="n"/>
      <c r="B78" s="3">
        <f>IF($C78="","",ROW()-4)</f>
        <v/>
      </c>
      <c r="C78" s="53" t="n"/>
      <c r="D78" s="53" t="n"/>
      <c r="E78" s="53" t="n"/>
      <c r="F78" s="73" t="n"/>
      <c r="G78" s="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14.25" customHeight="1" s="65">
      <c r="A79" s="53" t="n"/>
      <c r="B79" s="3">
        <f>IF($C79="","",ROW()-4)</f>
        <v/>
      </c>
      <c r="C79" s="53" t="n"/>
      <c r="D79" s="53" t="n"/>
      <c r="E79" s="53" t="n"/>
      <c r="F79" s="73" t="n"/>
      <c r="G79" s="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14.25" customHeight="1" s="65">
      <c r="A80" s="53" t="n"/>
      <c r="B80" s="3">
        <f>IF($C80="","",ROW()-4)</f>
        <v/>
      </c>
      <c r="C80" s="53" t="n"/>
      <c r="D80" s="53" t="n"/>
      <c r="E80" s="53" t="n"/>
      <c r="F80" s="73" t="n"/>
      <c r="G80" s="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14.25" customHeight="1" s="65">
      <c r="A81" s="53" t="n"/>
      <c r="B81" s="3">
        <f>IF($C81="","",ROW()-4)</f>
        <v/>
      </c>
      <c r="C81" s="53" t="n"/>
      <c r="D81" s="53" t="n"/>
      <c r="E81" s="53" t="n"/>
      <c r="F81" s="73" t="n"/>
      <c r="G81" s="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14.25" customHeight="1" s="65">
      <c r="A82" s="53" t="n"/>
      <c r="B82" s="3">
        <f>IF($C82="","",ROW()-4)</f>
        <v/>
      </c>
      <c r="C82" s="53" t="n"/>
      <c r="D82" s="53" t="n"/>
      <c r="E82" s="53" t="n"/>
      <c r="F82" s="73" t="n"/>
      <c r="G82" s="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14.25" customHeight="1" s="65">
      <c r="A83" s="53" t="n"/>
      <c r="B83" s="3">
        <f>IF($C83="","",ROW()-4)</f>
        <v/>
      </c>
      <c r="C83" s="53" t="n"/>
      <c r="D83" s="53" t="n"/>
      <c r="E83" s="53" t="n"/>
      <c r="F83" s="73" t="n"/>
      <c r="G83" s="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14.25" customHeight="1" s="65">
      <c r="A84" s="53" t="n"/>
      <c r="B84" s="3">
        <f>IF($C84="","",ROW()-4)</f>
        <v/>
      </c>
      <c r="C84" s="53" t="n"/>
      <c r="D84" s="53" t="n"/>
      <c r="E84" s="53" t="n"/>
      <c r="F84" s="73" t="n"/>
      <c r="G84" s="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14.25" customHeight="1" s="65">
      <c r="A85" s="53" t="n"/>
      <c r="B85" s="3">
        <f>IF($C85="","",ROW()-4)</f>
        <v/>
      </c>
      <c r="C85" s="53" t="n"/>
      <c r="D85" s="53" t="n"/>
      <c r="E85" s="53" t="n"/>
      <c r="F85" s="73" t="n"/>
      <c r="G85" s="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14.25" customHeight="1" s="65">
      <c r="A86" s="53" t="n"/>
      <c r="B86" s="3">
        <f>IF($C86="","",ROW()-4)</f>
        <v/>
      </c>
      <c r="C86" s="53" t="n"/>
      <c r="D86" s="53" t="n"/>
      <c r="E86" s="53" t="n"/>
      <c r="F86" s="73" t="n"/>
      <c r="G86" s="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14.25" customHeight="1" s="65">
      <c r="A87" s="53" t="n"/>
      <c r="B87" s="3">
        <f>IF($C87="","",ROW()-4)</f>
        <v/>
      </c>
      <c r="C87" s="53" t="n"/>
      <c r="D87" s="53" t="n"/>
      <c r="E87" s="53" t="n"/>
      <c r="F87" s="73" t="n"/>
      <c r="G87" s="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14.25" customHeight="1" s="65">
      <c r="A88" s="53" t="n"/>
      <c r="B88" s="3">
        <f>IF($C88="","",ROW()-4)</f>
        <v/>
      </c>
      <c r="C88" s="53" t="n"/>
      <c r="D88" s="53" t="n"/>
      <c r="E88" s="53" t="n"/>
      <c r="F88" s="73" t="n"/>
      <c r="G88" s="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14.25" customHeight="1" s="65">
      <c r="A89" s="53" t="n"/>
      <c r="B89" s="3">
        <f>IF($C89="","",ROW()-4)</f>
        <v/>
      </c>
      <c r="C89" s="53" t="n"/>
      <c r="D89" s="53" t="n"/>
      <c r="E89" s="53" t="n"/>
      <c r="F89" s="73" t="n"/>
      <c r="G89" s="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14.25" customHeight="1" s="65">
      <c r="A90" s="53" t="n"/>
      <c r="B90" s="3">
        <f>IF($C90="","",ROW()-4)</f>
        <v/>
      </c>
      <c r="C90" s="53" t="n"/>
      <c r="D90" s="53" t="n"/>
      <c r="E90" s="53" t="n"/>
      <c r="F90" s="73" t="n"/>
      <c r="G90" s="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14.25" customHeight="1" s="65">
      <c r="A91" s="53" t="n"/>
      <c r="B91" s="3">
        <f>IF($C91="","",ROW()-4)</f>
        <v/>
      </c>
      <c r="C91" s="53" t="n"/>
      <c r="D91" s="53" t="n"/>
      <c r="E91" s="53" t="n"/>
      <c r="F91" s="73" t="n"/>
      <c r="G91" s="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14.25" customHeight="1" s="65">
      <c r="A92" s="53" t="n"/>
      <c r="B92" s="3">
        <f>IF($C92="","",ROW()-4)</f>
        <v/>
      </c>
      <c r="C92" s="53" t="n"/>
      <c r="D92" s="53" t="n"/>
      <c r="E92" s="53" t="n"/>
      <c r="F92" s="73" t="n"/>
      <c r="G92" s="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14.25" customHeight="1" s="65">
      <c r="A93" s="53" t="n"/>
      <c r="B93" s="3">
        <f>IF($C93="","",ROW()-4)</f>
        <v/>
      </c>
      <c r="C93" s="53" t="n"/>
      <c r="D93" s="53" t="n"/>
      <c r="E93" s="53" t="n"/>
      <c r="F93" s="73" t="n"/>
      <c r="G93" s="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14.25" customHeight="1" s="65">
      <c r="A94" s="53" t="n"/>
      <c r="B94" s="3">
        <f>IF($C94="","",ROW()-4)</f>
        <v/>
      </c>
      <c r="C94" s="53" t="n"/>
      <c r="D94" s="53" t="n"/>
      <c r="E94" s="53" t="n"/>
      <c r="F94" s="73" t="n"/>
      <c r="G94" s="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14.25" customHeight="1" s="65">
      <c r="A95" s="53" t="n"/>
      <c r="B95" s="3">
        <f>IF($C95="","",ROW()-4)</f>
        <v/>
      </c>
      <c r="C95" s="53" t="n"/>
      <c r="D95" s="53" t="n"/>
      <c r="E95" s="53" t="n"/>
      <c r="F95" s="73" t="n"/>
      <c r="G95" s="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14.25" customHeight="1" s="65">
      <c r="A96" s="53" t="n"/>
      <c r="B96" s="3">
        <f>IF($C96="","",ROW()-4)</f>
        <v/>
      </c>
      <c r="C96" s="53" t="n"/>
      <c r="D96" s="53" t="n"/>
      <c r="E96" s="53" t="n"/>
      <c r="F96" s="73" t="n"/>
      <c r="G96" s="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14.25" customHeight="1" s="65">
      <c r="A97" s="53" t="n"/>
      <c r="B97" s="3">
        <f>IF($C97="","",ROW()-4)</f>
        <v/>
      </c>
      <c r="C97" s="53" t="n"/>
      <c r="D97" s="53" t="n"/>
      <c r="E97" s="53" t="n"/>
      <c r="F97" s="73" t="n"/>
      <c r="G97" s="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14.25" customHeight="1" s="65">
      <c r="A98" s="53" t="n"/>
      <c r="B98" s="3">
        <f>IF($C98="","",ROW()-4)</f>
        <v/>
      </c>
      <c r="C98" s="53" t="n"/>
      <c r="D98" s="53" t="n"/>
      <c r="E98" s="53" t="n"/>
      <c r="F98" s="73" t="n"/>
      <c r="G98" s="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14.25" customHeight="1" s="65">
      <c r="A99" s="53" t="n"/>
      <c r="B99" s="3">
        <f>IF($C99="","",ROW()-4)</f>
        <v/>
      </c>
      <c r="C99" s="53" t="n"/>
      <c r="D99" s="53" t="n"/>
      <c r="E99" s="53" t="n"/>
      <c r="F99" s="73" t="n"/>
      <c r="G99" s="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14.25" customHeight="1" s="65">
      <c r="A100" s="53" t="n"/>
      <c r="B100" s="3">
        <f>IF($C100="","",ROW()-4)</f>
        <v/>
      </c>
      <c r="C100" s="53" t="n"/>
      <c r="D100" s="53" t="n"/>
      <c r="E100" s="53" t="n"/>
      <c r="F100" s="73" t="n"/>
      <c r="G100" s="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14.25" customHeight="1" s="65">
      <c r="A101" s="53" t="n"/>
      <c r="B101" s="3">
        <f>IF($C101="","",ROW()-4)</f>
        <v/>
      </c>
      <c r="C101" s="53" t="n"/>
      <c r="D101" s="53" t="n"/>
      <c r="E101" s="53" t="n"/>
      <c r="F101" s="73" t="n"/>
      <c r="G101" s="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14.25" customHeight="1" s="65">
      <c r="A102" s="53" t="n"/>
      <c r="B102" s="3">
        <f>IF($C102="","",ROW()-4)</f>
        <v/>
      </c>
      <c r="C102" s="53" t="n"/>
      <c r="D102" s="53" t="n"/>
      <c r="E102" s="53" t="n"/>
      <c r="F102" s="73" t="n"/>
      <c r="G102" s="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14.25" customHeight="1" s="65">
      <c r="A103" s="53" t="n"/>
      <c r="B103" s="3">
        <f>IF($C103="","",ROW()-4)</f>
        <v/>
      </c>
      <c r="C103" s="53" t="n"/>
      <c r="D103" s="53" t="n"/>
      <c r="E103" s="53" t="n"/>
      <c r="F103" s="73" t="n"/>
      <c r="G103" s="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14.25" customHeight="1" s="65">
      <c r="A104" s="53" t="n"/>
      <c r="B104" s="3">
        <f>IF($C104="","",ROW()-4)</f>
        <v/>
      </c>
      <c r="C104" s="53" t="n"/>
      <c r="D104" s="53" t="n"/>
      <c r="E104" s="53" t="n"/>
      <c r="F104" s="73" t="n"/>
      <c r="G104" s="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14.25" customHeight="1" s="65">
      <c r="A105" s="53" t="n"/>
      <c r="B105" s="3">
        <f>IF($C105="","",ROW()-4)</f>
        <v/>
      </c>
      <c r="C105" s="53" t="n"/>
      <c r="D105" s="53" t="n"/>
      <c r="E105" s="53" t="n"/>
      <c r="F105" s="73" t="n"/>
      <c r="G105" s="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14.25" customHeight="1" s="65">
      <c r="A106" s="53" t="n"/>
      <c r="B106" s="3">
        <f>IF($C106="","",ROW()-4)</f>
        <v/>
      </c>
      <c r="C106" s="53" t="n"/>
      <c r="D106" s="53" t="n"/>
      <c r="E106" s="53" t="n"/>
      <c r="F106" s="73" t="n"/>
      <c r="G106" s="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14.25" customHeight="1" s="65">
      <c r="A107" s="53" t="n"/>
      <c r="B107" s="3">
        <f>IF($C107="","",ROW()-4)</f>
        <v/>
      </c>
      <c r="C107" s="53" t="n"/>
      <c r="D107" s="53" t="n"/>
      <c r="E107" s="53" t="n"/>
      <c r="F107" s="73" t="n"/>
      <c r="G107" s="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14.25" customHeight="1" s="65">
      <c r="A108" s="53" t="n"/>
      <c r="B108" s="3">
        <f>IF($C108="","",ROW()-4)</f>
        <v/>
      </c>
      <c r="C108" s="53" t="n"/>
      <c r="D108" s="53" t="n"/>
      <c r="E108" s="53" t="n"/>
      <c r="F108" s="73" t="n"/>
      <c r="G108" s="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14.25" customHeight="1" s="65">
      <c r="A109" s="53" t="n"/>
      <c r="B109" s="3">
        <f>IF($C109="","",ROW()-4)</f>
        <v/>
      </c>
      <c r="C109" s="53" t="n"/>
      <c r="D109" s="53" t="n"/>
      <c r="E109" s="53" t="n"/>
      <c r="F109" s="73" t="n"/>
      <c r="G109" s="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14.25" customHeight="1" s="65">
      <c r="A110" s="53" t="n"/>
      <c r="B110" s="3">
        <f>IF($C110="","",ROW()-4)</f>
        <v/>
      </c>
      <c r="C110" s="53" t="n"/>
      <c r="D110" s="53" t="n"/>
      <c r="E110" s="53" t="n"/>
      <c r="F110" s="73" t="n"/>
      <c r="G110" s="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14.25" customHeight="1" s="65">
      <c r="A111" s="53" t="n"/>
      <c r="B111" s="3">
        <f>IF($C111="","",ROW()-4)</f>
        <v/>
      </c>
      <c r="C111" s="53" t="n"/>
      <c r="D111" s="53" t="n"/>
      <c r="E111" s="53" t="n"/>
      <c r="F111" s="73" t="n"/>
      <c r="G111" s="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14.25" customHeight="1" s="65">
      <c r="A112" s="53" t="n"/>
      <c r="B112" s="3">
        <f>IF($C112="","",ROW()-4)</f>
        <v/>
      </c>
      <c r="C112" s="53" t="n"/>
      <c r="D112" s="53" t="n"/>
      <c r="E112" s="53" t="n"/>
      <c r="F112" s="73" t="n"/>
      <c r="G112" s="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14.25" customHeight="1" s="65">
      <c r="A113" s="53" t="n"/>
      <c r="B113" s="3">
        <f>IF($C113="","",ROW()-4)</f>
        <v/>
      </c>
      <c r="C113" s="53" t="n"/>
      <c r="D113" s="53" t="n"/>
      <c r="E113" s="53" t="n"/>
      <c r="F113" s="73" t="n"/>
      <c r="G113" s="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14.25" customHeight="1" s="65">
      <c r="A114" s="53" t="n"/>
      <c r="B114" s="3">
        <f>IF($C114="","",ROW()-4)</f>
        <v/>
      </c>
      <c r="C114" s="53" t="n"/>
      <c r="D114" s="53" t="n"/>
      <c r="E114" s="53" t="n"/>
      <c r="F114" s="73" t="n"/>
      <c r="G114" s="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14.25" customHeight="1" s="65">
      <c r="A115" s="53" t="n"/>
      <c r="B115" s="3">
        <f>IF($C115="","",ROW()-4)</f>
        <v/>
      </c>
      <c r="C115" s="53" t="n"/>
      <c r="D115" s="53" t="n"/>
      <c r="E115" s="53" t="n"/>
      <c r="F115" s="73" t="n"/>
      <c r="G115" s="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14.25" customHeight="1" s="65">
      <c r="A116" s="53" t="n"/>
      <c r="B116" s="3">
        <f>IF($C116="","",ROW()-4)</f>
        <v/>
      </c>
      <c r="C116" s="53" t="n"/>
      <c r="D116" s="53" t="n"/>
      <c r="E116" s="53" t="n"/>
      <c r="F116" s="73" t="n"/>
      <c r="G116" s="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14.25" customHeight="1" s="65">
      <c r="A117" s="53" t="n"/>
      <c r="B117" s="3">
        <f>IF($C117="","",ROW()-4)</f>
        <v/>
      </c>
      <c r="C117" s="53" t="n"/>
      <c r="D117" s="53" t="n"/>
      <c r="E117" s="53" t="n"/>
      <c r="F117" s="73" t="n"/>
      <c r="G117" s="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14.25" customHeight="1" s="65">
      <c r="A118" s="53" t="n"/>
      <c r="B118" s="3">
        <f>IF($C118="","",ROW()-4)</f>
        <v/>
      </c>
      <c r="C118" s="53" t="n"/>
      <c r="D118" s="53" t="n"/>
      <c r="E118" s="53" t="n"/>
      <c r="F118" s="73" t="n"/>
      <c r="G118" s="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14.25" customHeight="1" s="65">
      <c r="A119" s="53" t="n"/>
      <c r="B119" s="3">
        <f>IF($C119="","",ROW()-4)</f>
        <v/>
      </c>
      <c r="C119" s="53" t="n"/>
      <c r="D119" s="53" t="n"/>
      <c r="E119" s="53" t="n"/>
      <c r="F119" s="73" t="n"/>
      <c r="G119" s="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14.25" customHeight="1" s="65">
      <c r="A120" s="53" t="n"/>
      <c r="B120" s="3">
        <f>IF($C120="","",ROW()-4)</f>
        <v/>
      </c>
      <c r="C120" s="53" t="n"/>
      <c r="D120" s="53" t="n"/>
      <c r="E120" s="53" t="n"/>
      <c r="F120" s="73" t="n"/>
      <c r="G120" s="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14.25" customHeight="1" s="65">
      <c r="A121" s="53" t="n"/>
      <c r="B121" s="3">
        <f>IF($C121="","",ROW()-4)</f>
        <v/>
      </c>
      <c r="C121" s="53" t="n"/>
      <c r="D121" s="53" t="n"/>
      <c r="E121" s="53" t="n"/>
      <c r="F121" s="73" t="n"/>
      <c r="G121" s="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14.25" customHeight="1" s="65">
      <c r="A122" s="53" t="n"/>
      <c r="B122" s="3">
        <f>IF($C122="","",ROW()-4)</f>
        <v/>
      </c>
      <c r="C122" s="53" t="n"/>
      <c r="D122" s="53" t="n"/>
      <c r="E122" s="53" t="n"/>
      <c r="F122" s="73" t="n"/>
      <c r="G122" s="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14.25" customHeight="1" s="65">
      <c r="A123" s="53" t="n"/>
      <c r="B123" s="3">
        <f>IF($C123="","",ROW()-4)</f>
        <v/>
      </c>
      <c r="C123" s="53" t="n"/>
      <c r="D123" s="53" t="n"/>
      <c r="E123" s="53" t="n"/>
      <c r="F123" s="73" t="n"/>
      <c r="G123" s="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14.25" customHeight="1" s="65">
      <c r="A124" s="53" t="n"/>
      <c r="B124" s="3">
        <f>IF($C124="","",ROW()-4)</f>
        <v/>
      </c>
      <c r="C124" s="53" t="n"/>
      <c r="D124" s="53" t="n"/>
      <c r="E124" s="53" t="n"/>
      <c r="F124" s="73" t="n"/>
      <c r="G124" s="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14.25" customHeight="1" s="65">
      <c r="A125" s="53" t="n"/>
      <c r="B125" s="3">
        <f>IF($C125="","",ROW()-4)</f>
        <v/>
      </c>
      <c r="C125" s="53" t="n"/>
      <c r="D125" s="53" t="n"/>
      <c r="E125" s="53" t="n"/>
      <c r="F125" s="73" t="n"/>
      <c r="G125" s="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14.25" customHeight="1" s="65">
      <c r="A126" s="53" t="n"/>
      <c r="B126" s="3">
        <f>IF($C126="","",ROW()-4)</f>
        <v/>
      </c>
      <c r="C126" s="53" t="n"/>
      <c r="D126" s="53" t="n"/>
      <c r="E126" s="53" t="n"/>
      <c r="F126" s="73" t="n"/>
      <c r="G126" s="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14.25" customHeight="1" s="65">
      <c r="A127" s="53" t="n"/>
      <c r="B127" s="3">
        <f>IF($C127="","",ROW()-4)</f>
        <v/>
      </c>
      <c r="C127" s="53" t="n"/>
      <c r="D127" s="53" t="n"/>
      <c r="E127" s="53" t="n"/>
      <c r="F127" s="73" t="n"/>
      <c r="G127" s="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14.25" customHeight="1" s="65">
      <c r="A128" s="53" t="n"/>
      <c r="B128" s="3">
        <f>IF($C128="","",ROW()-4)</f>
        <v/>
      </c>
      <c r="C128" s="53" t="n"/>
      <c r="D128" s="53" t="n"/>
      <c r="E128" s="53" t="n"/>
      <c r="F128" s="73" t="n"/>
      <c r="G128" s="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14.25" customHeight="1" s="65">
      <c r="A129" s="53" t="n"/>
      <c r="B129" s="3">
        <f>IF($C129="","",ROW()-4)</f>
        <v/>
      </c>
      <c r="C129" s="53" t="n"/>
      <c r="D129" s="53" t="n"/>
      <c r="E129" s="53" t="n"/>
      <c r="F129" s="73" t="n"/>
      <c r="G129" s="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4.25" customHeight="1" s="65">
      <c r="A130" s="53" t="n"/>
      <c r="B130" s="3">
        <f>IF($C130="","",ROW()-4)</f>
        <v/>
      </c>
      <c r="C130" s="53" t="n"/>
      <c r="D130" s="53" t="n"/>
      <c r="E130" s="53" t="n"/>
      <c r="F130" s="73" t="n"/>
      <c r="G130" s="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4.25" customHeight="1" s="65">
      <c r="A131" s="53" t="n"/>
      <c r="B131" s="3">
        <f>IF($C131="","",ROW()-4)</f>
        <v/>
      </c>
      <c r="C131" s="53" t="n"/>
      <c r="D131" s="53" t="n"/>
      <c r="E131" s="53" t="n"/>
      <c r="F131" s="73" t="n"/>
      <c r="G131" s="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4.25" customHeight="1" s="65">
      <c r="A132" s="53" t="n"/>
      <c r="B132" s="3">
        <f>IF($C132="","",ROW()-4)</f>
        <v/>
      </c>
      <c r="C132" s="53" t="n"/>
      <c r="D132" s="53" t="n"/>
      <c r="E132" s="53" t="n"/>
      <c r="F132" s="73" t="n"/>
      <c r="G132" s="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4.25" customHeight="1" s="65">
      <c r="A133" s="53" t="n"/>
      <c r="B133" s="3">
        <f>IF($C133="","",ROW()-4)</f>
        <v/>
      </c>
      <c r="C133" s="53" t="n"/>
      <c r="D133" s="53" t="n"/>
      <c r="E133" s="53" t="n"/>
      <c r="F133" s="73" t="n"/>
      <c r="G133" s="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4.25" customHeight="1" s="65">
      <c r="A134" s="53" t="n"/>
      <c r="B134" s="3">
        <f>IF($C134="","",ROW()-4)</f>
        <v/>
      </c>
      <c r="C134" s="53" t="n"/>
      <c r="D134" s="53" t="n"/>
      <c r="E134" s="53" t="n"/>
      <c r="F134" s="73" t="n"/>
      <c r="G134" s="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4.25" customHeight="1" s="65">
      <c r="A135" s="53" t="n"/>
      <c r="B135" s="3">
        <f>IF($C135="","",ROW()-4)</f>
        <v/>
      </c>
      <c r="C135" s="53" t="n"/>
      <c r="D135" s="53" t="n"/>
      <c r="E135" s="53" t="n"/>
      <c r="F135" s="73" t="n"/>
      <c r="G135" s="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4.25" customHeight="1" s="65">
      <c r="A136" s="53" t="n"/>
      <c r="B136" s="3">
        <f>IF($C136="","",ROW()-4)</f>
        <v/>
      </c>
      <c r="C136" s="53" t="n"/>
      <c r="D136" s="53" t="n"/>
      <c r="E136" s="53" t="n"/>
      <c r="F136" s="73" t="n"/>
      <c r="G136" s="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4.25" customHeight="1" s="65">
      <c r="A137" s="53" t="n"/>
      <c r="B137" s="3">
        <f>IF($C137="","",ROW()-4)</f>
        <v/>
      </c>
      <c r="C137" s="53" t="n"/>
      <c r="D137" s="53" t="n"/>
      <c r="E137" s="53" t="n"/>
      <c r="F137" s="73" t="n"/>
      <c r="G137" s="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4.25" customHeight="1" s="65">
      <c r="A138" s="53" t="n"/>
      <c r="B138" s="3">
        <f>IF($C138="","",ROW()-4)</f>
        <v/>
      </c>
      <c r="C138" s="53" t="n"/>
      <c r="D138" s="53" t="n"/>
      <c r="E138" s="53" t="n"/>
      <c r="F138" s="73" t="n"/>
      <c r="G138" s="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4.25" customHeight="1" s="65">
      <c r="A139" s="53" t="n"/>
      <c r="B139" s="3">
        <f>IF($C139="","",ROW()-4)</f>
        <v/>
      </c>
      <c r="C139" s="53" t="n"/>
      <c r="D139" s="53" t="n"/>
      <c r="E139" s="53" t="n"/>
      <c r="F139" s="73" t="n"/>
      <c r="G139" s="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4.25" customHeight="1" s="65">
      <c r="A140" s="53" t="n"/>
      <c r="B140" s="3">
        <f>IF($C140="","",ROW()-4)</f>
        <v/>
      </c>
      <c r="C140" s="53" t="n"/>
      <c r="D140" s="53" t="n"/>
      <c r="E140" s="53" t="n"/>
      <c r="F140" s="73" t="n"/>
      <c r="G140" s="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4.25" customHeight="1" s="65">
      <c r="A141" s="53" t="n"/>
      <c r="B141" s="3">
        <f>IF($C141="","",ROW()-4)</f>
        <v/>
      </c>
      <c r="C141" s="53" t="n"/>
      <c r="D141" s="53" t="n"/>
      <c r="E141" s="53" t="n"/>
      <c r="F141" s="73" t="n"/>
      <c r="G141" s="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4.25" customHeight="1" s="65">
      <c r="A142" s="53" t="n"/>
      <c r="B142" s="3">
        <f>IF($C142="","",ROW()-4)</f>
        <v/>
      </c>
      <c r="C142" s="53" t="n"/>
      <c r="D142" s="53" t="n"/>
      <c r="E142" s="53" t="n"/>
      <c r="F142" s="73" t="n"/>
      <c r="G142" s="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4.25" customHeight="1" s="65">
      <c r="A143" s="53" t="n"/>
      <c r="B143" s="3">
        <f>IF($C143="","",ROW()-4)</f>
        <v/>
      </c>
      <c r="C143" s="53" t="n"/>
      <c r="D143" s="53" t="n"/>
      <c r="E143" s="53" t="n"/>
      <c r="F143" s="73" t="n"/>
      <c r="G143" s="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4.25" customHeight="1" s="65">
      <c r="A144" s="53" t="n"/>
      <c r="B144" s="3">
        <f>IF($C144="","",ROW()-4)</f>
        <v/>
      </c>
      <c r="C144" s="53" t="n"/>
      <c r="D144" s="53" t="n"/>
      <c r="E144" s="53" t="n"/>
      <c r="F144" s="73" t="n"/>
      <c r="G144" s="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4.25" customHeight="1" s="65">
      <c r="A145" s="53" t="n"/>
      <c r="B145" s="3">
        <f>IF($C145="","",ROW()-4)</f>
        <v/>
      </c>
      <c r="C145" s="53" t="n"/>
      <c r="D145" s="53" t="n"/>
      <c r="E145" s="53" t="n"/>
      <c r="F145" s="73" t="n"/>
      <c r="G145" s="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4.25" customHeight="1" s="65">
      <c r="A146" s="53" t="n"/>
      <c r="B146" s="3">
        <f>IF($C146="","",ROW()-4)</f>
        <v/>
      </c>
      <c r="C146" s="53" t="n"/>
      <c r="D146" s="53" t="n"/>
      <c r="E146" s="53" t="n"/>
      <c r="F146" s="73" t="n"/>
      <c r="G146" s="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4.25" customHeight="1" s="65">
      <c r="A147" s="53" t="n"/>
      <c r="B147" s="3">
        <f>IF($C147="","",ROW()-4)</f>
        <v/>
      </c>
      <c r="C147" s="53" t="n"/>
      <c r="D147" s="53" t="n"/>
      <c r="E147" s="53" t="n"/>
      <c r="F147" s="73" t="n"/>
      <c r="G147" s="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4.25" customHeight="1" s="65">
      <c r="A148" s="53" t="n"/>
      <c r="B148" s="3">
        <f>IF($C148="","",ROW()-4)</f>
        <v/>
      </c>
      <c r="C148" s="53" t="n"/>
      <c r="D148" s="53" t="n"/>
      <c r="E148" s="53" t="n"/>
      <c r="F148" s="73" t="n"/>
      <c r="G148" s="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4.25" customHeight="1" s="65">
      <c r="A149" s="53" t="n"/>
      <c r="B149" s="3">
        <f>IF($C149="","",ROW()-4)</f>
        <v/>
      </c>
      <c r="C149" s="53" t="n"/>
      <c r="D149" s="53" t="n"/>
      <c r="E149" s="53" t="n"/>
      <c r="F149" s="73" t="n"/>
      <c r="G149" s="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4.25" customHeight="1" s="65">
      <c r="A150" s="53" t="n"/>
      <c r="B150" s="3">
        <f>IF($C150="","",ROW()-4)</f>
        <v/>
      </c>
      <c r="C150" s="53" t="n"/>
      <c r="D150" s="53" t="n"/>
      <c r="E150" s="53" t="n"/>
      <c r="F150" s="73" t="n"/>
      <c r="G150" s="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4.25" customHeight="1" s="65">
      <c r="A151" s="53" t="n"/>
      <c r="B151" s="3">
        <f>IF($C151="","",ROW()-4)</f>
        <v/>
      </c>
      <c r="C151" s="53" t="n"/>
      <c r="D151" s="53" t="n"/>
      <c r="E151" s="53" t="n"/>
      <c r="F151" s="73" t="n"/>
      <c r="G151" s="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4.25" customHeight="1" s="65">
      <c r="A152" s="53" t="n"/>
      <c r="B152" s="3">
        <f>IF($C152="","",ROW()-4)</f>
        <v/>
      </c>
      <c r="C152" s="53" t="n"/>
      <c r="D152" s="53" t="n"/>
      <c r="E152" s="53" t="n"/>
      <c r="F152" s="73" t="n"/>
      <c r="G152" s="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4.25" customHeight="1" s="65">
      <c r="A153" s="53" t="n"/>
      <c r="B153" s="3">
        <f>IF($C153="","",ROW()-4)</f>
        <v/>
      </c>
      <c r="C153" s="53" t="n"/>
      <c r="D153" s="53" t="n"/>
      <c r="E153" s="53" t="n"/>
      <c r="F153" s="73" t="n"/>
      <c r="G153" s="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4.25" customHeight="1" s="65">
      <c r="A154" s="53" t="n"/>
      <c r="B154" s="3">
        <f>IF($C154="","",ROW()-4)</f>
        <v/>
      </c>
      <c r="C154" s="53" t="n"/>
      <c r="D154" s="53" t="n"/>
      <c r="E154" s="53" t="n"/>
      <c r="F154" s="73" t="n"/>
      <c r="G154" s="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4.25" customHeight="1" s="65">
      <c r="A155" s="53" t="n"/>
      <c r="B155" s="3">
        <f>IF($C155="","",ROW()-4)</f>
        <v/>
      </c>
      <c r="C155" s="53" t="n"/>
      <c r="D155" s="53" t="n"/>
      <c r="E155" s="53" t="n"/>
      <c r="F155" s="73" t="n"/>
      <c r="G155" s="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4.25" customHeight="1" s="65">
      <c r="A156" s="53" t="n"/>
      <c r="B156" s="3">
        <f>IF($C156="","",ROW()-4)</f>
        <v/>
      </c>
      <c r="C156" s="53" t="n"/>
      <c r="D156" s="53" t="n"/>
      <c r="E156" s="53" t="n"/>
      <c r="F156" s="73" t="n"/>
      <c r="G156" s="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4.25" customHeight="1" s="65">
      <c r="A157" s="53" t="n"/>
      <c r="B157" s="3">
        <f>IF($C157="","",ROW()-4)</f>
        <v/>
      </c>
      <c r="C157" s="53" t="n"/>
      <c r="D157" s="53" t="n"/>
      <c r="E157" s="53" t="n"/>
      <c r="F157" s="73" t="n"/>
      <c r="G157" s="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4.25" customHeight="1" s="65">
      <c r="A158" s="53" t="n"/>
      <c r="B158" s="3">
        <f>IF($C158="","",ROW()-4)</f>
        <v/>
      </c>
      <c r="C158" s="53" t="n"/>
      <c r="D158" s="53" t="n"/>
      <c r="E158" s="53" t="n"/>
      <c r="F158" s="73" t="n"/>
      <c r="G158" s="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4.25" customHeight="1" s="65">
      <c r="A159" s="53" t="n"/>
      <c r="B159" s="3">
        <f>IF($C159="","",ROW()-4)</f>
        <v/>
      </c>
      <c r="C159" s="53" t="n"/>
      <c r="D159" s="53" t="n"/>
      <c r="E159" s="53" t="n"/>
      <c r="F159" s="73" t="n"/>
      <c r="G159" s="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4.25" customHeight="1" s="65">
      <c r="A160" s="53" t="n"/>
      <c r="B160" s="3">
        <f>IF($C160="","",ROW()-4)</f>
        <v/>
      </c>
      <c r="C160" s="53" t="n"/>
      <c r="D160" s="53" t="n"/>
      <c r="E160" s="53" t="n"/>
      <c r="F160" s="73" t="n"/>
      <c r="G160" s="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4.25" customHeight="1" s="65">
      <c r="A161" s="53" t="n"/>
      <c r="B161" s="3">
        <f>IF($C161="","",ROW()-4)</f>
        <v/>
      </c>
      <c r="C161" s="53" t="n"/>
      <c r="D161" s="53" t="n"/>
      <c r="E161" s="53" t="n"/>
      <c r="F161" s="73" t="n"/>
      <c r="G161" s="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4.25" customHeight="1" s="65">
      <c r="A162" s="53" t="n"/>
      <c r="B162" s="3">
        <f>IF($C162="","",ROW()-4)</f>
        <v/>
      </c>
      <c r="C162" s="53" t="n"/>
      <c r="D162" s="53" t="n"/>
      <c r="E162" s="53" t="n"/>
      <c r="F162" s="73" t="n"/>
      <c r="G162" s="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4.25" customHeight="1" s="65">
      <c r="A163" s="53" t="n"/>
      <c r="B163" s="3">
        <f>IF($C163="","",ROW()-4)</f>
        <v/>
      </c>
      <c r="C163" s="53" t="n"/>
      <c r="D163" s="53" t="n"/>
      <c r="E163" s="53" t="n"/>
      <c r="F163" s="73" t="n"/>
      <c r="G163" s="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4.25" customHeight="1" s="65">
      <c r="A164" s="53" t="n"/>
      <c r="B164" s="3">
        <f>IF($C164="","",ROW()-4)</f>
        <v/>
      </c>
      <c r="C164" s="53" t="n"/>
      <c r="D164" s="53" t="n"/>
      <c r="E164" s="53" t="n"/>
      <c r="F164" s="73" t="n"/>
      <c r="G164" s="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4.25" customHeight="1" s="65">
      <c r="A165" s="53" t="n"/>
      <c r="B165" s="3">
        <f>IF($C165="","",ROW()-4)</f>
        <v/>
      </c>
      <c r="C165" s="53" t="n"/>
      <c r="D165" s="53" t="n"/>
      <c r="E165" s="53" t="n"/>
      <c r="F165" s="73" t="n"/>
      <c r="G165" s="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4.25" customHeight="1" s="65">
      <c r="A166" s="53" t="n"/>
      <c r="B166" s="3">
        <f>IF($C166="","",ROW()-4)</f>
        <v/>
      </c>
      <c r="C166" s="53" t="n"/>
      <c r="D166" s="53" t="n"/>
      <c r="E166" s="53" t="n"/>
      <c r="F166" s="73" t="n"/>
      <c r="G166" s="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4.25" customHeight="1" s="65">
      <c r="A167" s="53" t="n"/>
      <c r="B167" s="3">
        <f>IF($C167="","",ROW()-4)</f>
        <v/>
      </c>
      <c r="C167" s="53" t="n"/>
      <c r="D167" s="53" t="n"/>
      <c r="E167" s="53" t="n"/>
      <c r="F167" s="73" t="n"/>
      <c r="G167" s="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4.25" customHeight="1" s="65">
      <c r="A168" s="53" t="n"/>
      <c r="B168" s="3">
        <f>IF($C168="","",ROW()-4)</f>
        <v/>
      </c>
      <c r="C168" s="53" t="n"/>
      <c r="D168" s="53" t="n"/>
      <c r="E168" s="53" t="n"/>
      <c r="F168" s="73" t="n"/>
      <c r="G168" s="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4.25" customHeight="1" s="65">
      <c r="A169" s="53" t="n"/>
      <c r="B169" s="3">
        <f>IF($C169="","",ROW()-4)</f>
        <v/>
      </c>
      <c r="C169" s="53" t="n"/>
      <c r="D169" s="53" t="n"/>
      <c r="E169" s="53" t="n"/>
      <c r="F169" s="73" t="n"/>
      <c r="G169" s="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4.25" customHeight="1" s="65">
      <c r="A170" s="53" t="n"/>
      <c r="B170" s="3">
        <f>IF($C170="","",ROW()-4)</f>
        <v/>
      </c>
      <c r="C170" s="53" t="n"/>
      <c r="D170" s="53" t="n"/>
      <c r="E170" s="53" t="n"/>
      <c r="F170" s="73" t="n"/>
      <c r="G170" s="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4.25" customHeight="1" s="65">
      <c r="A171" s="53" t="n"/>
      <c r="B171" s="3">
        <f>IF($C171="","",ROW()-4)</f>
        <v/>
      </c>
      <c r="C171" s="53" t="n"/>
      <c r="D171" s="53" t="n"/>
      <c r="E171" s="53" t="n"/>
      <c r="F171" s="73" t="n"/>
      <c r="G171" s="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4.25" customHeight="1" s="65">
      <c r="A172" s="53" t="n"/>
      <c r="B172" s="3">
        <f>IF($C172="","",ROW()-4)</f>
        <v/>
      </c>
      <c r="C172" s="53" t="n"/>
      <c r="D172" s="53" t="n"/>
      <c r="E172" s="53" t="n"/>
      <c r="F172" s="73" t="n"/>
      <c r="G172" s="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4.25" customHeight="1" s="65">
      <c r="A173" s="53" t="n"/>
      <c r="B173" s="3">
        <f>IF($C173="","",ROW()-4)</f>
        <v/>
      </c>
      <c r="C173" s="53" t="n"/>
      <c r="D173" s="53" t="n"/>
      <c r="E173" s="53" t="n"/>
      <c r="F173" s="73" t="n"/>
      <c r="G173" s="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4.25" customHeight="1" s="65">
      <c r="A174" s="53" t="n"/>
      <c r="B174" s="3">
        <f>IF($C174="","",ROW()-4)</f>
        <v/>
      </c>
      <c r="C174" s="53" t="n"/>
      <c r="D174" s="53" t="n"/>
      <c r="E174" s="53" t="n"/>
      <c r="F174" s="73" t="n"/>
      <c r="G174" s="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4.25" customHeight="1" s="65">
      <c r="A175" s="53" t="n"/>
      <c r="B175" s="3">
        <f>IF($C175="","",ROW()-4)</f>
        <v/>
      </c>
      <c r="C175" s="53" t="n"/>
      <c r="D175" s="53" t="n"/>
      <c r="E175" s="53" t="n"/>
      <c r="F175" s="73" t="n"/>
      <c r="G175" s="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4.25" customHeight="1" s="65">
      <c r="A176" s="53" t="n"/>
      <c r="B176" s="3">
        <f>IF($C176="","",ROW()-4)</f>
        <v/>
      </c>
      <c r="C176" s="53" t="n"/>
      <c r="D176" s="53" t="n"/>
      <c r="E176" s="53" t="n"/>
      <c r="F176" s="73" t="n"/>
      <c r="G176" s="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4.25" customHeight="1" s="65">
      <c r="A177" s="53" t="n"/>
      <c r="B177" s="3">
        <f>IF($C177="","",ROW()-4)</f>
        <v/>
      </c>
      <c r="C177" s="53" t="n"/>
      <c r="D177" s="53" t="n"/>
      <c r="E177" s="53" t="n"/>
      <c r="F177" s="73" t="n"/>
      <c r="G177" s="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4.25" customHeight="1" s="65">
      <c r="A178" s="53" t="n"/>
      <c r="B178" s="3">
        <f>IF($C178="","",ROW()-4)</f>
        <v/>
      </c>
      <c r="C178" s="53" t="n"/>
      <c r="D178" s="53" t="n"/>
      <c r="E178" s="53" t="n"/>
      <c r="F178" s="73" t="n"/>
      <c r="G178" s="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4.25" customHeight="1" s="65">
      <c r="A179" s="53" t="n"/>
      <c r="B179" s="3">
        <f>IF($C179="","",ROW()-4)</f>
        <v/>
      </c>
      <c r="C179" s="53" t="n"/>
      <c r="D179" s="53" t="n"/>
      <c r="E179" s="53" t="n"/>
      <c r="F179" s="73" t="n"/>
      <c r="G179" s="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4.25" customHeight="1" s="65">
      <c r="A180" s="53" t="n"/>
      <c r="B180" s="3">
        <f>IF($C180="","",ROW()-4)</f>
        <v/>
      </c>
      <c r="C180" s="53" t="n"/>
      <c r="D180" s="53" t="n"/>
      <c r="E180" s="53" t="n"/>
      <c r="F180" s="73" t="n"/>
      <c r="G180" s="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4.25" customHeight="1" s="65">
      <c r="A181" s="53" t="n"/>
      <c r="B181" s="3">
        <f>IF($C181="","",ROW()-4)</f>
        <v/>
      </c>
      <c r="C181" s="53" t="n"/>
      <c r="D181" s="53" t="n"/>
      <c r="E181" s="53" t="n"/>
      <c r="F181" s="73" t="n"/>
      <c r="G181" s="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4.25" customHeight="1" s="65">
      <c r="A182" s="53" t="n"/>
      <c r="B182" s="3">
        <f>IF($C182="","",ROW()-4)</f>
        <v/>
      </c>
      <c r="C182" s="53" t="n"/>
      <c r="D182" s="53" t="n"/>
      <c r="E182" s="53" t="n"/>
      <c r="F182" s="73" t="n"/>
      <c r="G182" s="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4.25" customHeight="1" s="65">
      <c r="A183" s="53" t="n"/>
      <c r="B183" s="3">
        <f>IF($C183="","",ROW()-4)</f>
        <v/>
      </c>
      <c r="C183" s="53" t="n"/>
      <c r="D183" s="53" t="n"/>
      <c r="E183" s="53" t="n"/>
      <c r="F183" s="73" t="n"/>
      <c r="G183" s="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4.25" customHeight="1" s="65">
      <c r="A184" s="53" t="n"/>
      <c r="B184" s="3">
        <f>IF($C184="","",ROW()-4)</f>
        <v/>
      </c>
      <c r="C184" s="53" t="n"/>
      <c r="D184" s="53" t="n"/>
      <c r="E184" s="53" t="n"/>
      <c r="F184" s="73" t="n"/>
      <c r="G184" s="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4.25" customHeight="1" s="65">
      <c r="A185" s="53" t="n"/>
      <c r="B185" s="3">
        <f>IF($C185="","",ROW()-4)</f>
        <v/>
      </c>
      <c r="C185" s="53" t="n"/>
      <c r="D185" s="53" t="n"/>
      <c r="E185" s="53" t="n"/>
      <c r="F185" s="73" t="n"/>
      <c r="G185" s="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4.25" customHeight="1" s="65">
      <c r="A186" s="53" t="n"/>
      <c r="B186" s="3">
        <f>IF($C186="","",ROW()-4)</f>
        <v/>
      </c>
      <c r="C186" s="53" t="n"/>
      <c r="D186" s="53" t="n"/>
      <c r="E186" s="53" t="n"/>
      <c r="F186" s="73" t="n"/>
      <c r="G186" s="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4.25" customHeight="1" s="65">
      <c r="A187" s="53" t="n"/>
      <c r="B187" s="3">
        <f>IF($C187="","",ROW()-4)</f>
        <v/>
      </c>
      <c r="C187" s="53" t="n"/>
      <c r="D187" s="53" t="n"/>
      <c r="E187" s="53" t="n"/>
      <c r="F187" s="73" t="n"/>
      <c r="G187" s="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4.25" customHeight="1" s="65">
      <c r="A188" s="53" t="n"/>
      <c r="B188" s="3">
        <f>IF($C188="","",ROW()-4)</f>
        <v/>
      </c>
      <c r="C188" s="53" t="n"/>
      <c r="D188" s="53" t="n"/>
      <c r="E188" s="53" t="n"/>
      <c r="F188" s="73" t="n"/>
      <c r="G188" s="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4.25" customHeight="1" s="65">
      <c r="A189" s="53" t="n"/>
      <c r="B189" s="3">
        <f>IF($C189="","",ROW()-4)</f>
        <v/>
      </c>
      <c r="C189" s="53" t="n"/>
      <c r="D189" s="53" t="n"/>
      <c r="E189" s="53" t="n"/>
      <c r="F189" s="73" t="n"/>
      <c r="G189" s="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4.25" customHeight="1" s="65">
      <c r="A190" s="53" t="n"/>
      <c r="B190" s="3">
        <f>IF($C190="","",ROW()-4)</f>
        <v/>
      </c>
      <c r="C190" s="53" t="n"/>
      <c r="D190" s="53" t="n"/>
      <c r="E190" s="53" t="n"/>
      <c r="F190" s="73" t="n"/>
      <c r="G190" s="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4.25" customHeight="1" s="65">
      <c r="A191" s="53" t="n"/>
      <c r="B191" s="3">
        <f>IF($C191="","",ROW()-4)</f>
        <v/>
      </c>
      <c r="C191" s="53" t="n"/>
      <c r="D191" s="53" t="n"/>
      <c r="E191" s="53" t="n"/>
      <c r="F191" s="73" t="n"/>
      <c r="G191" s="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4.25" customHeight="1" s="65">
      <c r="A192" s="53" t="n"/>
      <c r="B192" s="3">
        <f>IF($C192="","",ROW()-4)</f>
        <v/>
      </c>
      <c r="C192" s="53" t="n"/>
      <c r="D192" s="53" t="n"/>
      <c r="E192" s="53" t="n"/>
      <c r="F192" s="73" t="n"/>
      <c r="G192" s="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4.25" customHeight="1" s="65">
      <c r="A193" s="53" t="n"/>
      <c r="B193" s="3">
        <f>IF($C193="","",ROW()-4)</f>
        <v/>
      </c>
      <c r="C193" s="53" t="n"/>
      <c r="D193" s="53" t="n"/>
      <c r="E193" s="53" t="n"/>
      <c r="F193" s="73" t="n"/>
      <c r="G193" s="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4.25" customHeight="1" s="65">
      <c r="A194" s="53" t="n"/>
      <c r="B194" s="3">
        <f>IF($C194="","",ROW()-4)</f>
        <v/>
      </c>
      <c r="C194" s="53" t="n"/>
      <c r="D194" s="53" t="n"/>
      <c r="E194" s="53" t="n"/>
      <c r="F194" s="73" t="n"/>
      <c r="G194" s="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4.25" customHeight="1" s="65">
      <c r="A195" s="53" t="n"/>
      <c r="B195" s="3">
        <f>IF($C195="","",ROW()-4)</f>
        <v/>
      </c>
      <c r="C195" s="53" t="n"/>
      <c r="D195" s="53" t="n"/>
      <c r="E195" s="53" t="n"/>
      <c r="F195" s="73" t="n"/>
      <c r="G195" s="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4.25" customHeight="1" s="65">
      <c r="A196" s="53" t="n"/>
      <c r="B196" s="3">
        <f>IF($C196="","",ROW()-4)</f>
        <v/>
      </c>
      <c r="C196" s="53" t="n"/>
      <c r="D196" s="53" t="n"/>
      <c r="E196" s="53" t="n"/>
      <c r="F196" s="73" t="n"/>
      <c r="G196" s="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4.25" customHeight="1" s="65">
      <c r="A197" s="53" t="n"/>
      <c r="B197" s="3">
        <f>IF($C197="","",ROW()-4)</f>
        <v/>
      </c>
      <c r="C197" s="53" t="n"/>
      <c r="D197" s="53" t="n"/>
      <c r="E197" s="53" t="n"/>
      <c r="F197" s="73" t="n"/>
      <c r="G197" s="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4.25" customHeight="1" s="65">
      <c r="A198" s="53" t="n"/>
      <c r="B198" s="3">
        <f>IF($C198="","",ROW()-4)</f>
        <v/>
      </c>
      <c r="C198" s="53" t="n"/>
      <c r="D198" s="53" t="n"/>
      <c r="E198" s="53" t="n"/>
      <c r="F198" s="73" t="n"/>
      <c r="G198" s="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4.25" customHeight="1" s="65">
      <c r="A199" s="53" t="n"/>
      <c r="B199" s="3">
        <f>IF($C199="","",ROW()-4)</f>
        <v/>
      </c>
      <c r="C199" s="53" t="n"/>
      <c r="D199" s="53" t="n"/>
      <c r="E199" s="53" t="n"/>
      <c r="F199" s="73" t="n"/>
      <c r="G199" s="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4.25" customHeight="1" s="65">
      <c r="A200" s="53" t="n"/>
      <c r="B200" s="3">
        <f>IF($C200="","",ROW()-4)</f>
        <v/>
      </c>
      <c r="C200" s="53" t="n"/>
      <c r="D200" s="53" t="n"/>
      <c r="E200" s="53" t="n"/>
      <c r="F200" s="73" t="n"/>
      <c r="G200" s="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4.25" customHeight="1" s="65">
      <c r="A201" s="53" t="n"/>
      <c r="B201" s="3">
        <f>IF($C201="","",ROW()-4)</f>
        <v/>
      </c>
      <c r="C201" s="53" t="n"/>
      <c r="D201" s="53" t="n"/>
      <c r="E201" s="53" t="n"/>
      <c r="F201" s="73" t="n"/>
      <c r="G201" s="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4.25" customHeight="1" s="65">
      <c r="A202" s="53" t="n"/>
      <c r="B202" s="3">
        <f>IF($C202="","",ROW()-4)</f>
        <v/>
      </c>
      <c r="C202" s="53" t="n"/>
      <c r="D202" s="53" t="n"/>
      <c r="E202" s="53" t="n"/>
      <c r="F202" s="73" t="n"/>
      <c r="G202" s="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4.25" customHeight="1" s="65">
      <c r="A203" s="53" t="n"/>
      <c r="B203" s="3">
        <f>IF($C203="","",ROW()-4)</f>
        <v/>
      </c>
      <c r="C203" s="53" t="n"/>
      <c r="D203" s="53" t="n"/>
      <c r="E203" s="53" t="n"/>
      <c r="F203" s="73" t="n"/>
      <c r="G203" s="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4.25" customHeight="1" s="65">
      <c r="A204" s="53" t="n"/>
      <c r="B204" s="3">
        <f>IF($C204="","",ROW()-4)</f>
        <v/>
      </c>
      <c r="C204" s="53" t="n"/>
      <c r="D204" s="53" t="n"/>
      <c r="E204" s="53" t="n"/>
      <c r="F204" s="73" t="n"/>
      <c r="G204" s="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4.25" customHeight="1" s="6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4.25" customHeight="1" s="65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4.25" customHeight="1" s="65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4.25" customHeight="1" s="65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4.25" customHeight="1" s="65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4.25" customHeight="1" s="65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4.25" customHeight="1" s="65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4.25" customHeight="1" s="65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4.25" customHeight="1" s="65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4.25" customHeight="1" s="65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4.25" customHeight="1" s="6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4.25" customHeight="1" s="65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4.25" customHeight="1" s="65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4.25" customHeight="1" s="65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4.25" customHeight="1" s="65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4.25" customHeight="1" s="65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4.25" customHeight="1" s="65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4.25" customHeight="1" s="65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4.25" customHeight="1" s="65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4.25" customHeight="1" s="65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4.25" customHeight="1" s="6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4.25" customHeight="1" s="65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4.25" customHeight="1" s="65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4.25" customHeight="1" s="65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4.25" customHeight="1" s="65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4.25" customHeight="1" s="65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4.25" customHeight="1" s="65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4.25" customHeight="1" s="65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4.25" customHeight="1" s="65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4.25" customHeight="1" s="65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4.25" customHeight="1" s="6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4.25" customHeight="1" s="65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4.25" customHeight="1" s="65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4.25" customHeight="1" s="65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4.25" customHeight="1" s="65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4.25" customHeight="1" s="65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4.25" customHeight="1" s="65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4.25" customHeight="1" s="65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4.25" customHeight="1" s="65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4.25" customHeight="1" s="65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4.25" customHeight="1" s="6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4.25" customHeight="1" s="65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4.25" customHeight="1" s="65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4.25" customHeight="1" s="65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4.25" customHeight="1" s="65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4.25" customHeight="1" s="65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4.25" customHeight="1" s="65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4.25" customHeight="1" s="65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4.25" customHeight="1" s="65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4.25" customHeight="1" s="65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4.25" customHeight="1" s="6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4.25" customHeight="1" s="65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4.25" customHeight="1" s="65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4.25" customHeight="1" s="65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4.25" customHeight="1" s="65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4.25" customHeight="1" s="65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4.25" customHeight="1" s="65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4.25" customHeight="1" s="65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4.25" customHeight="1" s="65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4.25" customHeight="1" s="65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4.25" customHeight="1" s="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4.25" customHeight="1" s="65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4.25" customHeight="1" s="65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4.25" customHeight="1" s="65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4.25" customHeight="1" s="65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4.25" customHeight="1" s="65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4.25" customHeight="1" s="65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4.25" customHeight="1" s="65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4.25" customHeight="1" s="65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4.25" customHeight="1" s="65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4.25" customHeight="1" s="6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4.25" customHeight="1" s="65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4.25" customHeight="1" s="65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4.25" customHeight="1" s="65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4.25" customHeight="1" s="65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4.25" customHeight="1" s="65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4.25" customHeight="1" s="65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4.25" customHeight="1" s="65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4.25" customHeight="1" s="65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4.25" customHeight="1" s="65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4.25" customHeight="1" s="6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4.25" customHeight="1" s="65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4.25" customHeight="1" s="65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4.25" customHeight="1" s="65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4.25" customHeight="1" s="65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4.25" customHeight="1" s="65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4.25" customHeight="1" s="65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4.25" customHeight="1" s="65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4.25" customHeight="1" s="65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4.25" customHeight="1" s="65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4.25" customHeight="1" s="6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4.25" customHeight="1" s="65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4.25" customHeight="1" s="65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4.25" customHeight="1" s="65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4.25" customHeight="1" s="65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4.25" customHeight="1" s="65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4.25" customHeight="1" s="65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4.25" customHeight="1" s="65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4.25" customHeight="1" s="65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4.25" customHeight="1" s="65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4.25" customHeight="1" s="6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4.25" customHeight="1" s="65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4.25" customHeight="1" s="65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4.25" customHeight="1" s="65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4.25" customHeight="1" s="65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4.25" customHeight="1" s="65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4.25" customHeight="1" s="65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4.25" customHeight="1" s="65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4.25" customHeight="1" s="65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4.25" customHeight="1" s="65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4.25" customHeight="1" s="6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4.25" customHeight="1" s="65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4.25" customHeight="1" s="65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4.25" customHeight="1" s="65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4.25" customHeight="1" s="65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4.25" customHeight="1" s="65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4.25" customHeight="1" s="65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4.25" customHeight="1" s="65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4.25" customHeight="1" s="65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4.25" customHeight="1" s="65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4.25" customHeight="1" s="6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4.25" customHeight="1" s="65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4.25" customHeight="1" s="65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4.25" customHeight="1" s="65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4.25" customHeight="1" s="65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4.25" customHeight="1" s="65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4.25" customHeight="1" s="65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4.25" customHeight="1" s="65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4.25" customHeight="1" s="65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4.25" customHeight="1" s="65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4.25" customHeight="1" s="6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4.25" customHeight="1" s="65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4.25" customHeight="1" s="65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4.25" customHeight="1" s="65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4.25" customHeight="1" s="65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4.25" customHeight="1" s="65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4.25" customHeight="1" s="65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4.25" customHeight="1" s="65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4.25" customHeight="1" s="65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4.25" customHeight="1" s="65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4.25" customHeight="1" s="6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4.25" customHeight="1" s="65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4.25" customHeight="1" s="65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4.25" customHeight="1" s="65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4.25" customHeight="1" s="65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4.25" customHeight="1" s="65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4.25" customHeight="1" s="65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4.25" customHeight="1" s="65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4.25" customHeight="1" s="65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4.25" customHeight="1" s="65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4.25" customHeight="1" s="6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4.25" customHeight="1" s="65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4.25" customHeight="1" s="65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4.25" customHeight="1" s="65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4.25" customHeight="1" s="65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4.25" customHeight="1" s="65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4.25" customHeight="1" s="65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4.25" customHeight="1" s="65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4.25" customHeight="1" s="65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4.25" customHeight="1" s="65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4.25" customHeight="1" s="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4.25" customHeight="1" s="65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4.25" customHeight="1" s="65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4.25" customHeight="1" s="65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4.25" customHeight="1" s="65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4.25" customHeight="1" s="65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4.25" customHeight="1" s="65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4.25" customHeight="1" s="65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4.25" customHeight="1" s="65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4.25" customHeight="1" s="65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4.25" customHeight="1" s="6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4.25" customHeight="1" s="65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4.25" customHeight="1" s="65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4.25" customHeight="1" s="65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4.25" customHeight="1" s="65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4.25" customHeight="1" s="65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4.25" customHeight="1" s="65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4.25" customHeight="1" s="65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4.25" customHeight="1" s="65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4.25" customHeight="1" s="65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4.25" customHeight="1" s="6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4.25" customHeight="1" s="65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4.25" customHeight="1" s="65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4.25" customHeight="1" s="65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4.25" customHeight="1" s="65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4.25" customHeight="1" s="65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4.25" customHeight="1" s="65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4.25" customHeight="1" s="65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4.25" customHeight="1" s="65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4.25" customHeight="1" s="65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4.25" customHeight="1" s="6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4.25" customHeight="1" s="65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4.25" customHeight="1" s="65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4.25" customHeight="1" s="65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4.25" customHeight="1" s="65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4.25" customHeight="1" s="65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4.25" customHeight="1" s="65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4.25" customHeight="1" s="65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4.25" customHeight="1" s="65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4.25" customHeight="1" s="65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6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65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65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65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65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65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65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65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65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65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6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65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65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65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65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65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65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65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65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65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6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65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65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65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65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65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65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65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65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65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6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65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65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65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65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65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65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65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65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65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6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65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65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65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65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65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65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65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65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65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6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65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65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65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65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65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65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65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65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65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65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65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65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65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65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65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65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65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65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6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65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65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65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65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65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65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65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65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65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6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65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65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65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65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65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65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65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65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65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6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65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65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65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65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65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65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65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65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65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6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65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65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65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65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65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65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65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65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65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6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65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65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65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65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65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65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65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65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65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6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65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65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65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65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65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65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65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65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65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6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65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65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65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65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65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65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65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65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65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6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65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65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65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65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65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65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65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65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65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6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65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65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65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65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65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65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65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65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65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65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65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65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65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65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65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65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65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65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6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65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65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65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65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65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65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65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65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65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6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65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65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65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65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65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65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65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65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65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6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65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65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65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65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65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65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65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65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65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6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65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65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65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65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65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65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65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65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65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6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65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65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65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65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65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65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65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65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65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6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65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65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65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65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65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65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65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65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65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6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65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65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65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65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65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65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65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65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65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6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65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65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65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65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65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65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65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65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65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6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65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65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65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65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65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65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65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65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65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65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65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65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65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65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65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65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65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65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6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65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65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65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65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65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65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65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65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65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6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65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65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65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65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65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65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65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65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65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6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65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65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65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65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65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65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65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65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65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6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65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65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65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65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65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65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65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65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65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6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65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65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65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65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65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65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65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65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65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6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65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65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65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65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65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65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65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65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65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6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65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65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65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65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65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65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65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65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65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6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65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65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65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65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65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65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65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65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65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6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65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65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65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65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65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65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65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65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65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65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65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65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65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65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65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65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65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65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6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65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65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65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65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65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65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65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65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65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6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65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65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65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65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65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65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65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65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65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6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65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65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65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65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65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65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65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65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65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6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65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65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65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65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65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65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65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65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65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6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65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65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65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65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65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65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65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65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65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6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65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65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65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65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65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65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65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65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65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6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65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65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65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65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65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65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65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65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65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6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65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65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65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65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65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65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65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65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65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6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65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65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65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65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65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65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65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65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65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65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65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65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65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65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65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65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65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65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6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65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65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65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65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65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65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65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65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65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6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65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65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65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65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65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65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65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65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65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6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65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65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65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65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65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65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65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65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65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6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65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65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65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65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65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65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65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65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65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6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65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65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65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65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65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65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65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65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65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6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65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65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65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65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65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65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65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65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65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6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65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65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65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65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65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65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65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65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65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6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65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65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65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65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65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65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65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65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65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6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65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65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65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65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65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65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65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65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65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65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65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65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65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65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65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65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65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65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6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65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65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65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65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65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65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65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65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65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6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65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65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65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65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65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65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65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65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65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6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65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65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65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65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65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</sheetData>
  <mergeCells count="1">
    <mergeCell ref="B2:G2"/>
  </mergeCells>
  <dataValidations count="1">
    <dataValidation sqref="G5:G204" showDropDown="0" showInputMessage="0" showErrorMessage="0" allowBlank="1" type="list">
      <formula1>"Sim,Passaria para ver a entrevista,Não"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2026-08-26T21:11:12Z</dcterms:created>
  <dcterms:modified xsi:type="dcterms:W3CDTF">2026-09-21T07:50:30Z</dcterms:modified>
</cp:coreProperties>
</file>