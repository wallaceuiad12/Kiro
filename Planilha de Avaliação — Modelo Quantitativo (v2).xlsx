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mo usar" sheetId="1" state="visible" r:id="rId1"/>
    <sheet name="Base avaliação" sheetId="2" state="visible" r:id="rId2"/>
    <sheet name="Avaliação" sheetId="3" state="visible" r:id="rId3"/>
    <sheet name="Quem corrige" sheetId="4" state="visible" r:id="rId4"/>
    <sheet name="Consolidado" sheetId="5" state="visible" r:id="rId5"/>
    <sheet name="Entrevista" sheetId="6" state="visible" r:id="rId6"/>
    <sheet name="Gabarito" sheetId="7" state="visible" r:id="rId7"/>
    <sheet name="Comentários" sheetId="8" state="visible" r:id="rId8"/>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9">
    <font>
      <name val="Calibri"/>
      <color theme="1"/>
      <sz val="11"/>
      <scheme val="minor"/>
    </font>
    <font>
      <name val="Calibri"/>
      <color theme="1"/>
      <sz val="11"/>
    </font>
    <font>
      <name val="Calibri"/>
      <b val="1"/>
      <color theme="1"/>
    </font>
    <font>
      <name val="Calibri"/>
      <color theme="1"/>
    </font>
    <font>
      <name val="Calibri"/>
      <b val="1"/>
      <color rgb="FFFFFFFF"/>
      <sz val="14"/>
    </font>
    <font>
      <name val="Calibri"/>
      <b val="1"/>
      <color rgb="FFFFFFFF"/>
      <sz val="13"/>
    </font>
    <font/>
    <font>
      <name val="Calibri"/>
      <b val="1"/>
      <color rgb="FFFFFFFF"/>
      <sz val="12"/>
    </font>
    <font>
      <name val="Calibri"/>
      <b val="1"/>
      <color rgb="FFFFFFFF"/>
      <sz val="11"/>
    </font>
    <font>
      <name val="Calibri"/>
      <b val="1"/>
      <color rgb="FFC1272D"/>
      <sz val="10"/>
    </font>
    <font>
      <name val="Calibri"/>
      <color theme="1"/>
      <sz val="10"/>
    </font>
    <font>
      <name val="Calibri"/>
      <b val="1"/>
      <color rgb="FFC1272D"/>
      <sz val="11"/>
    </font>
    <font>
      <name val="Calibri"/>
      <b val="1"/>
      <color rgb="FFFFFFFF"/>
    </font>
    <font>
      <name val="Calibri"/>
      <b val="1"/>
      <color theme="1"/>
      <sz val="10"/>
    </font>
    <font>
      <name val="Calibri"/>
      <i val="1"/>
      <color rgb="FF7A8496"/>
      <sz val="9"/>
    </font>
    <font>
      <name val="Calibri"/>
      <b val="1"/>
      <color rgb="FF000000"/>
      <sz val="10"/>
    </font>
    <font>
      <name val="Calibri"/>
      <b val="1"/>
      <color rgb="FF38761D"/>
      <sz val="11"/>
    </font>
    <font>
      <name val="Calibri"/>
      <b val="1"/>
      <color rgb="FF7F6000"/>
      <sz val="11"/>
    </font>
    <font>
      <name val="Calibri"/>
      <b val="1"/>
      <color rgb="FFFFFFFF"/>
      <sz val="9"/>
    </font>
    <font>
      <name val="Calibri"/>
      <b val="1"/>
      <color rgb="FFB45F06"/>
      <sz val="11"/>
    </font>
    <font>
      <name val="Calibri"/>
      <b val="1"/>
      <color rgb="FF000000"/>
      <sz val="9"/>
    </font>
    <font>
      <name val="Calibri"/>
      <b val="1"/>
      <i val="1"/>
      <color rgb="FF6B7280"/>
      <sz val="11"/>
    </font>
    <font>
      <name val="Calibri"/>
      <b val="1"/>
      <i val="1"/>
      <color rgb="FFC1272D"/>
      <sz val="9"/>
    </font>
    <font>
      <name val="Calibri"/>
      <color rgb="FF6B7280"/>
      <sz val="9"/>
    </font>
    <font>
      <name val="Calibri"/>
      <b val="1"/>
      <color rgb="FFC1272D"/>
      <sz val="9"/>
    </font>
    <font>
      <name val="Calibri"/>
      <color rgb="FF595959"/>
      <sz val="9"/>
    </font>
    <font>
      <name val="Calibri"/>
      <b val="1"/>
      <color theme="1"/>
      <sz val="11"/>
    </font>
    <font>
      <name val="Calibri"/>
      <i val="1"/>
      <color rgb="FF595959"/>
      <sz val="9"/>
    </font>
    <font>
      <name val="Consolas"/>
      <color theme="1"/>
      <sz val="10"/>
    </font>
  </fonts>
  <fills count="16">
    <fill>
      <patternFill/>
    </fill>
    <fill>
      <patternFill patternType="lightGray"/>
    </fill>
    <fill>
      <patternFill patternType="solid">
        <fgColor rgb="FFFF0000"/>
        <bgColor rgb="FFFF0000"/>
      </patternFill>
    </fill>
    <fill>
      <patternFill patternType="solid">
        <fgColor rgb="FF000000"/>
        <bgColor rgb="FF000000"/>
      </patternFill>
    </fill>
    <fill>
      <patternFill patternType="solid">
        <fgColor rgb="FFC1272D"/>
        <bgColor rgb="FFC1272D"/>
      </patternFill>
    </fill>
    <fill>
      <patternFill patternType="solid">
        <fgColor rgb="FFF4CCCC"/>
        <bgColor rgb="FFF4CCCC"/>
      </patternFill>
    </fill>
    <fill>
      <patternFill patternType="solid">
        <fgColor rgb="FFEFEFEF"/>
        <bgColor rgb="FFEFEFEF"/>
      </patternFill>
    </fill>
    <fill>
      <patternFill patternType="solid">
        <fgColor rgb="FF00FF00"/>
        <bgColor rgb="FF00FF00"/>
      </patternFill>
    </fill>
    <fill>
      <patternFill patternType="solid">
        <fgColor rgb="FFFFF2CC"/>
        <bgColor rgb="FFFFF2CC"/>
      </patternFill>
    </fill>
    <fill>
      <patternFill patternType="solid">
        <fgColor rgb="FFB6D7A8"/>
        <bgColor rgb="FFB6D7A8"/>
      </patternFill>
    </fill>
    <fill>
      <patternFill patternType="solid">
        <fgColor rgb="FFB7B7B7"/>
        <bgColor rgb="FFB7B7B7"/>
      </patternFill>
    </fill>
    <fill>
      <patternFill patternType="solid">
        <fgColor rgb="FF999999"/>
        <bgColor rgb="FF999999"/>
      </patternFill>
    </fill>
    <fill>
      <patternFill patternType="solid">
        <fgColor rgb="FFB7B7B7"/>
      </patternFill>
    </fill>
    <fill>
      <patternFill patternType="solid">
        <fgColor rgb="FF999999"/>
      </patternFill>
    </fill>
    <fill>
      <patternFill patternType="solid">
        <fgColor rgb="FF00FF00"/>
      </patternFill>
    </fill>
    <fill>
      <patternFill patternType="solid">
        <fgColor rgb="FFFF0000"/>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9">
    <xf numFmtId="0" fontId="0" fillId="0" borderId="0" applyAlignment="1" pivotButton="0" quotePrefix="0" xfId="0">
      <alignment vertical="bottom"/>
    </xf>
    <xf numFmtId="0" fontId="1" fillId="0" borderId="0" pivotButton="0" quotePrefix="0" xfId="0"/>
    <xf numFmtId="0" fontId="2" fillId="2" borderId="0" applyAlignment="1" pivotButton="0" quotePrefix="0" xfId="0">
      <alignment horizontal="center"/>
    </xf>
    <xf numFmtId="0" fontId="3" fillId="0" borderId="0" pivotButton="0" quotePrefix="0" xfId="0"/>
    <xf numFmtId="0" fontId="4" fillId="3" borderId="1" applyAlignment="1" pivotButton="0" quotePrefix="0" xfId="0">
      <alignment horizontal="left" vertical="center" wrapText="1"/>
    </xf>
    <xf numFmtId="0" fontId="5" fillId="3" borderId="1" applyAlignment="1" pivotButton="0" quotePrefix="0" xfId="0">
      <alignment horizontal="left" vertical="center" wrapText="1"/>
    </xf>
    <xf numFmtId="0" fontId="6" fillId="0" borderId="2" pivotButton="0" quotePrefix="0" xfId="0"/>
    <xf numFmtId="0" fontId="6" fillId="0" borderId="3" pivotButton="0" quotePrefix="0" xfId="0"/>
    <xf numFmtId="0" fontId="7" fillId="3" borderId="1" applyAlignment="1" pivotButton="0" quotePrefix="0" xfId="0">
      <alignment horizontal="left" vertical="center" wrapText="1"/>
    </xf>
    <xf numFmtId="0" fontId="8" fillId="4" borderId="1" applyAlignment="1" pivotButton="0" quotePrefix="0" xfId="0">
      <alignment horizontal="left" vertical="center" wrapText="1"/>
    </xf>
    <xf numFmtId="0" fontId="7" fillId="4" borderId="1" applyAlignment="1" pivotButton="0" quotePrefix="0" xfId="0">
      <alignment horizontal="left"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5" borderId="4" applyAlignment="1" pivotButton="0" quotePrefix="0" xfId="0">
      <alignment vertical="center" wrapText="1"/>
    </xf>
    <xf numFmtId="0" fontId="12" fillId="2" borderId="0" pivotButton="0" quotePrefix="0" xfId="0"/>
    <xf numFmtId="0" fontId="9" fillId="5" borderId="4" applyAlignment="1" pivotButton="0" quotePrefix="0" xfId="0">
      <alignment vertical="center" wrapText="1"/>
    </xf>
    <xf numFmtId="0" fontId="3" fillId="2" borderId="0" pivotButton="0" quotePrefix="0" xfId="0"/>
    <xf numFmtId="0" fontId="13" fillId="5" borderId="4" applyAlignment="1" pivotButton="0" quotePrefix="0" xfId="0">
      <alignment vertical="center" wrapText="1"/>
    </xf>
    <xf numFmtId="0" fontId="14" fillId="5" borderId="4" applyAlignment="1" pivotButton="0" quotePrefix="0" xfId="0">
      <alignment vertical="center" wrapText="1"/>
    </xf>
    <xf numFmtId="0" fontId="15" fillId="6" borderId="1" applyAlignment="1" pivotButton="0" quotePrefix="0" xfId="0">
      <alignment horizontal="center" vertical="center"/>
    </xf>
    <xf numFmtId="0" fontId="16" fillId="0" borderId="4" applyAlignment="1" pivotButton="0" quotePrefix="0" xfId="0">
      <alignment horizontal="center" vertical="center"/>
    </xf>
    <xf numFmtId="0" fontId="10" fillId="0" borderId="4" applyAlignment="1" pivotButton="0" quotePrefix="0" xfId="0">
      <alignment vertical="center" wrapText="1"/>
    </xf>
    <xf numFmtId="0" fontId="1" fillId="0" borderId="4" pivotButton="0" quotePrefix="0" xfId="0"/>
    <xf numFmtId="9" fontId="10" fillId="0" borderId="0" applyAlignment="1" pivotButton="0" quotePrefix="0" xfId="0">
      <alignment horizontal="left" vertical="top" wrapText="1"/>
    </xf>
    <xf numFmtId="0" fontId="17" fillId="0" borderId="4" applyAlignment="1" pivotButton="0" quotePrefix="0" xfId="0">
      <alignment horizontal="center" vertical="center"/>
    </xf>
    <xf numFmtId="0" fontId="18" fillId="4" borderId="5" applyAlignment="1" pivotButton="0" quotePrefix="0" xfId="0">
      <alignment horizontal="left" vertical="center" wrapText="1"/>
    </xf>
    <xf numFmtId="0" fontId="18" fillId="4" borderId="5" applyAlignment="1" pivotButton="0" quotePrefix="0" xfId="0">
      <alignment horizontal="center" vertical="center"/>
    </xf>
    <xf numFmtId="0" fontId="19" fillId="0" borderId="4" applyAlignment="1" pivotButton="0" quotePrefix="0" xfId="0">
      <alignment horizontal="center" vertical="center"/>
    </xf>
    <xf numFmtId="0" fontId="20" fillId="5" borderId="5" applyAlignment="1" pivotButton="0" quotePrefix="0" xfId="0">
      <alignment horizontal="left" vertical="center" wrapText="1"/>
    </xf>
    <xf numFmtId="0" fontId="11" fillId="0" borderId="4" applyAlignment="1" pivotButton="0" quotePrefix="0" xfId="0">
      <alignment horizontal="center" vertical="center"/>
    </xf>
    <xf numFmtId="0" fontId="21" fillId="0" borderId="0" pivotButton="0" quotePrefix="0" xfId="0"/>
    <xf numFmtId="0" fontId="22" fillId="6" borderId="5" applyAlignment="1" pivotButton="0" quotePrefix="0" xfId="0">
      <alignment vertical="center" wrapText="1"/>
    </xf>
    <xf numFmtId="2" fontId="11" fillId="0" borderId="0" pivotButton="0" quotePrefix="0" xfId="0"/>
    <xf numFmtId="164" fontId="23" fillId="0" borderId="0" pivotButton="0" quotePrefix="0" xfId="0"/>
    <xf numFmtId="0" fontId="1" fillId="0" borderId="0" applyAlignment="1" pivotButton="0" quotePrefix="0" xfId="0">
      <alignment horizontal="center"/>
    </xf>
    <xf numFmtId="0" fontId="14" fillId="0" borderId="0" applyAlignment="1" pivotButton="0" quotePrefix="0" xfId="0">
      <alignment vertical="center" wrapText="1"/>
    </xf>
    <xf numFmtId="0" fontId="3" fillId="7" borderId="0" pivotButton="0" quotePrefix="0" xfId="0"/>
    <xf numFmtId="0" fontId="1" fillId="0" borderId="0" applyAlignment="1" pivotButton="0" quotePrefix="0" xfId="0">
      <alignment vertical="center" wrapText="1"/>
    </xf>
    <xf numFmtId="0" fontId="1" fillId="0" borderId="0" applyAlignment="1" pivotButton="0" quotePrefix="0" xfId="0">
      <alignment vertical="bottom"/>
    </xf>
    <xf numFmtId="0" fontId="1" fillId="7" borderId="0" applyAlignment="1" pivotButton="0" quotePrefix="0" xfId="0">
      <alignment vertical="bottom"/>
    </xf>
    <xf numFmtId="0" fontId="15" fillId="8" borderId="1" applyAlignment="1" pivotButton="0" quotePrefix="0" xfId="0">
      <alignment vertical="center" wrapText="1"/>
    </xf>
    <xf numFmtId="2" fontId="11" fillId="9" borderId="0" applyAlignment="1" pivotButton="0" quotePrefix="0" xfId="0">
      <alignment horizontal="right" vertical="bottom"/>
    </xf>
    <xf numFmtId="164" fontId="23" fillId="0" borderId="0" applyAlignment="1" pivotButton="0" quotePrefix="0" xfId="0">
      <alignment horizontal="right" vertical="bottom"/>
    </xf>
    <xf numFmtId="0" fontId="1" fillId="0" borderId="0" applyAlignment="1" pivotButton="0" quotePrefix="0" xfId="0">
      <alignment horizontal="center" vertical="bottom"/>
    </xf>
    <xf numFmtId="0" fontId="1" fillId="0" borderId="0" applyAlignment="1" pivotButton="0" quotePrefix="0" xfId="0">
      <alignment vertical="top" wrapText="1"/>
    </xf>
    <xf numFmtId="0" fontId="13" fillId="0" borderId="4" applyAlignment="1" pivotButton="0" quotePrefix="0" xfId="0">
      <alignment vertical="center" wrapText="1"/>
    </xf>
    <xf numFmtId="0" fontId="1" fillId="0" borderId="4" applyAlignment="1" pivotButton="0" quotePrefix="0" xfId="0">
      <alignment vertical="center" wrapText="1"/>
    </xf>
    <xf numFmtId="0" fontId="1" fillId="2" borderId="0" applyAlignment="1" pivotButton="0" quotePrefix="0" xfId="0">
      <alignment vertical="bottom"/>
    </xf>
    <xf numFmtId="2" fontId="11" fillId="5" borderId="0" applyAlignment="1" pivotButton="0" quotePrefix="0" xfId="0">
      <alignment horizontal="right" vertical="bottom"/>
    </xf>
    <xf numFmtId="0" fontId="3" fillId="10" borderId="0" pivotButton="0" quotePrefix="0" xfId="0"/>
    <xf numFmtId="0" fontId="3" fillId="11" borderId="0" pivotButton="0" quotePrefix="0" xfId="0"/>
    <xf numFmtId="2" fontId="11" fillId="0" borderId="0" applyAlignment="1" pivotButton="0" quotePrefix="0" xfId="0">
      <alignment horizontal="right" vertical="bottom"/>
    </xf>
    <xf numFmtId="0" fontId="1" fillId="0" borderId="0" applyAlignment="1" pivotButton="0" quotePrefix="0" xfId="0">
      <alignment horizontal="center"/>
    </xf>
    <xf numFmtId="0" fontId="1" fillId="0" borderId="0" pivotButton="0" quotePrefix="0" xfId="0"/>
    <xf numFmtId="0" fontId="1" fillId="0" borderId="0" applyAlignment="1" pivotButton="0" quotePrefix="0" xfId="0">
      <alignment vertical="bottom"/>
    </xf>
    <xf numFmtId="0" fontId="24" fillId="0" borderId="0" applyAlignment="1" pivotButton="0" quotePrefix="0" xfId="0">
      <alignment vertical="center" wrapText="1"/>
    </xf>
    <xf numFmtId="2" fontId="11" fillId="0" borderId="0" applyAlignment="1" pivotButton="0" quotePrefix="0" xfId="0">
      <alignment horizontal="center"/>
    </xf>
    <xf numFmtId="14" fontId="1" fillId="0" borderId="0" applyAlignment="1" pivotButton="0" quotePrefix="0" xfId="0">
      <alignment horizontal="center"/>
    </xf>
    <xf numFmtId="0" fontId="1" fillId="0" borderId="4" applyAlignment="1" pivotButton="0" quotePrefix="0" xfId="0">
      <alignment horizontal="center" vertical="center"/>
    </xf>
    <xf numFmtId="0" fontId="9" fillId="0" borderId="4" applyAlignment="1" pivotButton="0" quotePrefix="0" xfId="0">
      <alignment horizontal="center" vertical="center"/>
    </xf>
    <xf numFmtId="0" fontId="25" fillId="0" borderId="4" applyAlignment="1" pivotButton="0" quotePrefix="0" xfId="0">
      <alignment vertical="center" wrapText="1"/>
    </xf>
    <xf numFmtId="0" fontId="26" fillId="0" borderId="4" applyAlignment="1" pivotButton="0" quotePrefix="0" xfId="0">
      <alignment vertical="center" wrapText="1"/>
    </xf>
    <xf numFmtId="0" fontId="27" fillId="0" borderId="4" applyAlignment="1" pivotButton="0" quotePrefix="0" xfId="0">
      <alignment vertical="center" wrapText="1"/>
    </xf>
    <xf numFmtId="0" fontId="10" fillId="0" borderId="0" applyAlignment="1" pivotButton="0" quotePrefix="0" xfId="0">
      <alignment vertical="center" wrapText="1"/>
    </xf>
    <xf numFmtId="0" fontId="28" fillId="0" borderId="0" applyAlignment="1" pivotButton="0" quotePrefix="0" xfId="0">
      <alignment vertical="center" wrapText="1"/>
    </xf>
    <xf numFmtId="0" fontId="0" fillId="0" borderId="0" pivotButton="0" quotePrefix="0" xfId="0"/>
    <xf numFmtId="0" fontId="4" fillId="3" borderId="5" applyAlignment="1" pivotButton="0" quotePrefix="0" xfId="0">
      <alignment horizontal="left" vertical="center" wrapText="1"/>
    </xf>
    <xf numFmtId="0" fontId="8" fillId="4" borderId="5" applyAlignment="1" pivotButton="0" quotePrefix="0" xfId="0">
      <alignment horizontal="left" vertical="center" wrapText="1"/>
    </xf>
    <xf numFmtId="0" fontId="5" fillId="3" borderId="5" applyAlignment="1" pivotButton="0" quotePrefix="0" xfId="0">
      <alignment horizontal="left" vertical="center" wrapText="1"/>
    </xf>
    <xf numFmtId="0" fontId="7" fillId="4" borderId="5" applyAlignment="1" pivotButton="0" quotePrefix="0" xfId="0">
      <alignment horizontal="left" vertical="center" wrapText="1"/>
    </xf>
    <xf numFmtId="0" fontId="15" fillId="8" borderId="5" applyAlignment="1" pivotButton="0" quotePrefix="0" xfId="0">
      <alignment vertical="center" wrapText="1"/>
    </xf>
    <xf numFmtId="0" fontId="7" fillId="3" borderId="5" applyAlignment="1" pivotButton="0" quotePrefix="0" xfId="0">
      <alignment horizontal="left" vertical="center" wrapText="1"/>
    </xf>
    <xf numFmtId="0" fontId="15" fillId="6" borderId="5" applyAlignment="1" pivotButton="0" quotePrefix="0" xfId="0">
      <alignment horizontal="center"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cellXfs>
  <cellStyles count="1">
    <cellStyle name="Normal" xfId="0" builtinId="0"/>
  </cellStyles>
  <dxfs count="4">
    <dxf>
      <font>
        <b val="1"/>
        <color rgb="FFB45F06"/>
      </font>
      <fill>
        <patternFill patternType="solid">
          <fgColor rgb="FFFFF2CC"/>
          <bgColor rgb="FFFFF2CC"/>
        </patternFill>
      </fill>
      <border/>
    </dxf>
    <dxf>
      <font/>
      <fill>
        <patternFill patternType="solid">
          <fgColor rgb="FFB6D7A8"/>
          <bgColor rgb="FFB6D7A8"/>
        </patternFill>
      </fill>
      <border/>
    </dxf>
    <dxf>
      <font>
        <b val="1"/>
        <color rgb="FFC1272D"/>
      </font>
      <fill>
        <patternFill patternType="solid">
          <fgColor rgb="FFF4CCCC"/>
          <bgColor rgb="FFF4CCCC"/>
        </patternFill>
      </fill>
      <border/>
    </dxf>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None</author>
  </authors>
  <commentList>
    <comment ref="K5" authorId="0" shapeId="0">
      <text>
        <t>======
ID#AAACHXX-vnA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ID#AAACHXX-vms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ID#AAACHXX-vnw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ID#AAACHXX-vm4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ID#AAACHXX-vnQ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ID#AAACHXX-vn0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ID#AAACHXX-vnc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ID#AAACHXX-vns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ID#AAACHXX-vmw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ID#AAACHXX-vn4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ID#AAACHXX-vnI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ID#AAACHXX-vn8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ID#AAACHXX-vng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ID#AAACHXX-vnM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ID#AAACHXX-vnU
CCU    (2026-09-12 00:58:54)
E1  (3 pts)
Enviou planilha com a memória de cálculo.
1 = sim   ·   0 = não
TESTE: Sim = 1, Não = 0. Sem julgamento.</t>
      </text>
    </comment>
    <comment ref="AC5" authorId="0" shapeId="0">
      <text>
        <t>======
ID#AAACHXX-vm8
CCU    (2026-09-12 00:58:54)
E2  (2 pts)
Enviou apresentação fechada (PPT ou relatório).
1 = sim   ·   0 = não
TESTE: Sim = 1, Não = 0.</t>
      </text>
    </comment>
    <comment ref="AD5" authorId="0" shapeId="0">
      <text>
        <t>======
ID#AAACHXX-vnk
CCU    (2026-09-12 00:58:54)
E3  (2 pts)
Gravou o vídeo da entrega.
1 = sim   ·   0 = não
TESTE: Sim = 1, Não = 0.</t>
      </text>
    </comment>
    <comment ref="AE5" authorId="0" shapeId="0">
      <text>
        <t>======
ID#AAACHXX-vno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ID#AAACHXX-vnY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ID#AAACHXX-vm0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 ref="S8" authorId="0" shapeId="0">
      <text>
        <t>======
ID#AAACHXX-vnE
Lucas Procopio Araújo C. P. Ribeiro    (2026-09-20 03:43:54)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65" min="1" max="1"/>
    <col width="26" customWidth="1" style="65" min="2" max="2"/>
    <col width="148" customWidth="1" style="65" min="3" max="3"/>
    <col width="8.710000000000001" customWidth="1" style="65" min="4"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30" customHeight="1" s="65">
      <c r="A2" s="53" t="n"/>
      <c r="B2" s="66" t="inlineStr">
        <is>
          <t>PLANILHA DE AVALIAÇÃO — MODELO QUANTITATIVO</t>
        </is>
      </c>
      <c r="D2" s="53" t="n"/>
      <c r="E2" s="53" t="n"/>
      <c r="F2" s="53" t="n"/>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21.75" customHeight="1" s="65">
      <c r="A4" s="53" t="n"/>
      <c r="B4" s="67" t="inlineStr">
        <is>
          <t>O QUE MUDOU</t>
        </is>
      </c>
      <c r="D4" s="53" t="n"/>
      <c r="E4" s="53" t="n"/>
      <c r="F4" s="53" t="n"/>
      <c r="G4" s="53" t="n"/>
      <c r="H4" s="53" t="n"/>
      <c r="I4" s="53" t="n"/>
      <c r="J4" s="53" t="n"/>
      <c r="K4" s="53" t="n"/>
      <c r="L4" s="53" t="n"/>
      <c r="M4" s="53" t="n"/>
      <c r="N4" s="53" t="n"/>
      <c r="O4" s="53" t="n"/>
      <c r="P4" s="53" t="n"/>
      <c r="Q4" s="53" t="n"/>
      <c r="R4" s="53" t="n"/>
      <c r="S4" s="53" t="n"/>
      <c r="T4" s="53" t="n"/>
      <c r="U4" s="53" t="n"/>
      <c r="V4" s="53" t="n"/>
      <c r="W4" s="53" t="n"/>
      <c r="X4" s="53" t="n"/>
      <c r="Y4" s="53" t="n"/>
      <c r="Z4" s="53" t="n"/>
    </row>
    <row r="5" ht="39" customHeight="1" s="65">
      <c r="A5" s="53" t="n"/>
      <c r="B5" s="11" t="inlineStr">
        <is>
          <t>As perguntas</t>
        </is>
      </c>
      <c r="C5" s="12" t="inlineStr">
        <is>
          <t>São as mesmas da planilha antiga. Nenhuma pergunta nova, exceto A6 (inconsistência plantada), que entra no lugar de 'Resposta dos concorrentes' — item que ficou 89% zerado no PS 2026-1S e nem estava na Base.</t>
        </is>
      </c>
      <c r="D5" s="53"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25.5" customHeight="1" s="65">
      <c r="A6" s="53" t="n"/>
      <c r="B6" s="11" t="inlineStr">
        <is>
          <t>A escala</t>
        </is>
      </c>
      <c r="C6" s="12" t="inlineStr">
        <is>
          <t>Toda nota agora é 0, 1, 2 ou 3. Acabaram os 0,7 / 1,2 / 2,8. Cada nível tem uma frase que o descreve na aba 'Base avaliação'. Se você não consegue apontar a frase, você não pode dar aquela nota.</t>
        </is>
      </c>
      <c r="D6" s="53" t="n"/>
      <c r="E6" s="53" t="n"/>
      <c r="F6" s="53" t="n"/>
      <c r="G6" s="53" t="n"/>
      <c r="H6" s="53" t="n"/>
      <c r="I6" s="53" t="n"/>
      <c r="J6" s="53" t="n"/>
      <c r="K6" s="53" t="n"/>
      <c r="L6" s="53" t="n"/>
      <c r="M6" s="53" t="n"/>
      <c r="N6" s="53" t="n"/>
      <c r="O6" s="53" t="n"/>
      <c r="P6" s="53" t="n"/>
      <c r="Q6" s="53" t="n"/>
      <c r="R6" s="53" t="n"/>
      <c r="S6" s="53" t="n"/>
      <c r="T6" s="53" t="n"/>
      <c r="U6" s="53" t="n"/>
      <c r="V6" s="53" t="n"/>
      <c r="W6" s="53" t="n"/>
      <c r="X6" s="53" t="n"/>
      <c r="Y6" s="53" t="n"/>
      <c r="Z6" s="53" t="n"/>
    </row>
    <row r="7" ht="25.5" customHeight="1" s="65">
      <c r="A7" s="53" t="n"/>
      <c r="B7" s="11" t="inlineStr">
        <is>
          <t>Os pesos</t>
        </is>
      </c>
      <c r="C7" s="12" t="inlineStr">
        <is>
          <t>Comunicação 30 · Raciocínio 25 · Acurácia 25 · Entrega 10 · Vídeo 10. O peso agora está no bloco, não escondido no teto de cada pergunta.</t>
        </is>
      </c>
      <c r="D7" s="53" t="n"/>
      <c r="E7" s="53" t="n"/>
      <c r="F7" s="53" t="n"/>
      <c r="G7" s="53" t="n"/>
      <c r="H7" s="53" t="n"/>
      <c r="I7" s="53" t="n"/>
      <c r="J7" s="53" t="n"/>
      <c r="K7" s="53" t="n"/>
      <c r="L7" s="53" t="n"/>
      <c r="M7" s="53" t="n"/>
      <c r="N7" s="53" t="n"/>
      <c r="O7" s="53" t="n"/>
      <c r="P7" s="53" t="n"/>
      <c r="Q7" s="53" t="n"/>
      <c r="R7" s="53" t="n"/>
      <c r="S7" s="53" t="n"/>
      <c r="T7" s="53" t="n"/>
      <c r="U7" s="53" t="n"/>
      <c r="V7" s="53" t="n"/>
      <c r="W7" s="53" t="n"/>
      <c r="X7" s="53" t="n"/>
      <c r="Y7" s="53" t="n"/>
      <c r="Z7" s="53" t="n"/>
    </row>
    <row r="8" ht="15" customHeight="1" s="65">
      <c r="A8" s="53" t="n"/>
      <c r="B8" s="11" t="inlineStr">
        <is>
          <t>A trava</t>
        </is>
      </c>
      <c r="C8" s="12" t="inlineStr">
        <is>
          <t>A célula só aceita 0/1/2/3. No PS passado, 8 das 27 linhas tinham nota acima do teto do critério.</t>
        </is>
      </c>
      <c r="D8" s="53" t="n"/>
      <c r="E8" s="53" t="n"/>
      <c r="F8" s="53" t="n"/>
      <c r="G8" s="53" t="n"/>
      <c r="H8" s="53" t="n"/>
      <c r="I8" s="53" t="n"/>
      <c r="J8" s="53" t="n"/>
      <c r="K8" s="53" t="n"/>
      <c r="L8" s="53" t="n"/>
      <c r="M8" s="53" t="n"/>
      <c r="N8" s="53" t="n"/>
      <c r="O8" s="53" t="n"/>
      <c r="P8" s="53" t="n"/>
      <c r="Q8" s="53" t="n"/>
      <c r="R8" s="53" t="n"/>
      <c r="S8" s="53" t="n"/>
      <c r="T8" s="53" t="n"/>
      <c r="U8" s="53" t="n"/>
      <c r="V8" s="53" t="n"/>
      <c r="W8" s="53" t="n"/>
      <c r="X8" s="53" t="n"/>
      <c r="Y8" s="53" t="n"/>
      <c r="Z8" s="53" t="n"/>
    </row>
    <row r="9" ht="64.5" customHeight="1" s="65">
      <c r="A9" s="53" t="n"/>
      <c r="B9" s="11" t="inlineStr">
        <is>
          <t>O peso do vídeo</t>
        </is>
      </c>
      <c r="C9" s="23" t="n">
        <v>0.1</v>
      </c>
      <c r="D9" s="53" t="n"/>
      <c r="E9" s="53" t="n"/>
      <c r="F9" s="53" t="n"/>
      <c r="G9" s="53" t="n"/>
      <c r="H9" s="53" t="n"/>
      <c r="I9" s="53" t="n"/>
      <c r="J9" s="53" t="n"/>
      <c r="K9" s="53" t="n"/>
      <c r="L9" s="53" t="n"/>
      <c r="M9" s="53" t="n"/>
      <c r="N9" s="53" t="n"/>
      <c r="O9" s="53" t="n"/>
      <c r="P9" s="53" t="n"/>
      <c r="Q9" s="53" t="n"/>
      <c r="R9" s="53" t="n"/>
      <c r="S9" s="53" t="n"/>
      <c r="T9" s="53" t="n"/>
      <c r="U9" s="53" t="n"/>
      <c r="V9" s="53" t="n"/>
      <c r="W9" s="53" t="n"/>
      <c r="X9" s="53" t="n"/>
      <c r="Y9" s="53" t="n"/>
      <c r="Z9" s="53" t="n"/>
    </row>
    <row r="10" ht="39" customHeight="1" s="65">
      <c r="A10" s="53" t="n"/>
      <c r="B10" s="11" t="inlineStr">
        <is>
          <t>R3 e E4</t>
        </is>
      </c>
      <c r="C10" s="12"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c r="D10" s="53" t="n"/>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53" t="n"/>
      <c r="C11" s="53" t="n"/>
      <c r="D11" s="53" t="n"/>
      <c r="E11" s="53" t="n"/>
      <c r="F11" s="53" t="n"/>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21.75" customHeight="1" s="65">
      <c r="A12" s="53" t="n"/>
      <c r="B12" s="67" t="inlineStr">
        <is>
          <t>AS 5 REGRAS</t>
        </is>
      </c>
      <c r="D12" s="53" t="n"/>
      <c r="E12" s="53" t="n"/>
      <c r="F12" s="53" t="n"/>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64.5" customHeight="1" s="65">
      <c r="A13" s="53" t="n"/>
      <c r="B13" s="11" t="inlineStr">
        <is>
          <t>1. Evidência obrigatória</t>
        </is>
      </c>
      <c r="C13" s="12"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c r="D13" s="53" t="n"/>
      <c r="E13" s="53" t="n"/>
      <c r="F13" s="53" t="n"/>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39" customHeight="1" s="65">
      <c r="A14" s="53" t="n"/>
      <c r="B14" s="11" t="inlineStr">
        <is>
          <t>2. Corrija por critério</t>
        </is>
      </c>
      <c r="C14" s="12" t="inlineStr">
        <is>
          <t>Avalie TODOS os candidatos no C1, depois todos no C2, e assim por diante. Nunca candidato por candidato. Comparar 27 respostas da mesma pergunta lado a lado é muito mais consistente  e é o que evita que uma boa impressão geral contamine as 20 notas.</t>
        </is>
      </c>
      <c r="D14" s="53" t="n"/>
      <c r="E14" s="53" t="n"/>
      <c r="F14" s="53" t="n"/>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39" customHeight="1" s="65">
      <c r="A15" s="53" t="n"/>
      <c r="B15" s="11" t="inlineStr">
        <is>
          <t>3. Dois avaliadores</t>
        </is>
      </c>
      <c r="C15" s="12" t="inlineStr">
        <is>
          <t>Todo candidato precisa de 2 avaliações independentes. No PS 2026-1S só 37% tiveram. Se a diferença entre as duas notas finais passar de 1,0, a aba Consolidado acende alerta: vai para conversa de calibração ou terceiro avaliador.</t>
        </is>
      </c>
      <c r="D15" s="53" t="n"/>
      <c r="E15" s="53" t="n"/>
      <c r="F15" s="53" t="n"/>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39" customHeight="1" s="65">
      <c r="A16" s="53" t="n"/>
      <c r="B16" s="11" t="inlineStr">
        <is>
          <t>4. Calibre antes de abrir</t>
        </is>
      </c>
      <c r="C16" s="12" t="inlineStr">
        <is>
          <t>Antes do PS começar: peguem 3 entregas do PS anterior (uma boa, uma média, uma ruim), todo mundo avalia, comparem e discutam as divergências. Uma hora de reunião. É a maior alavanca de consistência que existe e não custa nada.</t>
        </is>
      </c>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25.5" customHeight="1" s="65">
      <c r="A17" s="53" t="n"/>
      <c r="B17" s="11" t="inlineStr">
        <is>
          <t>5. Corte definido antes</t>
        </is>
      </c>
      <c r="C17" s="12" t="inlineStr">
        <is>
          <t>Número de vagas e nota mínima decididos ANTES de ver as notas. Desempate escrito: 1º acurácia · 2º comunicação · 3º entrevista.</t>
        </is>
      </c>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53" t="n"/>
      <c r="C18" s="53" t="n"/>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21.75" customHeight="1" s="65">
      <c r="A19" s="53" t="n"/>
      <c r="B19" s="67" t="inlineStr">
        <is>
          <t>A NOTA QUANDO DUAS PESSOAS CORRIGEM</t>
        </is>
      </c>
      <c r="D19" s="53" t="n"/>
      <c r="E19" s="53"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25.5" customHeight="1" s="65">
      <c r="A20" s="53" t="n"/>
      <c r="B20" s="11" t="inlineStr">
        <is>
          <t>Sim, é a média</t>
        </is>
      </c>
      <c r="C20" s="12" t="inlineStr">
        <is>
          <t>Se um avaliador dá 6,0 e o outro 7,0, a nota do candidato é 6,50. A aba Consolidado faz isso sozinha (AVERAGEIF por nome). Não arredonde na mão.</t>
        </is>
      </c>
      <c r="D20" s="53" t="n"/>
      <c r="E20" s="53"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51.75" customHeight="1" s="65">
      <c r="A21" s="53" t="n"/>
      <c r="B21" s="11" t="inlineStr">
        <is>
          <t>Onde a vírgula pode aparecer</t>
        </is>
      </c>
      <c r="C21" s="12"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c r="D21" s="53" t="n"/>
      <c r="E21" s="53"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39" customHeight="1" s="65">
      <c r="A22" s="53" t="n"/>
      <c r="B22" s="11" t="inlineStr">
        <is>
          <t>Quando a média NÃO vale</t>
        </is>
      </c>
      <c r="C22" s="12"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c r="D22" s="53" t="n"/>
      <c r="E22" s="53"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39" customHeight="1" s="65">
      <c r="A23" s="53" t="n"/>
      <c r="B23" s="11" t="inlineStr">
        <is>
          <t>Por que 1,0 é o limite</t>
        </is>
      </c>
      <c r="C23" s="12"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c r="D23" s="53" t="n"/>
      <c r="E23" s="53" t="n"/>
      <c r="F23" s="53" t="n"/>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14.25" customHeight="1" s="65">
      <c r="A24" s="53" t="n"/>
      <c r="B24" s="53" t="n"/>
      <c r="C24" s="53" t="n"/>
      <c r="D24" s="53" t="n"/>
      <c r="E24" s="53" t="n"/>
      <c r="F24" s="53" t="n"/>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21.75" customHeight="1" s="65">
      <c r="A25" s="53" t="n"/>
      <c r="B25" s="67" t="inlineStr">
        <is>
          <t>ELEGIBILIDADE (estágio / intercâmbio / formatura)</t>
        </is>
      </c>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25.5" customHeight="1" s="65">
      <c r="A26" s="53" t="n"/>
      <c r="B26" s="11" t="inlineStr">
        <is>
          <t>Não é eliminatório</t>
        </is>
      </c>
      <c r="C26" s="12" t="inlineStr">
        <is>
          <t>Conforme o diretor: é um warning, não um corte. Por isso NÃO entra na nota e NÃO tem peso. Fica só na aba Consolidado.</t>
        </is>
      </c>
      <c r="D26" s="53" t="n"/>
      <c r="E26" s="53" t="n"/>
      <c r="F26" s="53"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39" customHeight="1" s="65">
      <c r="A27" s="53" t="n"/>
      <c r="B27" s="11" t="inlineStr">
        <is>
          <t>Dois níveis</t>
        </is>
      </c>
      <c r="C27" s="12" t="inlineStr">
        <is>
          <t>🔴 EVASÃO — sai do ar em até 2 semestres (intercâmbio confirmado, formatura próxima).   🟡 CARGA — continua, mas com menos tempo (estagiando agora, estágio começando no ano). Estagiar não é ir embora: é ter menos tempo. São riscos diferentes.</t>
        </is>
      </c>
      <c r="D27" s="53" t="n"/>
      <c r="E27" s="53"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25.5" customHeight="1" s="65">
      <c r="A28" s="53" t="n"/>
      <c r="B28" s="11" t="inlineStr">
        <is>
          <t>Onde ela morde</t>
        </is>
      </c>
      <c r="C28" s="12" t="inlineStr">
        <is>
          <t>A flag não soma nem subtrai ponto e nunca elimina. Ela (i) obriga uma pergunta específica na entrevista e (ii) só desempata entre candidatos a menos de 0,3 ponto um do outro.</t>
        </is>
      </c>
      <c r="D28" s="53" t="n"/>
      <c r="E28" s="53" t="n"/>
      <c r="F28" s="53" t="n"/>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51.75" customHeight="1" s="65">
      <c r="A29" s="53" t="n"/>
      <c r="B29" s="11" t="inlineStr">
        <is>
          <t>Horas por semana</t>
        </is>
      </c>
      <c r="C29" s="12"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c r="D29" s="53" t="n"/>
      <c r="E29" s="53" t="n"/>
      <c r="F29" s="53" t="n"/>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51.75" customHeight="1" s="65">
      <c r="A30" s="53" t="n"/>
      <c r="B30" s="11" t="inlineStr">
        <is>
          <t>O que os dados já dizem</t>
        </is>
      </c>
      <c r="C30" s="12"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c r="D30" s="53" t="n"/>
      <c r="E30" s="53"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25.5" customHeight="1" s="65">
      <c r="A31" s="53" t="n"/>
      <c r="B31" s="11" t="inlineStr">
        <is>
          <t>Medir</t>
        </is>
      </c>
      <c r="C31" s="12" t="inlineStr">
        <is>
          <t>Registrem a flag de cada aprovado. Daqui a 2 ou 3 PS, cruzem com quem de fato continuou no clube. Aí vocês saberão se a hipótese é verdadeira — hoje ninguém sabe.</t>
        </is>
      </c>
      <c r="D31" s="53" t="n"/>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53" t="n"/>
      <c r="C32" s="53" t="n"/>
      <c r="D32" s="53" t="n"/>
      <c r="E32" s="53" t="n"/>
      <c r="F32" s="53" t="n"/>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21.75" customHeight="1" s="65">
      <c r="A33" s="53" t="n"/>
      <c r="B33" s="67" t="inlineStr">
        <is>
          <t>O CASE E A IA</t>
        </is>
      </c>
      <c r="D33" s="53" t="n"/>
      <c r="E33" s="53" t="n"/>
      <c r="F33" s="53" t="n"/>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25.5" customHeight="1" s="65">
      <c r="A34" s="53" t="n"/>
      <c r="B34" s="11" t="inlineStr">
        <is>
          <t>O problema</t>
        </is>
      </c>
      <c r="C34" s="12" t="inlineStr">
        <is>
          <t>3 dias em casa: acurácia deixa de discriminar. No PS 2026-1S, antes da IA virar padrão, 62% dos candidatos já tiravam ≥80% do teto em 'Loja 5' e 65% em 'SG&amp;A'. Peso sem variância não muda ranking.</t>
        </is>
      </c>
      <c r="D34" s="53" t="n"/>
      <c r="E34" s="53" t="n"/>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39" customHeight="1" s="65">
      <c r="A35" s="53" t="n"/>
      <c r="B35" s="11" t="inlineStr">
        <is>
          <t>Erro plantado (A6)</t>
        </is>
      </c>
      <c r="C35" s="12" t="inlineStr">
        <is>
          <t>Coloquem uma inconsistência de propósito no material: a DRE não fecha por X, ou o enunciado contradiz a tabela anexa. IA aceita o input como verdade e segue. Custa 10 minutos montando o case e é o melhor discriminador por esforço investido.</t>
        </is>
      </c>
      <c r="D35" s="53" t="n"/>
      <c r="E35" s="53"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25.5" customHeight="1" s="65">
      <c r="A36" s="53" t="n"/>
      <c r="B36" s="11" t="inlineStr">
        <is>
          <t>Premissa ausente</t>
        </is>
      </c>
      <c r="C36" s="12" t="inlineStr">
        <is>
          <t>Não deem o critério de rateio do SG&amp;A entre lojas. Aí não existe 'a resposta certa': pontua-se se declarou a premissa, se a carregou até a recomendação sem se contradizer e se testou outra.</t>
        </is>
      </c>
      <c r="D36" s="53" t="n"/>
      <c r="E36" s="53"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39" customHeight="1" s="65">
      <c r="A37" s="53" t="n"/>
      <c r="B37" s="11" t="inlineStr">
        <is>
          <t>Propriedade na ENTREVISTA</t>
        </is>
      </c>
      <c r="C37" s="12" t="inlineStr">
        <is>
          <t>Não tente detectar IA no take-home. Nos primeiros 10 minutos da entrevista, o candidato refaz UMA conta da própria entrega, ao vivo, com um parâmetro alterado. Quem montou o modelo resolve em 3 minutos. Registre em Consolidado!K como OK / Não OK.</t>
        </is>
      </c>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53" t="n"/>
      <c r="C38" s="53" t="n"/>
      <c r="D38" s="53" t="n"/>
      <c r="E38" s="53"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53" t="n"/>
      <c r="C39" s="53" t="n"/>
      <c r="D39" s="53" t="n"/>
      <c r="E39" s="53"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53" t="n"/>
      <c r="C40" s="53" t="n"/>
      <c r="D40" s="53" t="n"/>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53" t="n"/>
      <c r="C42" s="53" t="n"/>
      <c r="D42" s="53" t="n"/>
      <c r="E42" s="53"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53" t="n"/>
      <c r="C43" s="53" t="n"/>
      <c r="D43" s="53" t="n"/>
      <c r="E43" s="53"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53" t="n"/>
      <c r="C44" s="53" t="n"/>
      <c r="D44" s="53" t="n"/>
      <c r="E44" s="53"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53" t="n"/>
      <c r="C45" s="53" t="n"/>
      <c r="D45" s="53" t="n"/>
      <c r="E45" s="53"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53" t="n"/>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53" t="n"/>
      <c r="C47" s="53" t="n"/>
      <c r="D47" s="53" t="n"/>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53" t="n"/>
      <c r="C49" s="53" t="n"/>
      <c r="D49" s="53" t="n"/>
      <c r="E49" s="53"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53" t="n"/>
      <c r="C50" s="53" t="n"/>
      <c r="D50" s="53" t="n"/>
      <c r="E50" s="53"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53" t="n"/>
      <c r="C51" s="53" t="n"/>
      <c r="D51" s="53" t="n"/>
      <c r="E51" s="53"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53" t="n"/>
      <c r="C52" s="53" t="n"/>
      <c r="D52" s="53" t="n"/>
      <c r="E52" s="53"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53" t="n"/>
      <c r="C53" s="53" t="n"/>
      <c r="D53" s="53" t="n"/>
      <c r="E53" s="53"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53" t="n"/>
      <c r="C54" s="53" t="n"/>
      <c r="D54" s="53" t="n"/>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53" t="n"/>
      <c r="C56" s="53" t="n"/>
      <c r="D56" s="53" t="n"/>
      <c r="E56" s="53"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53" t="n"/>
      <c r="C57" s="53" t="n"/>
      <c r="D57" s="53" t="n"/>
      <c r="E57" s="53"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53" t="n"/>
      <c r="C58" s="53" t="n"/>
      <c r="D58" s="53" t="n"/>
      <c r="E58" s="53"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53" t="n"/>
      <c r="C59" s="53" t="n"/>
      <c r="D59" s="53" t="n"/>
      <c r="E59" s="53"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53" t="n"/>
      <c r="C60" s="53" t="n"/>
      <c r="D60" s="53" t="n"/>
      <c r="E60" s="53"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53" t="n"/>
      <c r="C61" s="53" t="n"/>
      <c r="D61" s="53" t="n"/>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53" t="n"/>
      <c r="C64" s="53" t="n"/>
      <c r="D64" s="53" t="n"/>
      <c r="E64" s="53" t="n"/>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53" t="n"/>
      <c r="C67" s="53" t="n"/>
      <c r="D67" s="53" t="n"/>
      <c r="E67" s="53"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53" t="n"/>
      <c r="C68" s="53" t="n"/>
      <c r="D68" s="53" t="n"/>
      <c r="E68" s="53"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53" t="n"/>
      <c r="C69" s="53" t="n"/>
      <c r="D69" s="53" t="n"/>
      <c r="E69" s="53"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5.7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5.7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5.7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5.7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5.7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5.7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5.7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5.7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5.7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5.7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5.7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5.7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5.7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5.7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5.7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5.7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5.7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5.7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5.7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5.7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5.7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5.7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5.7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5.7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5.7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5.7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5.7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5.7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5.7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5.7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5.7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5.7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Z1000"/>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5" min="1" max="1"/>
    <col width="7" customWidth="1" style="65" min="2" max="2"/>
    <col width="9" customWidth="1" style="65" min="3" max="3"/>
    <col width="86" customWidth="1" style="65" min="4" max="4"/>
    <col width="44" customWidth="1" style="65" min="5" max="5"/>
    <col width="8.710000000000001" customWidth="1" style="65" min="6"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7.75" customHeight="1" s="65">
      <c r="A2" s="53" t="n"/>
      <c r="B2" s="68" t="inlineStr">
        <is>
          <t>BASE DE AVALIAÇÃO — cada nível tem uma descrição. Sem descrição apontada, a nota não vale.</t>
        </is>
      </c>
      <c r="F2" s="53" t="n"/>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24" customHeight="1" s="65">
      <c r="A4" s="53" t="n"/>
      <c r="B4" s="69" t="inlineStr">
        <is>
          <t>COMUNICAÇÃO &amp; ESTRUTURA  —  30 pontos de 100</t>
        </is>
      </c>
      <c r="F4" s="53" t="n"/>
      <c r="G4" s="53" t="n"/>
      <c r="H4" s="53" t="n"/>
      <c r="I4" s="53" t="n"/>
      <c r="J4" s="53" t="n"/>
      <c r="K4" s="53" t="n"/>
      <c r="L4" s="53" t="n"/>
      <c r="M4" s="53" t="n"/>
      <c r="N4" s="53" t="n"/>
      <c r="O4" s="53" t="n"/>
      <c r="P4" s="53" t="n"/>
      <c r="Q4" s="53" t="n"/>
      <c r="R4" s="53" t="n"/>
      <c r="S4" s="53" t="n"/>
      <c r="T4" s="53" t="n"/>
      <c r="U4" s="53" t="n"/>
      <c r="V4" s="53" t="n"/>
      <c r="W4" s="53" t="n"/>
      <c r="X4" s="53" t="n"/>
      <c r="Y4" s="53" t="n"/>
      <c r="Z4" s="53" t="n"/>
    </row>
    <row r="5" ht="27.75" customHeight="1" s="65">
      <c r="A5" s="53" t="n"/>
      <c r="B5" s="13" t="inlineStr">
        <is>
          <t>C1</t>
        </is>
      </c>
      <c r="C5" s="15" t="inlineStr">
        <is>
          <t>10 pts</t>
        </is>
      </c>
      <c r="D5" s="17" t="inlineStr">
        <is>
          <t>A comunicação está clara e direto ao ponto.</t>
        </is>
      </c>
      <c r="E5" s="18"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25.5" customHeight="1" s="65">
      <c r="A6" s="53" t="n"/>
      <c r="B6" s="53" t="n"/>
      <c r="C6" s="20" t="n">
        <v>3</v>
      </c>
      <c r="D6" s="21" t="inlineStr">
        <is>
          <t>A recomendação está escrita em UMA frase, nos 2 primeiros slides, com o número que a sustenta.</t>
        </is>
      </c>
      <c r="E6" s="22" t="n"/>
      <c r="F6" s="53" t="n"/>
      <c r="G6" s="53" t="n"/>
      <c r="H6" s="53" t="n"/>
      <c r="I6" s="53" t="n"/>
      <c r="J6" s="53" t="n"/>
      <c r="K6" s="53" t="n"/>
      <c r="L6" s="53" t="n"/>
      <c r="M6" s="53" t="n"/>
      <c r="N6" s="53" t="n"/>
      <c r="O6" s="53" t="n"/>
      <c r="P6" s="53" t="n"/>
      <c r="Q6" s="53" t="n"/>
      <c r="R6" s="53" t="n"/>
      <c r="S6" s="53" t="n"/>
      <c r="T6" s="53" t="n"/>
      <c r="U6" s="53" t="n"/>
      <c r="V6" s="53" t="n"/>
      <c r="W6" s="53" t="n"/>
      <c r="X6" s="53" t="n"/>
      <c r="Y6" s="53" t="n"/>
      <c r="Z6" s="53" t="n"/>
    </row>
    <row r="7" ht="25.5" customHeight="1" s="65">
      <c r="A7" s="53" t="n"/>
      <c r="B7" s="53" t="n"/>
      <c r="C7" s="24" t="n">
        <v>2</v>
      </c>
      <c r="D7" s="21" t="inlineStr">
        <is>
          <t>A recomendação é explícita e clara, mas só aparece depois da metade da entrega.</t>
        </is>
      </c>
      <c r="E7" s="22" t="n"/>
      <c r="F7" s="53" t="n"/>
      <c r="G7" s="53" t="n"/>
      <c r="H7" s="53" t="n"/>
      <c r="I7" s="53" t="n"/>
      <c r="J7" s="53" t="n"/>
      <c r="K7" s="53" t="n"/>
      <c r="L7" s="53" t="n"/>
      <c r="M7" s="53" t="n"/>
      <c r="N7" s="53" t="n"/>
      <c r="O7" s="53" t="n"/>
      <c r="P7" s="53" t="n"/>
      <c r="Q7" s="53" t="n"/>
      <c r="R7" s="53" t="n"/>
      <c r="S7" s="53" t="n"/>
      <c r="T7" s="53" t="n"/>
      <c r="U7" s="53" t="n"/>
      <c r="V7" s="53" t="n"/>
      <c r="W7" s="53" t="n"/>
      <c r="X7" s="53" t="n"/>
      <c r="Y7" s="53" t="n"/>
      <c r="Z7" s="53" t="n"/>
    </row>
    <row r="8" ht="25.5" customHeight="1" s="65">
      <c r="A8" s="53" t="n"/>
      <c r="B8" s="53" t="n"/>
      <c r="C8" s="27" t="n">
        <v>1</v>
      </c>
      <c r="D8" s="21" t="inlineStr">
        <is>
          <t>Dá pra inferir a recomendação, mas ela não está escrita em lugar nenhum.</t>
        </is>
      </c>
      <c r="E8" s="22" t="n"/>
      <c r="F8" s="53" t="n"/>
      <c r="G8" s="53" t="n"/>
      <c r="H8" s="53" t="n"/>
      <c r="I8" s="53" t="n"/>
      <c r="J8" s="53" t="n"/>
      <c r="K8" s="53" t="n"/>
      <c r="L8" s="53" t="n"/>
      <c r="M8" s="53" t="n"/>
      <c r="N8" s="53" t="n"/>
      <c r="O8" s="53" t="n"/>
      <c r="P8" s="53" t="n"/>
      <c r="Q8" s="53" t="n"/>
      <c r="R8" s="53" t="n"/>
      <c r="S8" s="53" t="n"/>
      <c r="T8" s="53" t="n"/>
      <c r="U8" s="53" t="n"/>
      <c r="V8" s="53" t="n"/>
      <c r="W8" s="53" t="n"/>
      <c r="X8" s="53" t="n"/>
      <c r="Y8" s="53" t="n"/>
      <c r="Z8" s="53" t="n"/>
    </row>
    <row r="9" ht="25.5" customHeight="1" s="65">
      <c r="A9" s="53" t="n"/>
      <c r="B9" s="53" t="n"/>
      <c r="C9" s="29" t="n">
        <v>0</v>
      </c>
      <c r="D9" s="21" t="inlineStr">
        <is>
          <t>Não há recomendação, ou há duas incompatíveis entre si.</t>
        </is>
      </c>
      <c r="E9" s="22" t="n"/>
      <c r="F9" s="53" t="n"/>
      <c r="G9" s="53" t="n"/>
      <c r="H9" s="53" t="n"/>
      <c r="I9" s="53" t="n"/>
      <c r="J9" s="53" t="n"/>
      <c r="K9" s="53" t="n"/>
      <c r="L9" s="53" t="n"/>
      <c r="M9" s="53" t="n"/>
      <c r="N9" s="53" t="n"/>
      <c r="O9" s="53" t="n"/>
      <c r="P9" s="53" t="n"/>
      <c r="Q9" s="53" t="n"/>
      <c r="R9" s="53" t="n"/>
      <c r="S9" s="53" t="n"/>
      <c r="T9" s="53" t="n"/>
      <c r="U9" s="53" t="n"/>
      <c r="V9" s="53" t="n"/>
      <c r="W9" s="53" t="n"/>
      <c r="X9" s="53" t="n"/>
      <c r="Y9" s="53" t="n"/>
      <c r="Z9" s="53" t="n"/>
    </row>
    <row r="10" ht="21.75" customHeight="1" s="65">
      <c r="A10" s="53" t="n"/>
      <c r="B10" s="53" t="n"/>
      <c r="C10" s="53" t="n"/>
      <c r="D10" s="31" t="inlineStr">
        <is>
          <t>TESTE OPERACIONAL:  Aponte o slide e a frase. Não conseguiu apontar? Não é 3.</t>
        </is>
      </c>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53" t="n"/>
      <c r="C11" s="53" t="n"/>
      <c r="D11" s="53" t="n"/>
      <c r="E11" s="53" t="n"/>
      <c r="F11" s="53" t="n"/>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27.75" customHeight="1" s="65">
      <c r="A12" s="53" t="n"/>
      <c r="B12" s="13" t="inlineStr">
        <is>
          <t>C2</t>
        </is>
      </c>
      <c r="C12" s="15" t="inlineStr">
        <is>
          <t>8 pts</t>
        </is>
      </c>
      <c r="D12" s="17" t="inlineStr">
        <is>
          <t>O desafio apresenta um formato que poderia ser apresentado a um cliente real.</t>
        </is>
      </c>
      <c r="E12" s="18" t="n"/>
      <c r="F12" s="53" t="n"/>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25.5" customHeight="1" s="65">
      <c r="A13" s="53" t="n"/>
      <c r="B13" s="53" t="n"/>
      <c r="C13" s="20" t="n">
        <v>3</v>
      </c>
      <c r="D13" s="21" t="inlineStr">
        <is>
          <t>Documento fechado (capa, estrutura, apêndice), sem rascunho visível. Um cliente receberia como está.</t>
        </is>
      </c>
      <c r="E13" s="22" t="n"/>
      <c r="F13" s="53" t="n"/>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25.5" customHeight="1" s="65">
      <c r="A14" s="53" t="n"/>
      <c r="B14" s="53" t="n"/>
      <c r="C14" s="24" t="n">
        <v>2</v>
      </c>
      <c r="D14" s="21" t="inlineStr">
        <is>
          <t>Estruturado, mas com pontas soltas: conta solta, slide inacabado, formatação inconsistente.</t>
        </is>
      </c>
      <c r="E14" s="22" t="n"/>
      <c r="F14" s="53" t="n"/>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25.5" customHeight="1" s="65">
      <c r="A15" s="53" t="n"/>
      <c r="B15" s="53" t="n"/>
      <c r="C15" s="27" t="n">
        <v>1</v>
      </c>
      <c r="D15" s="21" t="inlineStr">
        <is>
          <t>Responde as perguntas, mas em formato de lista ou rascunho.</t>
        </is>
      </c>
      <c r="E15" s="22" t="n"/>
      <c r="F15" s="53" t="n"/>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25.5" customHeight="1" s="65">
      <c r="A16" s="53" t="n"/>
      <c r="B16" s="53" t="n"/>
      <c r="C16" s="29" t="n">
        <v>0</v>
      </c>
      <c r="D16" s="21" t="inlineStr">
        <is>
          <t>Foto de papel, texto corrido no e-mail, ou arquivo sem estrutura nenhuma.</t>
        </is>
      </c>
      <c r="E16" s="22"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21.75" customHeight="1" s="65">
      <c r="A17" s="53" t="n"/>
      <c r="B17" s="53" t="n"/>
      <c r="C17" s="53" t="n"/>
      <c r="D17" s="31" t="inlineStr">
        <is>
          <t>TESTE OPERACIONAL:  Você mandaria esse arquivo, sem editar nada, pro cliente do seu projeto?</t>
        </is>
      </c>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53" t="n"/>
      <c r="C18" s="53" t="n"/>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27.75" customHeight="1" s="65">
      <c r="A19" s="53" t="n"/>
      <c r="B19" s="13" t="inlineStr">
        <is>
          <t>C3</t>
        </is>
      </c>
      <c r="C19" s="15" t="inlineStr">
        <is>
          <t>7 pts</t>
        </is>
      </c>
      <c r="D19" s="17" t="inlineStr">
        <is>
          <t>A apresentação apresenta um bom storytelling e envolve o leitor.</t>
        </is>
      </c>
      <c r="E19" s="18"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25.5" customHeight="1" s="65">
      <c r="A20" s="53" t="n"/>
      <c r="B20" s="53" t="n"/>
      <c r="C20" s="20" t="n">
        <v>3</v>
      </c>
      <c r="D20" s="21" t="inlineStr">
        <is>
          <t>Lendo só os títulos, na ordem, a história fecha sozinha: contexto -&gt; problema -&gt; análise -&gt; recomendação -&gt; riscos.</t>
        </is>
      </c>
      <c r="E20" s="22"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25.5" customHeight="1" s="65">
      <c r="A21" s="53" t="n"/>
      <c r="B21" s="53" t="n"/>
      <c r="C21" s="24" t="n">
        <v>2</v>
      </c>
      <c r="D21" s="21" t="inlineStr">
        <is>
          <t>A sequência é lógica, com 1 ou 2 saltos que obrigam o leitor a voltar.</t>
        </is>
      </c>
      <c r="E21" s="22"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25.5" customHeight="1" s="65">
      <c r="A22" s="53" t="n"/>
      <c r="B22" s="53" t="n"/>
      <c r="C22" s="27" t="n">
        <v>1</v>
      </c>
      <c r="D22" s="21" t="inlineStr">
        <is>
          <t>Os blocos existem, mas soltos — um não puxa o outro.</t>
        </is>
      </c>
      <c r="E22" s="22"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25.5" customHeight="1" s="65">
      <c r="A23" s="53" t="n"/>
      <c r="B23" s="53" t="n"/>
      <c r="C23" s="29" t="n">
        <v>0</v>
      </c>
      <c r="D23" s="21" t="inlineStr">
        <is>
          <t>Ordem aleatória, ou é só uma lista de respostas às perguntas.</t>
        </is>
      </c>
      <c r="E23" s="22" t="n"/>
      <c r="F23" s="53" t="n"/>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21.75" customHeight="1" s="65">
      <c r="A24" s="53" t="n"/>
      <c r="B24" s="53" t="n"/>
      <c r="C24" s="53" t="n"/>
      <c r="D24" s="31" t="inlineStr">
        <is>
          <t>TESTE OPERACIONAL:  Leia SÓ os títulos em voz alta. Se a recomendação não aparecer, é no máximo 1.</t>
        </is>
      </c>
      <c r="E24" s="53" t="n"/>
      <c r="F24" s="53" t="n"/>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14.25" customHeight="1" s="65">
      <c r="A25" s="53" t="n"/>
      <c r="B25" s="53" t="n"/>
      <c r="C25" s="53" t="n"/>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27.75" customHeight="1" s="65">
      <c r="A26" s="53" t="n"/>
      <c r="B26" s="13" t="inlineStr">
        <is>
          <t>C4</t>
        </is>
      </c>
      <c r="C26" s="15" t="inlineStr">
        <is>
          <t>5 pts</t>
        </is>
      </c>
      <c r="D26" s="17" t="inlineStr">
        <is>
          <t>O trabalho está visualmente bonito.</t>
        </is>
      </c>
      <c r="E26" s="18" t="n"/>
      <c r="F26" s="53"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25.5" customHeight="1" s="65">
      <c r="A27" s="53" t="n"/>
      <c r="B27" s="53" t="n"/>
      <c r="C27" s="20" t="n">
        <v>3</v>
      </c>
      <c r="D27" s="21" t="inlineStr">
        <is>
          <t>Padrão único de fonte, cor e alinhamento em toda a entrega. Nenhum slide com parágrafo corrido.</t>
        </is>
      </c>
      <c r="E27" s="22"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25.5" customHeight="1" s="65">
      <c r="A28" s="53" t="n"/>
      <c r="B28" s="53" t="n"/>
      <c r="C28" s="24" t="n">
        <v>2</v>
      </c>
      <c r="D28" s="21" t="inlineStr">
        <is>
          <t>Consistente, com até 2 slides fora do padrão.</t>
        </is>
      </c>
      <c r="E28" s="22" t="n"/>
      <c r="F28" s="53" t="n"/>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25.5" customHeight="1" s="65">
      <c r="A29" s="53" t="n"/>
      <c r="B29" s="53" t="n"/>
      <c r="C29" s="27" t="n">
        <v>1</v>
      </c>
      <c r="D29" s="21" t="inlineStr">
        <is>
          <t>Formatação improvisada, mas legível.</t>
        </is>
      </c>
      <c r="E29" s="22" t="n"/>
      <c r="F29" s="53" t="n"/>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25.5" customHeight="1" s="65">
      <c r="A30" s="53" t="n"/>
      <c r="B30" s="53" t="n"/>
      <c r="C30" s="29" t="n">
        <v>0</v>
      </c>
      <c r="D30" s="21" t="inlineStr">
        <is>
          <t>Ilegível, desalinhado, ou é texto corrido.</t>
        </is>
      </c>
      <c r="E30" s="22"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21.75" customHeight="1" s="65">
      <c r="A31" s="53" t="n"/>
      <c r="B31" s="53" t="n"/>
      <c r="C31" s="53" t="n"/>
      <c r="D31" s="31" t="inlineStr">
        <is>
          <t>TESTE OPERACIONAL:  Conte os slides fora do padrão. É uma contagem, não uma impressão.</t>
        </is>
      </c>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53" t="n"/>
      <c r="C32" s="53" t="n"/>
      <c r="D32" s="53" t="n"/>
      <c r="E32" s="53" t="n"/>
      <c r="F32" s="53" t="n"/>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4.25" customHeight="1" s="65">
      <c r="A33" s="53" t="n"/>
      <c r="B33" s="53" t="n"/>
      <c r="C33" s="53" t="n"/>
      <c r="D33" s="53" t="n"/>
      <c r="E33" s="53" t="n"/>
      <c r="F33" s="53" t="n"/>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24" customHeight="1" s="65">
      <c r="A34" s="53" t="n"/>
      <c r="B34" s="69" t="inlineStr">
        <is>
          <t>RACIOCÍNIO DE NEGÓCIO  —  25 pontos de 100</t>
        </is>
      </c>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27.75" customHeight="1" s="65">
      <c r="A35" s="53" t="n"/>
      <c r="B35" s="13" t="inlineStr">
        <is>
          <t>R1</t>
        </is>
      </c>
      <c r="C35" s="15" t="inlineStr">
        <is>
          <t>8 pts</t>
        </is>
      </c>
      <c r="D35" s="17" t="inlineStr">
        <is>
          <t>Sua recomendação leva em consideração ambas as partes qualitativas e quantitativas do case.</t>
        </is>
      </c>
      <c r="E35" s="18"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25.5" customHeight="1" s="65">
      <c r="A36" s="53" t="n"/>
      <c r="B36" s="53" t="n"/>
      <c r="C36" s="20" t="n">
        <v>3</v>
      </c>
      <c r="D36" s="21" t="inlineStr">
        <is>
          <t>A recomendação cita o número que a sustenta E a razão de negócio; as duas partes se apoiam.</t>
        </is>
      </c>
      <c r="E36" s="22"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25.5" customHeight="1" s="65">
      <c r="A37" s="53" t="n"/>
      <c r="B37" s="53" t="n"/>
      <c r="C37" s="24" t="n">
        <v>2</v>
      </c>
      <c r="D37" s="21" t="inlineStr">
        <is>
          <t>Cita as duas, mas uma é decorativa — o número não sustenta de fato a decisão.</t>
        </is>
      </c>
      <c r="E37" s="22"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25.5" customHeight="1" s="65">
      <c r="A38" s="53" t="n"/>
      <c r="B38" s="53" t="n"/>
      <c r="C38" s="27" t="n">
        <v>1</v>
      </c>
      <c r="D38" s="21" t="inlineStr">
        <is>
          <t>Só quantitativa (número sem porquê) ou só qualitativa (opinião sem número).</t>
        </is>
      </c>
      <c r="E38" s="22"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25.5" customHeight="1" s="65">
      <c r="A39" s="53" t="n"/>
      <c r="B39" s="53" t="n"/>
      <c r="C39" s="29" t="n">
        <v>0</v>
      </c>
      <c r="D39" s="21" t="inlineStr">
        <is>
          <t>Não há recomendação, ou ela contraria os próprios números apresentados.</t>
        </is>
      </c>
      <c r="E39" s="22"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21.75" customHeight="1" s="65">
      <c r="A40" s="53" t="n"/>
      <c r="B40" s="53" t="n"/>
      <c r="C40" s="53" t="n"/>
      <c r="D40" s="31" t="inlineStr">
        <is>
          <t>TESTE OPERACIONAL:  Tape o número: a recomendação ainda se sustenta? Tape o argumento: ainda se sustenta?</t>
        </is>
      </c>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27.75" customHeight="1" s="65">
      <c r="A42" s="53" t="n"/>
      <c r="B42" s="13" t="inlineStr">
        <is>
          <t>R2</t>
        </is>
      </c>
      <c r="C42" s="15" t="inlineStr">
        <is>
          <t>7 pts</t>
        </is>
      </c>
      <c r="D42" s="17" t="inlineStr">
        <is>
          <t>O trabalho apresenta uma discussão rica com diversos pontos de vista sobre a expansão.</t>
        </is>
      </c>
      <c r="E42" s="18"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25.5" customHeight="1" s="65">
      <c r="A43" s="53" t="n"/>
      <c r="B43" s="53" t="n"/>
      <c r="C43" s="20" t="n">
        <v>3</v>
      </c>
      <c r="D43" s="21" t="inlineStr">
        <is>
          <t>Apresenta ao menos 2 caminhos, compara com critério explícito e justifica o que descartou.</t>
        </is>
      </c>
      <c r="E43" s="22"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25.5" customHeight="1" s="65">
      <c r="A44" s="53" t="n"/>
      <c r="B44" s="53" t="n"/>
      <c r="C44" s="24" t="n">
        <v>2</v>
      </c>
      <c r="D44" s="21" t="inlineStr">
        <is>
          <t>Cita alternativas, mas não compara — escolhe sem justificar.</t>
        </is>
      </c>
      <c r="E44" s="22"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25.5" customHeight="1" s="65">
      <c r="A45" s="53" t="n"/>
      <c r="B45" s="53" t="n"/>
      <c r="C45" s="27" t="n">
        <v>1</v>
      </c>
      <c r="D45" s="21" t="inlineStr">
        <is>
          <t>Menciona que existem alternativas, sem desenvolver nenhuma.</t>
        </is>
      </c>
      <c r="E45" s="22"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25.5" customHeight="1" s="65">
      <c r="A46" s="53" t="n"/>
      <c r="B46" s="53" t="n"/>
      <c r="C46" s="29" t="n">
        <v>0</v>
      </c>
      <c r="D46" s="21" t="inlineStr">
        <is>
          <t>Caminho único, sem discussão.</t>
        </is>
      </c>
      <c r="E46" s="22"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21.75" customHeight="1" s="65">
      <c r="A47" s="53" t="n"/>
      <c r="B47" s="53" t="n"/>
      <c r="C47" s="53" t="n"/>
      <c r="D47" s="31" t="inlineStr">
        <is>
          <t>TESTE OPERACIONAL:  Ele descartou alguma coisa por escrito? Se não descartou nada, não discutiu.</t>
        </is>
      </c>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27.75" customHeight="1" s="65">
      <c r="A49" s="53" t="n"/>
      <c r="B49" s="13" t="inlineStr">
        <is>
          <t>R3</t>
        </is>
      </c>
      <c r="C49" s="15" t="inlineStr">
        <is>
          <t>5 pts</t>
        </is>
      </c>
      <c r="D49" s="17" t="inlineStr">
        <is>
          <t>Foi além do pedido e trouxe análises interessantes.</t>
        </is>
      </c>
      <c r="E49" s="18"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25.5" customHeight="1" s="65">
      <c r="A50" s="53" t="n"/>
      <c r="B50" s="53" t="n"/>
      <c r="C50" s="20" t="n">
        <v>3</v>
      </c>
      <c r="D50" s="21" t="inlineStr">
        <is>
          <t>Trouxe algo não pedido que MUDA ou FORTALECE a recomendação.</t>
        </is>
      </c>
      <c r="E50" s="22"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25.5" customHeight="1" s="65">
      <c r="A51" s="53" t="n"/>
      <c r="B51" s="53" t="n"/>
      <c r="C51" s="24" t="n">
        <v>2</v>
      </c>
      <c r="D51" s="21" t="inlineStr">
        <is>
          <t>Trouxe algo não pedido, correto e LIGADO À DECISÃO, mas que não altera a conclusão.</t>
        </is>
      </c>
      <c r="E51" s="22"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25.5" customHeight="1" s="65">
      <c r="A52" s="53" t="n"/>
      <c r="B52" s="53" t="n"/>
      <c r="C52" s="27" t="n">
        <v>1</v>
      </c>
      <c r="D52" s="21" t="inlineStr">
        <is>
          <t>Não trouxe nada além, mas entregou o pedido de forma completa e correta.</t>
        </is>
      </c>
      <c r="E52" s="22"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25.5" customHeight="1" s="65">
      <c r="A53" s="53" t="n"/>
      <c r="B53" s="53" t="n"/>
      <c r="C53" s="29" t="n">
        <v>0</v>
      </c>
      <c r="D53" s="21" t="inlineStr">
        <is>
          <t>O material extra NÃO SE CONECTA à decisão (tangenciou), ou o pedido ficou incompleto.</t>
        </is>
      </c>
      <c r="E53" s="22"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21.75" customHeight="1" s="65">
      <c r="A54" s="53" t="n"/>
      <c r="B54" s="53" t="n"/>
      <c r="C54" s="53" t="n"/>
      <c r="D54" s="31" t="inlineStr">
        <is>
          <t>TESTE OPERACIONAL:  A análise extra responde a uma pergunta que o cliente deveria ter feito? Se não dá pra dizer qual decisão ela informa, é 0 — não 2. Volume não conta: três páginas de análise tangencial valem menos que nenhuma.</t>
        </is>
      </c>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27.75" customHeight="1" s="65">
      <c r="A56" s="53" t="n"/>
      <c r="B56" s="13" t="inlineStr">
        <is>
          <t>R4</t>
        </is>
      </c>
      <c r="C56" s="15" t="inlineStr">
        <is>
          <t>5 pts</t>
        </is>
      </c>
      <c r="D56" s="17" t="inlineStr">
        <is>
          <t>Foi além das interpretações óbvias dos indicadores e agregou valor à análise.</t>
        </is>
      </c>
      <c r="E56" s="18"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25.5" customHeight="1" s="65">
      <c r="A57" s="53" t="n"/>
      <c r="B57" s="53" t="n"/>
      <c r="C57" s="20" t="n">
        <v>3</v>
      </c>
      <c r="D57" s="21" t="inlineStr">
        <is>
          <t>Explica a CAUSA por trás do indicador e o que fazer com ela.</t>
        </is>
      </c>
      <c r="E57" s="22"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25.5" customHeight="1" s="65">
      <c r="A58" s="53" t="n"/>
      <c r="B58" s="53" t="n"/>
      <c r="C58" s="24" t="n">
        <v>2</v>
      </c>
      <c r="D58" s="21" t="inlineStr">
        <is>
          <t>Compara o indicador com algo (outra loja, outro ano, benchmark) e tira conclusão.</t>
        </is>
      </c>
      <c r="E58" s="22"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25.5" customHeight="1" s="65">
      <c r="A59" s="53" t="n"/>
      <c r="B59" s="53" t="n"/>
      <c r="C59" s="27" t="n">
        <v>1</v>
      </c>
      <c r="D59" s="21" t="inlineStr">
        <is>
          <t>Lê o indicador corretamente (ex.: a margem caiu).</t>
        </is>
      </c>
      <c r="E59" s="22"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25.5" customHeight="1" s="65">
      <c r="A60" s="53" t="n"/>
      <c r="B60" s="53" t="n"/>
      <c r="C60" s="29" t="n">
        <v>0</v>
      </c>
      <c r="D60" s="21" t="inlineStr">
        <is>
          <t>Repete o número sem interpretar.</t>
        </is>
      </c>
      <c r="E60" s="22"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21.75" customHeight="1" s="65">
      <c r="A61" s="53" t="n"/>
      <c r="B61" s="53" t="n"/>
      <c r="C61" s="53" t="n"/>
      <c r="D61" s="31" t="inlineStr">
        <is>
          <t>TESTE OPERACIONAL:  Ele respondeu 'por quê', 'comparado a quê', ou só 'quanto'?</t>
        </is>
      </c>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24" customHeight="1" s="65">
      <c r="A64" s="53" t="n"/>
      <c r="B64" s="69" t="inlineStr">
        <is>
          <t>ACURÁCIA TÉCNICA  —  25 pontos de 100</t>
        </is>
      </c>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61.5" customHeight="1" s="65">
      <c r="A65" s="53" t="n"/>
      <c r="B65" s="70"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27.75" customHeight="1" s="65">
      <c r="A66" s="53" t="n"/>
      <c r="B66" s="13" t="inlineStr">
        <is>
          <t>A1</t>
        </is>
      </c>
      <c r="C66" s="15" t="inlineStr">
        <is>
          <t>6 pts</t>
        </is>
      </c>
      <c r="D66" s="17" t="inlineStr">
        <is>
          <t>Calculou o resultado operacional anual dos QUATRO bairros no modelo de ARMÁRIOS INTELIGENTES, com o arredondamento dos bancos para cima?</t>
        </is>
      </c>
      <c r="E66" s="18" t="inlineStr">
        <is>
          <t>col. Z · BagHub 2026-2S · valores e tolerância na aba Gabarito</t>
        </is>
      </c>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25.5" customHeight="1" s="65">
      <c r="A67" s="53" t="n"/>
      <c r="B67" s="53" t="n"/>
      <c r="C67" s="20" t="n">
        <v>3</v>
      </c>
      <c r="D67" s="21" t="inlineStr">
        <is>
          <t>Valor dentro da tolerância definida na aba Gabarito E memória de cálculo visível.</t>
        </is>
      </c>
      <c r="E67" s="22"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25.5" customHeight="1" s="65">
      <c r="A68" s="53" t="n"/>
      <c r="B68" s="53" t="n"/>
      <c r="C68" s="24" t="n">
        <v>2</v>
      </c>
      <c r="D68" s="21" t="inlineStr">
        <is>
          <t>Método correto, valor fora da tolerância (erro aritmético).</t>
        </is>
      </c>
      <c r="E68" s="22"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25.5" customHeight="1" s="65">
      <c r="A69" s="53" t="n"/>
      <c r="B69" s="53" t="n"/>
      <c r="C69" s="27" t="n">
        <v>1</v>
      </c>
      <c r="D69" s="21" t="inlineStr">
        <is>
          <t>Identificou a lógica correta, não fechou o número.</t>
        </is>
      </c>
      <c r="E69" s="22"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25.5" customHeight="1" s="65">
      <c r="A70" s="53" t="n"/>
      <c r="B70" s="53" t="n"/>
      <c r="C70" s="29" t="n">
        <v>0</v>
      </c>
      <c r="D70" s="21" t="inlineStr">
        <is>
          <t>Não respondeu, ou o método está errado.</t>
        </is>
      </c>
      <c r="E70" s="22"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21.75" customHeight="1" s="65">
      <c r="A71" s="53" t="n"/>
      <c r="B71" s="53" t="n"/>
      <c r="C71" s="53" t="n"/>
      <c r="D71" s="31" t="inlineStr">
        <is>
          <t>TESTE OPERACIONAL:  Confira contra a aba Gabarito. Dois avaliadores têm que chegar no mesmo número.</t>
        </is>
      </c>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27.75" customHeight="1" s="65">
      <c r="A73" s="53" t="n"/>
      <c r="B73" s="13" t="inlineStr">
        <is>
          <t>A2</t>
        </is>
      </c>
      <c r="C73" s="15" t="inlineStr">
        <is>
          <t>6 pts</t>
        </is>
      </c>
      <c r="D73" s="17" t="inlineStr">
        <is>
          <t>Calculou o resultado operacional anual dos QUATRO bairros no modelo de PONTOS PARCEIROS?</t>
        </is>
      </c>
      <c r="E73" s="18" t="inlineStr">
        <is>
          <t>col. AA · BagHub 2026-2S · receita e custo-base são iguais nos dois modelos</t>
        </is>
      </c>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25.5" customHeight="1" s="65">
      <c r="A74" s="53" t="n"/>
      <c r="B74" s="53" t="n"/>
      <c r="C74" s="20" t="n">
        <v>3</v>
      </c>
      <c r="D74" s="21" t="inlineStr">
        <is>
          <t>Valor dentro da tolerância definida na aba Gabarito E memória de cálculo visível.</t>
        </is>
      </c>
      <c r="E74" s="22"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25.5" customHeight="1" s="65">
      <c r="A75" s="53" t="n"/>
      <c r="B75" s="53" t="n"/>
      <c r="C75" s="24" t="n">
        <v>2</v>
      </c>
      <c r="D75" s="21" t="inlineStr">
        <is>
          <t>Método correto, valor fora da tolerância (erro aritmético).</t>
        </is>
      </c>
      <c r="E75" s="22"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25.5" customHeight="1" s="65">
      <c r="A76" s="53" t="n"/>
      <c r="B76" s="53" t="n"/>
      <c r="C76" s="27" t="n">
        <v>1</v>
      </c>
      <c r="D76" s="21" t="inlineStr">
        <is>
          <t>Identificou a lógica correta, não fechou o número.</t>
        </is>
      </c>
      <c r="E76" s="22"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25.5" customHeight="1" s="65">
      <c r="A77" s="53" t="n"/>
      <c r="B77" s="53" t="n"/>
      <c r="C77" s="29" t="n">
        <v>0</v>
      </c>
      <c r="D77" s="21" t="inlineStr">
        <is>
          <t>Não respondeu, ou o método está errado.</t>
        </is>
      </c>
      <c r="E77" s="22"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21.75" customHeight="1" s="65">
      <c r="A78" s="53" t="n"/>
      <c r="B78" s="53" t="n"/>
      <c r="C78" s="53" t="n"/>
      <c r="D78" s="31" t="inlineStr">
        <is>
          <t>TESTE OPERACIONAL:  Confira contra a aba Gabarito.</t>
        </is>
      </c>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27.75" customHeight="1" s="65">
      <c r="A80" s="53" t="n"/>
      <c r="B80" s="13" t="inlineStr">
        <is>
          <t>A3</t>
        </is>
      </c>
      <c r="C80" s="15" t="inlineStr">
        <is>
          <t>4 pts</t>
        </is>
      </c>
      <c r="D80" s="17" t="inlineStr">
        <is>
          <t>[COMPARAÇÃO ENTRE MODELOS — este case não pede projeção] Comparou os dois modelos e o número da recomendação bate com a tabela que ele mesmo montou?</t>
        </is>
      </c>
      <c r="E80" s="18" t="inlineStr">
        <is>
          <t>ADAPTADO — o case não tem meta declarada, então a âncora foi repontuada na comparação de modelos</t>
        </is>
      </c>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25.5" customHeight="1" s="65">
      <c r="A81" s="53" t="n"/>
      <c r="B81" s="53" t="n"/>
      <c r="C81" s="20" t="n">
        <v>3</v>
      </c>
      <c r="D81" s="21" t="inlineStr">
        <is>
          <t>Calcula o ganho líquido dos parceiros (economia de bancos − acréscimo de operação) nos 4 bairros E o número citado na recomendação bate com a tabela dele.</t>
        </is>
      </c>
      <c r="E81" s="22"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25.5" customHeight="1" s="65">
      <c r="A82" s="53" t="n"/>
      <c r="B82" s="53" t="n"/>
      <c r="C82" s="24" t="n">
        <v>2</v>
      </c>
      <c r="D82" s="21" t="inlineStr">
        <is>
          <t>Compara os dois modelos em parte dos bairros, ou nos quatro sem mostrar de onde vem a diferença.</t>
        </is>
      </c>
      <c r="E82" s="22"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25.5" customHeight="1" s="65">
      <c r="A83" s="53" t="n"/>
      <c r="B83" s="53" t="n"/>
      <c r="C83" s="27" t="n">
        <v>1</v>
      </c>
      <c r="D83" s="21" t="inlineStr">
        <is>
          <t>Afirma que um modelo é melhor, sem número que sustente.</t>
        </is>
      </c>
      <c r="E83" s="22"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25.5" customHeight="1" s="65">
      <c r="A84" s="53" t="n"/>
      <c r="B84" s="53" t="n"/>
      <c r="C84" s="29" t="n">
        <v>0</v>
      </c>
      <c r="D84" s="21" t="inlineStr">
        <is>
          <t>Não comparou os modelos.</t>
        </is>
      </c>
      <c r="E84" s="22"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21.75" customHeight="1" s="65">
      <c r="A85" s="53" t="n"/>
      <c r="B85" s="53" t="n"/>
      <c r="C85" s="53" t="n"/>
      <c r="D85" s="31" t="inlineStr">
        <is>
          <t>TESTE OPERACIONAL:  Pegue o número que ele escreveu na recomendação e procure na tabela dele. Bate?</t>
        </is>
      </c>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27.75" customHeight="1" s="65">
      <c r="A87" s="53" t="n"/>
      <c r="B87" s="13" t="inlineStr">
        <is>
          <t>A4</t>
        </is>
      </c>
      <c r="C87" s="15" t="inlineStr">
        <is>
          <t>3 pts</t>
        </is>
      </c>
      <c r="D87" s="17" t="inlineStr">
        <is>
          <t>Indicou a ordem de prioridade dos demais bairros, ou defendeu o modelo alternativo, com o impacto quantificado?</t>
        </is>
      </c>
      <c r="E87" s="18" t="inlineStr">
        <is>
          <t>col. AB · o gabarito autoriza Centro Histórico primeiro e armários, desde que justificados</t>
        </is>
      </c>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25.5" customHeight="1" s="65">
      <c r="A88" s="53" t="n"/>
      <c r="B88" s="53" t="n"/>
      <c r="C88" s="20" t="n">
        <v>3</v>
      </c>
      <c r="D88" s="21" t="inlineStr">
        <is>
          <t>Propõe alternativa com número estimado de impacto.</t>
        </is>
      </c>
      <c r="E88" s="22"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25.5" customHeight="1" s="65">
      <c r="A89" s="53" t="n"/>
      <c r="B89" s="53" t="n"/>
      <c r="C89" s="24" t="n">
        <v>2</v>
      </c>
      <c r="D89" s="21" t="inlineStr">
        <is>
          <t>Propõe alternativa coerente com o case, sem quantificar.</t>
        </is>
      </c>
      <c r="E89" s="22"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25.5" customHeight="1" s="65">
      <c r="A90" s="53" t="n"/>
      <c r="B90" s="53" t="n"/>
      <c r="C90" s="27" t="n">
        <v>1</v>
      </c>
      <c r="D90" s="21" t="inlineStr">
        <is>
          <t>Alternativa genérica — serviria pra qualquer empresa.</t>
        </is>
      </c>
      <c r="E90" s="22"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25.5" customHeight="1" s="65">
      <c r="A91" s="53" t="n"/>
      <c r="B91" s="53" t="n"/>
      <c r="C91" s="29" t="n">
        <v>0</v>
      </c>
      <c r="D91" s="21" t="inlineStr">
        <is>
          <t>Não propôs, ou propõe algo que contraria o case.</t>
        </is>
      </c>
      <c r="E91" s="22"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21.75" customHeight="1" s="65">
      <c r="A92" s="53" t="n"/>
      <c r="B92" s="53" t="n"/>
      <c r="C92" s="53" t="n"/>
      <c r="D92" s="31" t="inlineStr">
        <is>
          <t>TESTE OPERACIONAL:  A alternativa cita algo que só existe NESTE case? Se não, é 1.</t>
        </is>
      </c>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27.75" customHeight="1" s="65">
      <c r="A94" s="53" t="n"/>
      <c r="B94" s="13" t="inlineStr">
        <is>
          <t>A5</t>
        </is>
      </c>
      <c r="C94" s="15" t="inlineStr">
        <is>
          <t>3 pts</t>
        </is>
      </c>
      <c r="D94" s="17" t="inlineStr">
        <is>
          <t>Analisou riscos e próximos passos de forma lógica e estruturada?</t>
        </is>
      </c>
      <c r="E94" s="18" t="inlineStr">
        <is>
          <t>col. AC (era 1 pt) — serve para qualquer case, não precisa reescrever</t>
        </is>
      </c>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25.5" customHeight="1" s="65">
      <c r="A95" s="53" t="n"/>
      <c r="B95" s="53" t="n"/>
      <c r="C95" s="20" t="n">
        <v>3</v>
      </c>
      <c r="D95" s="21" t="inlineStr">
        <is>
          <t>Riscos específicos da recomendação DELE, com mitigação e prazo.</t>
        </is>
      </c>
      <c r="E95" s="22"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25.5" customHeight="1" s="65">
      <c r="A96" s="53" t="n"/>
      <c r="B96" s="53" t="n"/>
      <c r="C96" s="24" t="n">
        <v>2</v>
      </c>
      <c r="D96" s="21" t="inlineStr">
        <is>
          <t>Riscos específicos, sem mitigação.</t>
        </is>
      </c>
      <c r="E96" s="22"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25.5" customHeight="1" s="65">
      <c r="A97" s="53" t="n"/>
      <c r="B97" s="53" t="n"/>
      <c r="C97" s="27" t="n">
        <v>1</v>
      </c>
      <c r="D97" s="21" t="inlineStr">
        <is>
          <t>Riscos genéricos (crise, concorrência, câmbio).</t>
        </is>
      </c>
      <c r="E97" s="22"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25.5" customHeight="1" s="65">
      <c r="A98" s="53" t="n"/>
      <c r="B98" s="53" t="n"/>
      <c r="C98" s="29" t="n">
        <v>0</v>
      </c>
      <c r="D98" s="21" t="inlineStr">
        <is>
          <t>Não fez.</t>
        </is>
      </c>
      <c r="E98" s="22"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21.75" customHeight="1" s="65">
      <c r="A99" s="53" t="n"/>
      <c r="B99" s="53" t="n"/>
      <c r="C99" s="53" t="n"/>
      <c r="D99" s="31" t="inlineStr">
        <is>
          <t>TESTE OPERACIONAL:  O risco listado some se a recomendação mudar? Se não some, é genérico.</t>
        </is>
      </c>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27.75" customHeight="1" s="65">
      <c r="A101" s="53" t="n"/>
      <c r="B101" s="13" t="inlineStr">
        <is>
          <t>A6</t>
        </is>
      </c>
      <c r="C101" s="15" t="inlineStr">
        <is>
          <t>3 pts</t>
        </is>
      </c>
      <c r="D101" s="17" t="inlineStr">
        <is>
          <t>[PREMISSAS — este case não tem inconsistência plantada] Explicitou as premissas que o enunciado deixa em aberto ou adverte contra?</t>
        </is>
      </c>
      <c r="E101" s="18" t="inlineStr">
        <is>
          <t>ADAPTADO — nada foi plantado no BagHub; plantar de verdade no case de 2027-1S</t>
        </is>
      </c>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25.5" customHeight="1" s="65">
      <c r="A102" s="53" t="n"/>
      <c r="B102" s="53" t="n"/>
      <c r="C102" s="20" t="n">
        <v>3</v>
      </c>
      <c r="D102" s="21" t="inlineStr">
        <is>
          <t>Nomeia ao menos uma premissa E diz como tratou (ex.: "a utilização não entra na receita, a demanda já está em transações"; "2.400 posições não são 2.400 parceiros").</t>
        </is>
      </c>
      <c r="E102" s="22"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25.5" customHeight="1" s="65">
      <c r="A103" s="53" t="n"/>
      <c r="B103" s="53" t="n"/>
      <c r="C103" s="24" t="n">
        <v>2</v>
      </c>
      <c r="D103" s="21" t="inlineStr">
        <is>
          <t>Nomeia uma premissa, sem dizer o que fez com ela.</t>
        </is>
      </c>
      <c r="E103" s="22"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25.5" customHeight="1" s="65">
      <c r="A104" s="53" t="n"/>
      <c r="B104" s="53" t="n"/>
      <c r="C104" s="27" t="n">
        <v>1</v>
      </c>
      <c r="D104" s="21" t="inlineStr">
        <is>
          <t>Não nomeia nenhuma, mas os cálculos mostram que tratou certo.</t>
        </is>
      </c>
      <c r="E104" s="22"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25.5" customHeight="1" s="65">
      <c r="A105" s="53" t="n"/>
      <c r="B105" s="53" t="n"/>
      <c r="C105" s="29" t="n">
        <v>0</v>
      </c>
      <c r="D105" s="21" t="inlineStr">
        <is>
          <t>Construiu a análise sobre a leitura errada: aplicou utilização à receita, usou 52 semanas, cobrou bancos dos parceiros ou trocou o índice de complexidade.</t>
        </is>
      </c>
      <c r="E105" s="22"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21.75" customHeight="1" s="65">
      <c r="A106" s="53" t="n"/>
      <c r="B106" s="53" t="n"/>
      <c r="C106" s="53" t="n"/>
      <c r="D106" s="31" t="inlineStr">
        <is>
          <t>TESTE OPERACIONAL:  Procure a FRASE. Sem frase, o teto é 1 — mesmo com todos os números certos. Lista de armadilhas na aba Gabarito.</t>
        </is>
      </c>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24" customHeight="1" s="65">
      <c r="A109" s="53" t="n"/>
      <c r="B109" s="69" t="inlineStr">
        <is>
          <t>ENTREGA (CHECKLIST)  —  10 pontos de 100</t>
        </is>
      </c>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27.75" customHeight="1" s="65">
      <c r="A110" s="53" t="n"/>
      <c r="B110" s="13" t="inlineStr">
        <is>
          <t>E1</t>
        </is>
      </c>
      <c r="C110" s="15" t="inlineStr">
        <is>
          <t>3 pts</t>
        </is>
      </c>
      <c r="D110" s="17" t="inlineStr">
        <is>
          <t>Enviou planilha com a memória de cálculo.</t>
        </is>
      </c>
      <c r="E110" s="18" t="inlineStr">
        <is>
          <t>col. U (era 'Excel = 0,5')</t>
        </is>
      </c>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45" t="inlineStr">
        <is>
          <t>1 / 0</t>
        </is>
      </c>
      <c r="D111" s="21" t="inlineStr">
        <is>
          <t>Item binário: enviou = 1, não enviou = 0.</t>
        </is>
      </c>
      <c r="E111" s="46"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21.75" customHeight="1" s="65">
      <c r="A112" s="53" t="n"/>
      <c r="B112" s="53" t="n"/>
      <c r="C112" s="53" t="n"/>
      <c r="D112" s="31" t="inlineStr">
        <is>
          <t>TESTE OPERACIONAL:  Sim = 1, Não = 0. Sem julgamento.</t>
        </is>
      </c>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27.75" customHeight="1" s="65">
      <c r="A114" s="53" t="n"/>
      <c r="B114" s="13" t="inlineStr">
        <is>
          <t>E2</t>
        </is>
      </c>
      <c r="C114" s="15" t="inlineStr">
        <is>
          <t>2 pts</t>
        </is>
      </c>
      <c r="D114" s="17" t="inlineStr">
        <is>
          <t>Enviou apresentação fechada (PPT ou relatório).</t>
        </is>
      </c>
      <c r="E114" s="18" t="inlineStr">
        <is>
          <t>col. U (era 'PPT = 0,5')</t>
        </is>
      </c>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45" t="inlineStr">
        <is>
          <t>1 / 0</t>
        </is>
      </c>
      <c r="D115" s="21" t="inlineStr">
        <is>
          <t>Item binário: enviou = 1, não enviou = 0.</t>
        </is>
      </c>
      <c r="E115" s="46"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21.75" customHeight="1" s="65">
      <c r="A116" s="53" t="n"/>
      <c r="B116" s="53" t="n"/>
      <c r="C116" s="53" t="n"/>
      <c r="D116" s="31" t="inlineStr">
        <is>
          <t>TESTE OPERACIONAL:  Sim = 1, Não = 0.</t>
        </is>
      </c>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27.75" customHeight="1" s="65">
      <c r="A118" s="53" t="n"/>
      <c r="B118" s="13" t="inlineStr">
        <is>
          <t>E3</t>
        </is>
      </c>
      <c r="C118" s="15" t="inlineStr">
        <is>
          <t>2 pts</t>
        </is>
      </c>
      <c r="D118" s="17" t="inlineStr">
        <is>
          <t>Gravou o vídeo da entrega.</t>
        </is>
      </c>
      <c r="E118" s="18" t="inlineStr">
        <is>
          <t>col. AE (era 'Mandou vídeo = 1 ponto')</t>
        </is>
      </c>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45" t="inlineStr">
        <is>
          <t>1 / 0</t>
        </is>
      </c>
      <c r="D119" s="21" t="inlineStr">
        <is>
          <t>Item binário: enviou = 1, não enviou = 0.</t>
        </is>
      </c>
      <c r="E119" s="46"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21.75" customHeight="1" s="65">
      <c r="A120" s="53" t="n"/>
      <c r="B120" s="53" t="n"/>
      <c r="C120" s="53" t="n"/>
      <c r="D120" s="31" t="inlineStr">
        <is>
          <t>TESTE OPERACIONAL:  Sim = 1, Não = 0.</t>
        </is>
      </c>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27.75" customHeight="1" s="65">
      <c r="A122" s="53" t="n"/>
      <c r="B122" s="13" t="inlineStr">
        <is>
          <t>E4</t>
        </is>
      </c>
      <c r="C122" s="15" t="inlineStr">
        <is>
          <t>3 pts</t>
        </is>
      </c>
      <c r="D122" s="17" t="inlineStr">
        <is>
          <t>O trabalho apresenta recursos textuais e visuais (gráficos, tabelas de DRE).</t>
        </is>
      </c>
      <c r="E122" s="18" t="inlineStr">
        <is>
          <t>col. AF (era 2 pts)</t>
        </is>
      </c>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25.5" customHeight="1" s="65">
      <c r="A123" s="53" t="n"/>
      <c r="B123" s="53" t="n"/>
      <c r="C123" s="20" t="n">
        <v>3</v>
      </c>
      <c r="D123" s="21" t="inlineStr">
        <is>
          <t>Todo gráfico/tabela é citado no texto E sustenta uma afirmação da análise.</t>
        </is>
      </c>
      <c r="E123" s="22"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25.5" customHeight="1" s="65">
      <c r="A124" s="53" t="n"/>
      <c r="B124" s="53" t="n"/>
      <c r="C124" s="24" t="n">
        <v>2</v>
      </c>
      <c r="D124" s="21" t="inlineStr">
        <is>
          <t>Os recursos são corretos e citados, mas alguns são decorativos (não provam nada).</t>
        </is>
      </c>
      <c r="E124" s="22"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25.5" customHeight="1" s="65">
      <c r="A125" s="53" t="n"/>
      <c r="B125" s="53" t="n"/>
      <c r="C125" s="27" t="n">
        <v>1</v>
      </c>
      <c r="D125" s="21" t="inlineStr">
        <is>
          <t>Há recursos, mas soltos — não citados no texto, ou com erro de leitura (eixo, escala, unidade).</t>
        </is>
      </c>
      <c r="E125" s="22"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25.5" customHeight="1" s="65">
      <c r="A126" s="53" t="n"/>
      <c r="B126" s="53" t="n"/>
      <c r="C126" s="29" t="n">
        <v>0</v>
      </c>
      <c r="D126" s="21" t="inlineStr">
        <is>
          <t>Nenhum gráfico ou tabela.</t>
        </is>
      </c>
      <c r="E126" s="22"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21.75" customHeight="1" s="65">
      <c r="A127" s="53" t="n"/>
      <c r="B127" s="53" t="n"/>
      <c r="C127" s="53" t="n"/>
      <c r="D127" s="31" t="inlineStr">
        <is>
          <t>TESTE OPERACIONAL:  Quantidade não é critério: 3 gráficos que provam algo valem mais que 8 enfeitando. Para cada recurso pergunte: que afirmação ele sustenta?</t>
        </is>
      </c>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24" customHeight="1" s="65">
      <c r="A130" s="53" t="n"/>
      <c r="B130" s="69" t="inlineStr">
        <is>
          <t>VÍDEO DO FORMULÁRIO  —  10 pontos de 100</t>
        </is>
      </c>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27.75" customHeight="1" s="65">
      <c r="A131" s="53" t="n"/>
      <c r="B131" s="13" t="inlineStr">
        <is>
          <t>V1</t>
        </is>
      </c>
      <c r="C131" s="15" t="inlineStr">
        <is>
          <t>5 pts</t>
        </is>
      </c>
      <c r="D131" s="17" t="inlineStr">
        <is>
          <t>Clareza e naturalidade na fala.</t>
        </is>
      </c>
      <c r="E131" s="18" t="inlineStr">
        <is>
          <t>col. R — substitui a nota única 0-10</t>
        </is>
      </c>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25.5" customHeight="1" s="65">
      <c r="A132" s="53" t="n"/>
      <c r="B132" s="53" t="n"/>
      <c r="C132" s="20" t="n">
        <v>3</v>
      </c>
      <c r="D132" s="21" t="inlineStr">
        <is>
          <t>Fala com estrutura própria, sem ler. Dá pra acompanhar do começo ao fim.</t>
        </is>
      </c>
      <c r="E132" s="22"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25.5" customHeight="1" s="65">
      <c r="A133" s="53" t="n"/>
      <c r="B133" s="53" t="n"/>
      <c r="C133" s="24" t="n">
        <v>2</v>
      </c>
      <c r="D133" s="21" t="inlineStr">
        <is>
          <t>Boa fala, com apoio visível de roteiro.</t>
        </is>
      </c>
      <c r="E133" s="22"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25.5" customHeight="1" s="65">
      <c r="A134" s="53" t="n"/>
      <c r="B134" s="53" t="n"/>
      <c r="C134" s="27" t="n">
        <v>1</v>
      </c>
      <c r="D134" s="21" t="inlineStr">
        <is>
          <t>Lê integralmente, mas é compreensível.</t>
        </is>
      </c>
      <c r="E134" s="22"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25.5" customHeight="1" s="65">
      <c r="A135" s="53" t="n"/>
      <c r="B135" s="53" t="n"/>
      <c r="C135" s="29" t="n">
        <v>0</v>
      </c>
      <c r="D135" s="21" t="inlineStr">
        <is>
          <t>Não dá pra acompanhar, ou não gravou.</t>
        </is>
      </c>
      <c r="E135" s="22"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21.75" customHeight="1" s="65">
      <c r="A136" s="53" t="n"/>
      <c r="B136" s="53" t="n"/>
      <c r="C136" s="53" t="n"/>
      <c r="D136" s="31" t="inlineStr">
        <is>
          <t>TESTE OPERACIONAL:  Não julgue o conteúdo aqui, só a entrega da fala.</t>
        </is>
      </c>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27.75" customHeight="1" s="65">
      <c r="A138" s="53" t="n"/>
      <c r="B138" s="13" t="inlineStr">
        <is>
          <t>V2</t>
        </is>
      </c>
      <c r="C138" s="15" t="inlineStr">
        <is>
          <t>5 pts</t>
        </is>
      </c>
      <c r="D138" s="17" t="inlineStr">
        <is>
          <t>Apresenta motivo concreto para entrar no CCU.</t>
        </is>
      </c>
      <c r="E138" s="18" t="inlineStr">
        <is>
          <t>col. R — substitui a nota única 0-10</t>
        </is>
      </c>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25.5" customHeight="1" s="65">
      <c r="A139" s="53" t="n"/>
      <c r="B139" s="53" t="n"/>
      <c r="C139" s="20" t="n">
        <v>3</v>
      </c>
      <c r="D139" s="21" t="inlineStr">
        <is>
          <t>Cita algo específico do CCU (projeto, área, evento) e conecta com o que quer desenvolver.</t>
        </is>
      </c>
      <c r="E139" s="22"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25.5" customHeight="1" s="65">
      <c r="A140" s="53" t="n"/>
      <c r="B140" s="53" t="n"/>
      <c r="C140" s="24" t="n">
        <v>2</v>
      </c>
      <c r="D140" s="21" t="inlineStr">
        <is>
          <t>Motivo real, mas genérico (quero aprender consultoria).</t>
        </is>
      </c>
      <c r="E140" s="22"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25.5" customHeight="1" s="65">
      <c r="A141" s="53" t="n"/>
      <c r="B141" s="53" t="n"/>
      <c r="C141" s="27" t="n">
        <v>1</v>
      </c>
      <c r="D141" s="21" t="inlineStr">
        <is>
          <t>Motivo circunstancial (tenho tempo livre, tenho carro pra ir aos eventos).</t>
        </is>
      </c>
      <c r="E141" s="22"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25.5" customHeight="1" s="65">
      <c r="A142" s="53" t="n"/>
      <c r="B142" s="53" t="n"/>
      <c r="C142" s="29" t="n">
        <v>0</v>
      </c>
      <c r="D142" s="21" t="inlineStr">
        <is>
          <t>Não respondeu à pergunta.</t>
        </is>
      </c>
      <c r="E142" s="22"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21.75" customHeight="1" s="65">
      <c r="A143" s="53" t="n"/>
      <c r="B143" s="53" t="n"/>
      <c r="C143" s="53" t="n"/>
      <c r="D143" s="31" t="inlineStr">
        <is>
          <t>TESTE OPERACIONAL:  O motivo dele serviria pra qualquer entidade da Unicamp? Então é 1.</t>
        </is>
      </c>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7">
    <mergeCell ref="B4:E4"/>
    <mergeCell ref="B65:E65"/>
    <mergeCell ref="B64:E64"/>
    <mergeCell ref="B130:E130"/>
    <mergeCell ref="B109:E109"/>
    <mergeCell ref="B2:E2"/>
    <mergeCell ref="B34:E34"/>
  </mergeCells>
  <pageMargins left="0.75" right="0.75" top="1" bottom="1" header="0" footer="0"/>
  <pageSetup orientation="landscape" fitToHeight="0"/>
</worksheet>
</file>

<file path=xl/worksheets/sheet3.xml><?xml version="1.0" encoding="utf-8"?>
<worksheet xmlns="http://schemas.openxmlformats.org/spreadsheetml/2006/main">
  <sheetPr>
    <outlinePr summaryBelow="1" summaryRight="1"/>
    <pageSetUpPr/>
  </sheetPr>
  <dimension ref="A1:AI1000"/>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5" min="1" max="1"/>
    <col width="26" customWidth="1" style="65" min="2" max="2"/>
    <col width="34" customWidth="1" style="65" min="3" max="3"/>
    <col width="16" customWidth="1" style="65" min="4" max="4"/>
    <col width="13.86" customWidth="1" style="65" min="5" max="5"/>
    <col width="11" customWidth="1" style="65" min="6" max="10"/>
    <col width="6" customWidth="1" style="65" min="11" max="14"/>
    <col width="46.43" customWidth="1" style="65" min="15" max="15"/>
    <col width="6" customWidth="1" style="65" min="16" max="19"/>
    <col width="30" customWidth="1" style="65" min="20" max="20"/>
    <col width="6" customWidth="1" style="65" min="21" max="26"/>
    <col width="30" customWidth="1" style="65" min="27" max="27"/>
    <col width="6" customWidth="1" style="65" min="28" max="33"/>
    <col width="30" customWidth="1" style="65" min="34" max="34"/>
    <col width="40" customWidth="1" style="65" min="35" max="35"/>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c r="AA1" s="53" t="n"/>
      <c r="AB1" s="53" t="n"/>
      <c r="AC1" s="53" t="n"/>
      <c r="AD1" s="53" t="n"/>
      <c r="AE1" s="53" t="n"/>
      <c r="AF1" s="53" t="n"/>
      <c r="AG1" s="53" t="n"/>
      <c r="AH1" s="53" t="n"/>
      <c r="AI1" s="53" t="n"/>
    </row>
    <row r="2" ht="25.5" customHeight="1" s="65">
      <c r="A2" s="53" t="n"/>
      <c r="B2" s="71" t="inlineStr">
        <is>
          <t>AVALIAÇÃO — uma linha por candidato POR AVALIADOR. Cada candidato deve aparecer 2 vezes.</t>
        </is>
      </c>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c r="AI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c r="AA3" s="53" t="n"/>
      <c r="AB3" s="53" t="n"/>
      <c r="AC3" s="53" t="n"/>
      <c r="AD3" s="53" t="n"/>
      <c r="AE3" s="53" t="n"/>
      <c r="AF3" s="53" t="n"/>
      <c r="AG3" s="53" t="n"/>
      <c r="AH3" s="53" t="n"/>
      <c r="AI3" s="53" t="n"/>
    </row>
    <row r="4" ht="19.5" customHeight="1" s="65">
      <c r="A4" s="53" t="n"/>
      <c r="B4" s="14" t="inlineStr">
        <is>
          <t>Cada nome aparece 2 vezes pra terem 2 avaliadores por pessoa!</t>
        </is>
      </c>
      <c r="C4" s="16" t="n"/>
      <c r="D4" s="16" t="n"/>
      <c r="E4" s="53" t="n"/>
      <c r="F4" s="53" t="n"/>
      <c r="G4" s="53" t="n"/>
      <c r="H4" s="53" t="n"/>
      <c r="I4" s="53" t="n"/>
      <c r="J4" s="53" t="n"/>
      <c r="K4" s="72" t="inlineStr">
        <is>
          <t>COMUNICAÇÃO &amp; ESTRUTURA  (30)</t>
        </is>
      </c>
      <c r="P4" s="72" t="inlineStr">
        <is>
          <t>RACIOCÍNIO DE NEGÓCIO  (25)</t>
        </is>
      </c>
      <c r="U4" s="72" t="inlineStr">
        <is>
          <t>ACURÁCIA TÉCNICA  (25)</t>
        </is>
      </c>
      <c r="AB4" s="72" t="inlineStr">
        <is>
          <t>ENTREGA (CHECKLIST)  (10)</t>
        </is>
      </c>
      <c r="AF4" s="72" t="inlineStr">
        <is>
          <t>VÍDEO DO FORMULÁRIO  (10)</t>
        </is>
      </c>
      <c r="AI4" s="53" t="n"/>
    </row>
    <row r="5" ht="33.75" customHeight="1" s="65">
      <c r="A5" s="25" t="inlineStr">
        <is>
          <t>#</t>
        </is>
      </c>
      <c r="B5" s="25" t="inlineStr">
        <is>
          <t>E-mail</t>
        </is>
      </c>
      <c r="C5" s="25" t="inlineStr">
        <is>
          <t>Candidato(a)</t>
        </is>
      </c>
      <c r="D5" s="25" t="inlineStr">
        <is>
          <t>Avaliador</t>
        </is>
      </c>
      <c r="E5" s="25" t="inlineStr">
        <is>
          <t>NOTA FINAL</t>
        </is>
      </c>
      <c r="F5" s="25" t="inlineStr">
        <is>
          <t>Comunic. /30</t>
        </is>
      </c>
      <c r="G5" s="25" t="inlineStr">
        <is>
          <t>Racioc. /25</t>
        </is>
      </c>
      <c r="H5" s="25" t="inlineStr">
        <is>
          <t>Acurácia /25</t>
        </is>
      </c>
      <c r="I5" s="25" t="inlineStr">
        <is>
          <t>Entrega /10</t>
        </is>
      </c>
      <c r="J5" s="25"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5" t="inlineStr">
        <is>
          <t>Comentário geral</t>
        </is>
      </c>
    </row>
    <row r="6" ht="14.25" customHeight="1" s="65">
      <c r="A6" s="53" t="n"/>
      <c r="B6" s="53" t="n"/>
      <c r="C6" s="30" t="inlineStr">
        <is>
          <t>Modelo (entrega nota máxima)</t>
        </is>
      </c>
      <c r="D6" s="53" t="n"/>
      <c r="E6" s="32">
        <f>IF(COUNT(K6:AG6)=0,"",ROUND((F6+G6+H6+I6+J6)/10,2))</f>
        <v/>
      </c>
      <c r="F6" s="33">
        <f>IF(COUNT(K6:AG6)=0,"",(K6*10+L6*8+M6*7+N6*5)/3)</f>
        <v/>
      </c>
      <c r="G6" s="33">
        <f>IF(COUNT(K6:AG6)=0,"",(P6*8+Q6*7+R6*5+S6*5)/3)</f>
        <v/>
      </c>
      <c r="H6" s="33">
        <f>IF(COUNT(K6:AG6)=0,"",(U6*6+V6*6+W6*4+X6*3+Y6*3+Z6*3)/3)</f>
        <v/>
      </c>
      <c r="I6" s="33">
        <f>IF(COUNT(K6:AG6)=0,"",AB6*3+AC6*2+AD6*2+AE6*1)</f>
        <v/>
      </c>
      <c r="J6" s="33">
        <f>IF(COUNT(K6:AG6)=0,"",(AF6*5+AG6*5)/3)</f>
        <v/>
      </c>
      <c r="K6" s="52" t="n">
        <v>3</v>
      </c>
      <c r="L6" s="52" t="n">
        <v>3</v>
      </c>
      <c r="M6" s="52" t="n">
        <v>3</v>
      </c>
      <c r="N6" s="52" t="n">
        <v>3</v>
      </c>
      <c r="O6" s="35" t="inlineStr">
        <is>
          <t>C1=3: recomendação em uma frase no slide 2, com os 27,84 mi · C2=3: documento fechado, com apêndice de cálculo · C3=3: só os títulos já contam a história · C4=3: padrão único</t>
        </is>
      </c>
      <c r="P6" s="52" t="n">
        <v>3</v>
      </c>
      <c r="Q6" s="52" t="n">
        <v>3</v>
      </c>
      <c r="R6" s="52" t="n">
        <v>3</v>
      </c>
      <c r="S6" s="52" t="n">
        <v>3</v>
      </c>
      <c r="T6" s="35" t="inlineStr">
        <is>
          <t>R1=3: liga os 27,84 mi à baixa complexidade e ao fluxo do terminal · R2=3: compara armários e parceiros nos 4 bairros e justifica o descarte · R3=3: traz a margem como leitura complementar · R4=3: explica por que a utilização baixa da Arena não permite cortar posições</t>
        </is>
      </c>
      <c r="U6" s="52" t="n">
        <v>3</v>
      </c>
      <c r="V6" s="52" t="n">
        <v>3</v>
      </c>
      <c r="W6" s="52" t="n">
        <v>3</v>
      </c>
      <c r="X6" s="52" t="n">
        <v>3</v>
      </c>
      <c r="Y6" s="52" t="n">
        <v>3</v>
      </c>
      <c r="Z6" s="52" t="n">
        <v>3</v>
      </c>
      <c r="AA6" s="35" t="inlineStr">
        <is>
          <t>A1=3: aba "Armários", 4 bairros conferem, Arena com 23 bancos · A2=3: aba "Parceiros" · A3=3: ganho líquido 2,76 no slide 6 e o mesmo número na recomendação · A4=3: CH como 2º, 24,50 mi · A5=3: risco de pico com mitigação · A6=3: slide 4 diz que a utilização não entra na receita</t>
        </is>
      </c>
      <c r="AB6" s="52" t="n">
        <v>1</v>
      </c>
      <c r="AC6" s="52" t="n">
        <v>1</v>
      </c>
      <c r="AD6" s="52" t="n">
        <v>1</v>
      </c>
      <c r="AE6" s="52" t="n">
        <v>3</v>
      </c>
      <c r="AF6" s="52" t="n">
        <v>3</v>
      </c>
      <c r="AG6" s="52" t="n">
        <v>3</v>
      </c>
      <c r="AH6" s="35" t="inlineStr">
        <is>
          <t>V1=3: fala solta o vídeo inteiro, sem ler · V2=3: cita um projeto ou área do CCU e conecta com o que quer desenvolver</t>
        </is>
      </c>
      <c r="AI6" s="53" t="n"/>
    </row>
    <row r="7" ht="14.25" customHeight="1" s="65">
      <c r="A7" s="53" t="n"/>
      <c r="B7" s="36" t="inlineStr">
        <is>
          <t>g278083@dac.unicamp.br</t>
        </is>
      </c>
      <c r="C7" s="3" t="inlineStr">
        <is>
          <t>Gabrielle Cristofani do Rosario</t>
        </is>
      </c>
      <c r="D7" s="3" t="inlineStr">
        <is>
          <t xml:space="preserve">victor </t>
        </is>
      </c>
      <c r="E7" s="32">
        <f>IF(COUNT(K7:AG7)=0,"",ROUND((F7+G7+H7+I7+J7)/10,2))</f>
        <v/>
      </c>
      <c r="F7" s="33">
        <f>IF(COUNT(K7:AG7)=0,"",(K7*10+L7*8+M7*7+N7*5)/3)</f>
        <v/>
      </c>
      <c r="G7" s="33">
        <f>IF(COUNT(K7:AG7)=0,"",(P7*8+Q7*7+R7*5+S7*5)/3)</f>
        <v/>
      </c>
      <c r="H7" s="33">
        <f>IF(COUNT(K7:AG7)=0,"",(U7*6+V7*6+W7*4+X7*3+Y7*3+Z7*3)/3)</f>
        <v/>
      </c>
      <c r="I7" s="33">
        <f>IF(COUNT(K7:AG7)=0,"",AB7*3+AC7*2+AD7*2+AE7*1)</f>
        <v/>
      </c>
      <c r="J7" s="33">
        <f>IF(COUNT(K7:AG7)=0,"",(AF7*5+AG7*5)/3)</f>
        <v/>
      </c>
      <c r="K7" s="52" t="n">
        <v>2</v>
      </c>
      <c r="L7" s="52" t="n">
        <v>2</v>
      </c>
      <c r="M7" s="52" t="n">
        <v>2</v>
      </c>
      <c r="N7" s="52" t="n">
        <v>2</v>
      </c>
      <c r="O7" s="3" t="inlineStr">
        <is>
          <t>Slide feito por IA, provavelmente</t>
        </is>
      </c>
      <c r="P7" s="52" t="n">
        <v>2</v>
      </c>
      <c r="Q7" s="52" t="n">
        <v>2</v>
      </c>
      <c r="R7" s="52" t="n">
        <v>1</v>
      </c>
      <c r="S7" s="52" t="n">
        <v>1</v>
      </c>
      <c r="T7" s="3" t="inlineStr">
        <is>
          <t>Contas no papel, parece q n fez IA</t>
        </is>
      </c>
      <c r="U7" s="52" t="n">
        <v>3</v>
      </c>
      <c r="V7" s="52" t="n">
        <v>3</v>
      </c>
      <c r="W7" s="52" t="n">
        <v>2</v>
      </c>
      <c r="X7" s="52" t="n">
        <v>2</v>
      </c>
      <c r="Y7" s="52" t="n">
        <v>2</v>
      </c>
      <c r="Z7" s="52" t="n"/>
      <c r="AA7" s="53" t="n"/>
      <c r="AB7" s="52" t="n">
        <v>1</v>
      </c>
      <c r="AC7" s="52" t="n">
        <v>1</v>
      </c>
      <c r="AD7" s="52" t="n">
        <v>0</v>
      </c>
      <c r="AE7" s="52" t="n">
        <v>3</v>
      </c>
      <c r="AF7" s="52" t="n">
        <v>2</v>
      </c>
      <c r="AG7" s="52" t="n">
        <v>2</v>
      </c>
      <c r="AH7" s="53" t="n"/>
      <c r="AI7" s="3" t="inlineStr">
        <is>
          <t xml:space="preserve">v2 talvez seja 3 </t>
        </is>
      </c>
    </row>
    <row r="8" ht="14.25" customHeight="1" s="65">
      <c r="A8" s="53" t="n"/>
      <c r="B8" s="16" t="inlineStr">
        <is>
          <t>b309603@dac.unicamp.br</t>
        </is>
      </c>
      <c r="C8" s="3" t="inlineStr">
        <is>
          <t>Bruno Heberth Oliveira Bastos</t>
        </is>
      </c>
      <c r="D8" s="3" t="inlineStr">
        <is>
          <t xml:space="preserve">victor </t>
        </is>
      </c>
      <c r="E8" s="3">
        <f>IF(COUNT(K8:AG8)=0,"",ROUND((F8+G8+H8+I8+J8)/10,2))</f>
        <v/>
      </c>
      <c r="F8" s="33">
        <f>IF(COUNT(K8:AG8)=0,"",(K8*10+L8*8+M8*7+N8*5)/3)</f>
        <v/>
      </c>
      <c r="G8" s="33">
        <f>IF(COUNT(K8:AG8)=0,"",(P8*8+Q8*7+R8*5+S8*5)/3)</f>
        <v/>
      </c>
      <c r="H8" s="33">
        <f>IF(COUNT(K8:AG8)=0,"",(U8*6+V8*6+W8*4+X8*3+Y8*3+Z8*3)/3)</f>
        <v/>
      </c>
      <c r="I8" s="33">
        <f>IF(COUNT(K8:AG8)=0,"",AB8*3+AC8*2+AD8*2+AE8*1)</f>
        <v/>
      </c>
      <c r="J8" s="33">
        <f>IF(COUNT(K8:AG8)=0,"",(AF8*5+AG8*5)/3)</f>
        <v/>
      </c>
      <c r="K8" s="52" t="n">
        <v>3</v>
      </c>
      <c r="L8" s="52" t="n">
        <v>1</v>
      </c>
      <c r="M8" s="52" t="n">
        <v>1</v>
      </c>
      <c r="N8" s="52" t="n">
        <v>2</v>
      </c>
      <c r="O8" s="3" t="inlineStr">
        <is>
          <t>Me sinto um idiota corrigindo bagulho 100% feito por IA. Pior é que cumpriu os requisitos.</t>
        </is>
      </c>
      <c r="P8" s="52" t="n">
        <v>2</v>
      </c>
      <c r="Q8" s="52" t="n">
        <v>1</v>
      </c>
      <c r="R8" s="52" t="n">
        <v>1</v>
      </c>
      <c r="S8" s="52" t="n">
        <v>0</v>
      </c>
      <c r="T8" s="53" t="n"/>
      <c r="U8" s="52" t="n">
        <v>3</v>
      </c>
      <c r="V8" s="52" t="n">
        <v>3</v>
      </c>
      <c r="W8" s="52" t="n">
        <v>3</v>
      </c>
      <c r="X8" s="52" t="n">
        <v>2</v>
      </c>
      <c r="Y8" s="52" t="n">
        <v>0</v>
      </c>
      <c r="Z8" s="52" t="n"/>
      <c r="AA8" s="53" t="n"/>
      <c r="AB8" s="52" t="n">
        <v>1</v>
      </c>
      <c r="AC8" s="52" t="n">
        <v>1</v>
      </c>
      <c r="AD8" s="52" t="n">
        <v>0</v>
      </c>
      <c r="AE8" s="52" t="n"/>
      <c r="AF8" s="52" t="n">
        <v>3</v>
      </c>
      <c r="AG8" s="52" t="n">
        <v>1</v>
      </c>
      <c r="AH8" s="53" t="n"/>
      <c r="AI8" s="3" t="inlineStr">
        <is>
          <t xml:space="preserve">É da Adm n dá </t>
        </is>
      </c>
    </row>
    <row r="9" ht="14.25" customHeight="1" s="65">
      <c r="A9" s="53" t="n"/>
      <c r="B9" s="16" t="inlineStr">
        <is>
          <t>j309764@dac.unicamp.br</t>
        </is>
      </c>
      <c r="C9" s="3" t="inlineStr">
        <is>
          <t>João Pedro Mendes Stama</t>
        </is>
      </c>
      <c r="D9" s="3" t="inlineStr">
        <is>
          <t xml:space="preserve">victor </t>
        </is>
      </c>
      <c r="E9" s="32">
        <f>IF(COUNT(K9:AG9)=0,"",ROUND((F9+G9+H9+I9+J9)/10,2))</f>
        <v/>
      </c>
      <c r="F9" s="33">
        <f>IF(COUNT(K9:AG9)=0,"",(K9*10+L9*8+M9*7+N9*5)/3)</f>
        <v/>
      </c>
      <c r="G9" s="33">
        <f>IF(COUNT(K9:AG9)=0,"",(P9*8+Q9*7+R9*5+S9*5)/3)</f>
        <v/>
      </c>
      <c r="H9" s="33">
        <f>IF(COUNT(K9:AG9)=0,"",(U9*6+V9*6+W9*4+X9*3+Y9*3+Z9*3)/3)</f>
        <v/>
      </c>
      <c r="I9" s="33">
        <f>IF(COUNT(K9:AG9)=0,"",AB9*3+AC9*2+AD9*2+AE9*1)</f>
        <v/>
      </c>
      <c r="J9" s="33">
        <f>IF(COUNT(K9:AG9)=0,"",(AF9*5+AG9*5)/3)</f>
        <v/>
      </c>
      <c r="K9" s="52" t="n"/>
      <c r="L9" s="52" t="n"/>
      <c r="M9" s="52" t="n"/>
      <c r="N9" s="52" t="n"/>
      <c r="O9" s="53" t="n"/>
      <c r="P9" s="52" t="n"/>
      <c r="Q9" s="52" t="n"/>
      <c r="R9" s="52" t="n"/>
      <c r="S9" s="52" t="n"/>
      <c r="T9" s="53" t="n"/>
      <c r="U9" s="52" t="n"/>
      <c r="V9" s="52" t="n"/>
      <c r="W9" s="52" t="n"/>
      <c r="X9" s="52" t="n"/>
      <c r="Y9" s="52" t="n"/>
      <c r="Z9" s="52" t="n"/>
      <c r="AA9" s="53" t="n"/>
      <c r="AB9" s="52" t="n"/>
      <c r="AC9" s="52" t="n"/>
      <c r="AD9" s="52" t="n"/>
      <c r="AE9" s="52" t="n"/>
      <c r="AF9" s="52" t="n">
        <v>3</v>
      </c>
      <c r="AG9" s="52" t="n">
        <v>2</v>
      </c>
      <c r="AH9" s="53" t="n"/>
      <c r="AI9" s="3" t="inlineStr">
        <is>
          <t>N passaria fez o gmat na cama mas parece legal</t>
        </is>
      </c>
    </row>
    <row r="10" ht="14.25" customHeight="1" s="65">
      <c r="A10" s="53" t="n"/>
      <c r="B10" s="36" t="inlineStr">
        <is>
          <t>r238449@dac.unicamp.br</t>
        </is>
      </c>
      <c r="C10" s="3" t="inlineStr">
        <is>
          <t>Rafael Ponciano Rodrigues dos Santos</t>
        </is>
      </c>
      <c r="D10" s="3" t="inlineStr">
        <is>
          <t>luis</t>
        </is>
      </c>
      <c r="E10" s="32">
        <f>IF(COUNT(K10:AG10)=0,"",ROUND((F10+G10+H10+I10+J10)/10,2))</f>
        <v/>
      </c>
      <c r="F10" s="33">
        <f>IF(COUNT(K10:AG10)=0,"",(K10*10+L10*8+M10*7+N10*5)/3)</f>
        <v/>
      </c>
      <c r="G10" s="33">
        <f>IF(COUNT(K10:AG10)=0,"",(P10*8+Q10*7+R10*5+S10*5)/3)</f>
        <v/>
      </c>
      <c r="H10" s="33">
        <f>IF(COUNT(K10:AG10)=0,"",(U10*6+V10*6+W10*4+X10*3+Y10*3+Z10*3)/3)</f>
        <v/>
      </c>
      <c r="I10" s="33">
        <f>IF(COUNT(K10:AG10)=0,"",AB10*3+AC10*2+AD10*2+AE10*1)</f>
        <v/>
      </c>
      <c r="J10" s="33">
        <f>IF(COUNT(K10:AG10)=0,"",(AF10*5+AG10*5)/3)</f>
        <v/>
      </c>
      <c r="K10" s="52" t="n"/>
      <c r="L10" s="52" t="n"/>
      <c r="M10" s="52" t="n"/>
      <c r="N10" s="52" t="n"/>
      <c r="O10" s="53" t="n"/>
      <c r="P10" s="52" t="n"/>
      <c r="Q10" s="52" t="n"/>
      <c r="R10" s="52" t="n"/>
      <c r="S10" s="52" t="n"/>
      <c r="T10" s="53" t="n"/>
      <c r="U10" s="52" t="n"/>
      <c r="V10" s="52" t="n"/>
      <c r="W10" s="52" t="n"/>
      <c r="X10" s="52" t="n"/>
      <c r="Y10" s="52" t="n"/>
      <c r="Z10" s="52" t="n"/>
      <c r="AA10" s="53" t="n"/>
      <c r="AB10" s="52" t="n"/>
      <c r="AC10" s="52" t="n"/>
      <c r="AD10" s="52" t="n"/>
      <c r="AE10" s="52" t="n"/>
      <c r="AF10" s="52" t="n">
        <v>3</v>
      </c>
      <c r="AG10" s="52" t="n">
        <v>2</v>
      </c>
      <c r="AH10" s="53" t="n"/>
      <c r="AI10" s="3" t="inlineStr">
        <is>
          <t>n falou nada do clube e tem um canal de 40 k de inscritos👍</t>
        </is>
      </c>
    </row>
    <row r="11" ht="14.25" customHeight="1" s="65">
      <c r="A11" s="53" t="n"/>
      <c r="B11" s="36" t="inlineStr">
        <is>
          <t>enzo.gag17@gmail.com</t>
        </is>
      </c>
      <c r="C11" s="3" t="inlineStr">
        <is>
          <t>Enzo Chofakian Gagliardi</t>
        </is>
      </c>
      <c r="D11" s="3" t="inlineStr">
        <is>
          <t xml:space="preserve">victor </t>
        </is>
      </c>
      <c r="E11" s="32">
        <f>IF(COUNT(K11:AG11)=0,"",ROUND((F11+G11+H11+I11+J11)/10,2))</f>
        <v/>
      </c>
      <c r="F11" s="33">
        <f>IF(COUNT(K11:AG11)=0,"",(K11*10+L11*8+M11*7+N11*5)/3)</f>
        <v/>
      </c>
      <c r="G11" s="33">
        <f>IF(COUNT(K11:AG11)=0,"",(P11*8+Q11*7+R11*5+S11*5)/3)</f>
        <v/>
      </c>
      <c r="H11" s="33">
        <f>IF(COUNT(K11:AG11)=0,"",(U11*6+V11*6+W11*4+X11*3+Y11*3+Z11*3)/3)</f>
        <v/>
      </c>
      <c r="I11" s="33">
        <f>IF(COUNT(K11:AG11)=0,"",AB11*3+AC11*2+AD11*2+AE11*1)</f>
        <v/>
      </c>
      <c r="J11" s="33">
        <f>IF(COUNT(K11:AG11)=0,"",(AF11*5+AG11*5)/3)</f>
        <v/>
      </c>
      <c r="K11" s="52" t="n">
        <v>3</v>
      </c>
      <c r="L11" s="52" t="n">
        <v>2</v>
      </c>
      <c r="M11" s="52" t="n">
        <v>2</v>
      </c>
      <c r="N11" s="52" t="n">
        <v>2</v>
      </c>
      <c r="O11" s="3" t="inlineStr">
        <is>
          <t>Slide de IA.</t>
        </is>
      </c>
      <c r="P11" s="52" t="n"/>
      <c r="Q11" s="52" t="n"/>
      <c r="R11" s="52" t="n"/>
      <c r="S11" s="52" t="n"/>
      <c r="T11" s="53" t="n"/>
      <c r="U11" s="52" t="n">
        <v>3</v>
      </c>
      <c r="V11" s="52" t="n">
        <v>3</v>
      </c>
      <c r="W11" s="52" t="n">
        <v>3</v>
      </c>
      <c r="X11" s="52" t="n">
        <v>0</v>
      </c>
      <c r="Y11" s="52" t="n">
        <v>3</v>
      </c>
      <c r="Z11" s="52" t="n"/>
      <c r="AA11" s="53" t="n"/>
      <c r="AB11" s="52" t="n">
        <v>1</v>
      </c>
      <c r="AC11" s="52" t="n">
        <v>1</v>
      </c>
      <c r="AD11" s="52" t="n">
        <v>0</v>
      </c>
      <c r="AE11" s="52" t="n">
        <v>0</v>
      </c>
      <c r="AF11" s="52" t="n">
        <v>2</v>
      </c>
      <c r="AG11" s="52" t="n">
        <v>2</v>
      </c>
      <c r="AH11" s="53" t="n"/>
      <c r="AI11" s="3" t="inlineStr">
        <is>
          <t>ok</t>
        </is>
      </c>
    </row>
    <row r="12" ht="14.25" customHeight="1" s="65">
      <c r="A12" s="53" t="n"/>
      <c r="B12" s="36" t="inlineStr">
        <is>
          <t>e278588@dac.unicamp.br</t>
        </is>
      </c>
      <c r="C12" s="3" t="inlineStr">
        <is>
          <t>Enrico Tristão e Mello de Oliveira</t>
        </is>
      </c>
      <c r="D12" s="3" t="inlineStr">
        <is>
          <t xml:space="preserve">victor </t>
        </is>
      </c>
      <c r="E12" s="32">
        <f>IF(COUNT(K12:AG12)=0,"",ROUND((F12+G12+H12+I12+J12)/10,2))</f>
        <v/>
      </c>
      <c r="F12" s="33">
        <f>IF(COUNT(K12:AG12)=0,"",(K12*10+L12*8+M12*7+N12*5)/3)</f>
        <v/>
      </c>
      <c r="G12" s="33">
        <f>IF(COUNT(K12:AG12)=0,"",(P12*8+Q12*7+R12*5+S12*5)/3)</f>
        <v/>
      </c>
      <c r="H12" s="33">
        <f>IF(COUNT(K12:AG12)=0,"",(U12*6+V12*6+W12*4+X12*3+Y12*3+Z12*3)/3)</f>
        <v/>
      </c>
      <c r="I12" s="33">
        <f>IF(COUNT(K12:AG12)=0,"",AB12*3+AC12*2+AD12*2+AE12*1)</f>
        <v/>
      </c>
      <c r="J12" s="33">
        <f>IF(COUNT(K12:AG12)=0,"",(AF12*5+AG12*5)/3)</f>
        <v/>
      </c>
      <c r="K12" s="52" t="n">
        <v>3</v>
      </c>
      <c r="L12" s="52" t="n">
        <v>2</v>
      </c>
      <c r="M12" s="52" t="n">
        <v>2</v>
      </c>
      <c r="N12" s="52" t="n">
        <v>2</v>
      </c>
      <c r="O12" s="3" t="inlineStr">
        <is>
          <t>Slide de IA.</t>
        </is>
      </c>
      <c r="P12" s="52" t="n">
        <v>3</v>
      </c>
      <c r="Q12" s="52" t="n">
        <v>3</v>
      </c>
      <c r="R12" s="52" t="n">
        <v>2</v>
      </c>
      <c r="S12" s="52" t="n">
        <v>2</v>
      </c>
      <c r="T12" s="53" t="n"/>
      <c r="U12" s="52" t="n">
        <v>3</v>
      </c>
      <c r="V12" s="52" t="n">
        <v>3</v>
      </c>
      <c r="W12" s="52" t="n">
        <v>3</v>
      </c>
      <c r="X12" s="52" t="n">
        <v>2</v>
      </c>
      <c r="Y12" s="52" t="n">
        <v>2</v>
      </c>
      <c r="Z12" s="52" t="n"/>
      <c r="AA12" s="53" t="n"/>
      <c r="AB12" s="52" t="n">
        <v>1</v>
      </c>
      <c r="AC12" s="52" t="n">
        <v>1</v>
      </c>
      <c r="AD12" s="52" t="n">
        <v>1</v>
      </c>
      <c r="AE12" s="52" t="n">
        <v>3</v>
      </c>
      <c r="AF12" s="52" t="n">
        <v>2</v>
      </c>
      <c r="AG12" s="52" t="n">
        <v>1</v>
      </c>
      <c r="AH12" s="53" t="n"/>
      <c r="AI12" s="3" t="inlineStr">
        <is>
          <t xml:space="preserve">N falou nada do clube só do mercado </t>
        </is>
      </c>
    </row>
    <row r="13" ht="14.25" customHeight="1" s="65">
      <c r="A13" s="53" t="n"/>
      <c r="B13" s="36" t="inlineStr">
        <is>
          <t>e221509@dac.unicamp.br</t>
        </is>
      </c>
      <c r="C13" s="3" t="inlineStr">
        <is>
          <t>Eduardo Alves Henrique</t>
        </is>
      </c>
      <c r="D13" s="3" t="inlineStr">
        <is>
          <t xml:space="preserve">victor </t>
        </is>
      </c>
      <c r="E13" s="32">
        <f>IF(COUNT(K13:AG13)=0,"",ROUND((F13+G13+H13+I13+J13)/10,2))</f>
        <v/>
      </c>
      <c r="F13" s="33">
        <f>IF(COUNT(K13:AG13)=0,"",(K13*10+L13*8+M13*7+N13*5)/3)</f>
        <v/>
      </c>
      <c r="G13" s="33">
        <f>IF(COUNT(K13:AG13)=0,"",(P13*8+Q13*7+R13*5+S13*5)/3)</f>
        <v/>
      </c>
      <c r="H13" s="33">
        <f>IF(COUNT(K13:AG13)=0,"",(U13*6+V13*6+W13*4+X13*3+Y13*3+Z13*3)/3)</f>
        <v/>
      </c>
      <c r="I13" s="33">
        <f>IF(COUNT(K13:AG13)=0,"",AB13*3+AC13*2+AD13*2+AE13*1)</f>
        <v/>
      </c>
      <c r="J13" s="33">
        <f>IF(COUNT(K13:AG13)=0,"",(AF13*5+AG13*5)/3)</f>
        <v/>
      </c>
      <c r="K13" s="52" t="n">
        <v>3</v>
      </c>
      <c r="L13" s="52" t="n">
        <v>2</v>
      </c>
      <c r="M13" s="52" t="n">
        <v>3</v>
      </c>
      <c r="N13" s="52" t="n">
        <v>2</v>
      </c>
      <c r="O13" s="53" t="n"/>
      <c r="P13" s="52" t="n">
        <v>3</v>
      </c>
      <c r="Q13" s="52" t="n">
        <v>2</v>
      </c>
      <c r="R13" s="52" t="n">
        <v>1</v>
      </c>
      <c r="S13" s="52" t="n">
        <v>1</v>
      </c>
      <c r="T13" s="53" t="n"/>
      <c r="U13" s="52" t="n"/>
      <c r="V13" s="52" t="n"/>
      <c r="W13" s="52" t="n">
        <v>2</v>
      </c>
      <c r="X13" s="52" t="n">
        <v>2</v>
      </c>
      <c r="Y13" s="52" t="n">
        <v>0</v>
      </c>
      <c r="Z13" s="52" t="n"/>
      <c r="AA13" s="53" t="n"/>
      <c r="AB13" s="52" t="n"/>
      <c r="AC13" s="52" t="n">
        <v>1</v>
      </c>
      <c r="AD13" s="52" t="n">
        <v>1</v>
      </c>
      <c r="AE13" s="52" t="n">
        <v>3</v>
      </c>
      <c r="AF13" s="52" t="n">
        <v>2</v>
      </c>
      <c r="AG13" s="52" t="n">
        <v>0</v>
      </c>
      <c r="AH13" s="53" t="n"/>
      <c r="AI13" s="3" t="inlineStr">
        <is>
          <t>Só falou que queria o CCU pra pegar cargo e ter no currículo</t>
        </is>
      </c>
    </row>
    <row r="14" ht="14.25" customHeight="1" s="65">
      <c r="A14" s="53" t="n"/>
      <c r="B14" s="16" t="inlineStr">
        <is>
          <t>l304532@dac.unicamp.br</t>
        </is>
      </c>
      <c r="C14" s="3" t="inlineStr">
        <is>
          <t>Leandra Cunha de Souza</t>
        </is>
      </c>
      <c r="D14" s="3" t="inlineStr">
        <is>
          <t xml:space="preserve">victor </t>
        </is>
      </c>
      <c r="E14" s="32">
        <f>IF(COUNT(K14:AG14)=0,"",ROUND((F14+G14+H14+I14+J14)/10,2))</f>
        <v/>
      </c>
      <c r="F14" s="33">
        <f>IF(COUNT(K14:AG14)=0,"",(K14*10+L14*8+M14*7+N14*5)/3)</f>
        <v/>
      </c>
      <c r="G14" s="33">
        <f>IF(COUNT(K14:AG14)=0,"",(P14*8+Q14*7+R14*5+S14*5)/3)</f>
        <v/>
      </c>
      <c r="H14" s="33">
        <f>IF(COUNT(K14:AG14)=0,"",(U14*6+V14*6+W14*4+X14*3+Y14*3+Z14*3)/3)</f>
        <v/>
      </c>
      <c r="I14" s="33">
        <f>IF(COUNT(K14:AG14)=0,"",AB14*3+AC14*2+AD14*2+AE14*1)</f>
        <v/>
      </c>
      <c r="J14" s="33">
        <f>IF(COUNT(K14:AG14)=0,"",(AF14*5+AG14*5)/3)</f>
        <v/>
      </c>
      <c r="K14" s="52" t="n">
        <v>2</v>
      </c>
      <c r="L14" s="52" t="n">
        <v>1</v>
      </c>
      <c r="M14" s="52" t="n">
        <v>1</v>
      </c>
      <c r="N14" s="52" t="n">
        <v>1</v>
      </c>
      <c r="O14" s="3" t="inlineStr">
        <is>
          <t>Slide de IA, tabela cheia de contas, bem ruim</t>
        </is>
      </c>
      <c r="P14" s="52" t="n">
        <v>2</v>
      </c>
      <c r="Q14" s="52" t="n">
        <v>2</v>
      </c>
      <c r="R14" s="52" t="n">
        <v>2</v>
      </c>
      <c r="S14" s="52" t="n">
        <v>1</v>
      </c>
      <c r="T14" s="53" t="n"/>
      <c r="U14" s="52" t="n">
        <v>2</v>
      </c>
      <c r="V14" s="52" t="n">
        <v>2</v>
      </c>
      <c r="W14" s="52" t="n">
        <v>2</v>
      </c>
      <c r="X14" s="52" t="n">
        <v>2</v>
      </c>
      <c r="Y14" s="52" t="n">
        <v>1</v>
      </c>
      <c r="Z14" s="52" t="n"/>
      <c r="AA14" s="3" t="inlineStr">
        <is>
          <t>Contas todas soltas, bem ruim</t>
        </is>
      </c>
      <c r="AB14" s="52" t="n">
        <v>0</v>
      </c>
      <c r="AC14" s="52" t="n">
        <v>1</v>
      </c>
      <c r="AD14" s="52" t="n">
        <v>0</v>
      </c>
      <c r="AE14" s="52" t="n">
        <v>1</v>
      </c>
      <c r="AF14" s="52" t="n">
        <v>2</v>
      </c>
      <c r="AG14" s="52" t="n">
        <v>2</v>
      </c>
      <c r="AH14" s="53" t="n"/>
      <c r="AI14" s="3" t="inlineStr">
        <is>
          <t>Mid, muitas experiencias mas todas na escola, achei confusa a resposta só saiu citando coisas q fez</t>
        </is>
      </c>
    </row>
    <row r="15" ht="14.25" customHeight="1" s="65">
      <c r="A15" s="53" t="n"/>
      <c r="B15" s="36" t="inlineStr">
        <is>
          <t>v188630@dac.unicamp.br</t>
        </is>
      </c>
      <c r="C15" s="3" t="inlineStr">
        <is>
          <t>Vagner Ássimos Gomes Carlos Filho</t>
        </is>
      </c>
      <c r="D15" s="3" t="inlineStr">
        <is>
          <t>victor</t>
        </is>
      </c>
      <c r="E15" s="32">
        <f>IF(COUNT(K15:AG15)=0,"",ROUND((F15+G15+H15+I15+J15)/10,2))</f>
        <v/>
      </c>
      <c r="F15" s="33">
        <f>IF(COUNT(K15:AG15)=0,"",(K15*10+L15*8+M15*7+N15*5)/3)</f>
        <v/>
      </c>
      <c r="G15" s="33">
        <f>IF(COUNT(K15:AG15)=0,"",(P15*8+Q15*7+R15*5+S15*5)/3)</f>
        <v/>
      </c>
      <c r="H15" s="33">
        <f>IF(COUNT(K15:AG15)=0,"",(U15*6+V15*6+W15*4+X15*3+Y15*3+Z15*3)/3)</f>
        <v/>
      </c>
      <c r="I15" s="33">
        <f>IF(COUNT(K15:AG15)=0,"",AB15*3+AC15*2+AD15*2+AE15*1)</f>
        <v/>
      </c>
      <c r="J15" s="33">
        <f>IF(COUNT(K15:AG15)=0,"",(AF15*5+AG15*5)/3)</f>
        <v/>
      </c>
      <c r="K15" s="52" t="n">
        <v>2</v>
      </c>
      <c r="L15" s="52" t="n">
        <v>2</v>
      </c>
      <c r="M15" s="52" t="n">
        <v>3</v>
      </c>
      <c r="N15" s="52" t="n">
        <v>2</v>
      </c>
      <c r="O15" s="3" t="inlineStr">
        <is>
          <t>Slide de ia, muito texto mas parece q escreveu um pouco</t>
        </is>
      </c>
      <c r="P15" s="52" t="n">
        <v>1</v>
      </c>
      <c r="Q15" s="52" t="n">
        <v>2</v>
      </c>
      <c r="R15" s="52" t="n">
        <v>1</v>
      </c>
      <c r="S15" s="52" t="n">
        <v>2</v>
      </c>
      <c r="T15" s="53" t="n"/>
      <c r="U15" s="52" t="n">
        <v>2</v>
      </c>
      <c r="V15" s="52" t="n">
        <v>2</v>
      </c>
      <c r="W15" s="52" t="n">
        <v>2</v>
      </c>
      <c r="X15" s="52" t="n">
        <v>2</v>
      </c>
      <c r="Y15" s="52" t="n">
        <v>2</v>
      </c>
      <c r="Z15" s="52" t="n"/>
      <c r="AA15" s="53" t="n"/>
      <c r="AB15" s="52" t="n">
        <v>0</v>
      </c>
      <c r="AC15" s="52" t="n">
        <v>1</v>
      </c>
      <c r="AD15" s="52" t="n">
        <v>0</v>
      </c>
      <c r="AE15" s="52" t="n">
        <v>2</v>
      </c>
      <c r="AF15" s="52" t="n">
        <v>2</v>
      </c>
      <c r="AG15" s="52" t="n">
        <v>3</v>
      </c>
      <c r="AH15" s="53" t="n"/>
      <c r="AI15" s="3" t="inlineStr">
        <is>
          <t>Falou das palestras, n sei se tava lendo ou só olhado pra camera mas falou bem ent talvez seja 3</t>
        </is>
      </c>
    </row>
    <row r="16" ht="14.25" customHeight="1" s="65">
      <c r="A16" s="53" t="n"/>
      <c r="B16" s="36" t="inlineStr">
        <is>
          <t>m277865@dac.unicamp.br</t>
        </is>
      </c>
      <c r="C16" s="3" t="inlineStr">
        <is>
          <t>Mariana Nunes Galvão Sant'Anna</t>
        </is>
      </c>
      <c r="D16" s="3" t="inlineStr">
        <is>
          <t xml:space="preserve">luis </t>
        </is>
      </c>
      <c r="E16" s="32">
        <f>IF(COUNT(K16:AG16)=0,"",ROUND((F16+G16+H16+I16+J16)/10,2))</f>
        <v/>
      </c>
      <c r="F16" s="33">
        <f>IF(COUNT(K16:AG16)=0,"",(K16*10+L16*8+M16*7+N16*5)/3)</f>
        <v/>
      </c>
      <c r="G16" s="33">
        <f>IF(COUNT(K16:AG16)=0,"",(P16*8+Q16*7+R16*5+S16*5)/3)</f>
        <v/>
      </c>
      <c r="H16" s="33">
        <f>IF(COUNT(K16:AG16)=0,"",(U16*6+V16*6+W16*4+X16*3+Y16*3+Z16*3)/3)</f>
        <v/>
      </c>
      <c r="I16" s="33">
        <f>IF(COUNT(K16:AG16)=0,"",AB16*3+AC16*2+AD16*2+AE16*1)</f>
        <v/>
      </c>
      <c r="J16" s="33">
        <f>IF(COUNT(K16:AG16)=0,"",(AF16*5+AG16*5)/3)</f>
        <v/>
      </c>
      <c r="K16" s="52" t="n">
        <v>3</v>
      </c>
      <c r="L16" s="52" t="n">
        <v>2</v>
      </c>
      <c r="M16" s="52" t="n">
        <v>3</v>
      </c>
      <c r="N16" s="52" t="n">
        <v>3</v>
      </c>
      <c r="O16" s="53" t="n"/>
      <c r="P16" s="52" t="n">
        <v>3</v>
      </c>
      <c r="Q16" s="52" t="n">
        <v>3</v>
      </c>
      <c r="R16" s="52" t="n">
        <v>2</v>
      </c>
      <c r="S16" s="52" t="n">
        <v>3</v>
      </c>
      <c r="T16" s="53" t="n"/>
      <c r="U16" s="52" t="n">
        <v>3</v>
      </c>
      <c r="V16" s="52" t="n">
        <v>3</v>
      </c>
      <c r="W16" s="52" t="n">
        <v>3</v>
      </c>
      <c r="X16" s="52" t="n">
        <v>2</v>
      </c>
      <c r="Y16" s="52" t="n">
        <v>3</v>
      </c>
      <c r="Z16" s="52" t="n"/>
      <c r="AA16" s="53" t="n"/>
      <c r="AB16" s="52" t="n">
        <v>1</v>
      </c>
      <c r="AC16" s="52" t="n">
        <v>1</v>
      </c>
      <c r="AD16" s="52" t="n">
        <v>0</v>
      </c>
      <c r="AE16" s="52" t="n">
        <v>3</v>
      </c>
      <c r="AF16" s="52" t="n">
        <v>3</v>
      </c>
      <c r="AG16" s="52" t="n">
        <v>2</v>
      </c>
      <c r="AH16" s="53" t="n"/>
      <c r="AI16" s="3" t="inlineStr">
        <is>
          <t>motivo genérico</t>
        </is>
      </c>
    </row>
    <row r="17">
      <c r="A17" s="53" t="n"/>
      <c r="B17" s="36" t="inlineStr">
        <is>
          <t>a266739@dac.unicamp.br</t>
        </is>
      </c>
      <c r="C17" s="3" t="inlineStr">
        <is>
          <t>Aslan Rodrigues Maia</t>
        </is>
      </c>
      <c r="D17" s="3" t="inlineStr">
        <is>
          <t>Ferro</t>
        </is>
      </c>
      <c r="E17" s="32">
        <f>IF(COUNT(K17:AG17)=0,"",ROUND((F17+G17+H17+I17+J17)/10,2))</f>
        <v/>
      </c>
      <c r="F17" s="33">
        <f>IF(COUNT(K17:AG17)=0,"",(K17*10+L17*8+M17*7+N17*5)/3)</f>
        <v/>
      </c>
      <c r="G17" s="33">
        <f>IF(COUNT(K17:AG17)=0,"",(P17*8+Q17*7+R17*5+S17*5)/3)</f>
        <v/>
      </c>
      <c r="H17" s="33">
        <f>IF(COUNT(K17:AG17)=0,"",(U17*6+V17*6+W17*4+X17*3+Y17*3+Z17*3)/3)</f>
        <v/>
      </c>
      <c r="I17" s="33">
        <f>IF(COUNT(K17:AG17)=0,"",AB17*3+AC17*2+AD17*2+AE17*1)</f>
        <v/>
      </c>
      <c r="J17" s="33">
        <f>IF(COUNT(K17:AG17)=0,"",(AF17*5+AG17*5)/3)</f>
        <v/>
      </c>
      <c r="K17" s="52" t="n">
        <v>2</v>
      </c>
      <c r="L17" s="52" t="n">
        <v>2</v>
      </c>
      <c r="M17" s="52" t="n">
        <v>3</v>
      </c>
      <c r="N17" s="52" t="n">
        <v>3</v>
      </c>
      <c r="O17" s="3" t="inlineStr">
        <is>
          <t>Slide de IA, mas parece q se esforçou mais</t>
        </is>
      </c>
      <c r="P17" s="52" t="n">
        <v>2</v>
      </c>
      <c r="Q17" s="52" t="n">
        <v>2</v>
      </c>
      <c r="R17" s="52" t="n">
        <v>2</v>
      </c>
      <c r="S17" s="52" t="n">
        <v>3</v>
      </c>
      <c r="T17" s="53" t="n"/>
      <c r="U17" s="52" t="n">
        <v>3</v>
      </c>
      <c r="V17" s="52" t="n">
        <v>2</v>
      </c>
      <c r="W17" s="52" t="n">
        <v>2</v>
      </c>
      <c r="X17" s="52" t="n">
        <v>2</v>
      </c>
      <c r="Y17" s="52" t="n">
        <v>2</v>
      </c>
      <c r="Z17" s="52" t="n"/>
      <c r="AA17" s="53" t="n"/>
      <c r="AB17" s="52" t="n">
        <v>1</v>
      </c>
      <c r="AC17" s="52" t="n">
        <v>1</v>
      </c>
      <c r="AD17" s="52" t="n">
        <v>0</v>
      </c>
      <c r="AE17" s="52" t="n">
        <v>2</v>
      </c>
      <c r="AF17" s="52" t="n">
        <v>1</v>
      </c>
      <c r="AG17" s="52" t="n">
        <v>2</v>
      </c>
      <c r="AH17" s="53" t="n"/>
      <c r="AI17" s="3" t="inlineStr">
        <is>
          <t>TIrou 2/3 do Gmat, e falou um pouco travado no vídeo, mas foi bem (não é bixo)</t>
        </is>
      </c>
    </row>
    <row r="18" ht="14.25" customHeight="1" s="65">
      <c r="A18" s="54" t="n"/>
      <c r="B18" s="39" t="inlineStr">
        <is>
          <t>j278641@dac.unicamp.br</t>
        </is>
      </c>
      <c r="C18" s="54" t="inlineStr">
        <is>
          <t>João Gabriel de Oliveira Morcelli</t>
        </is>
      </c>
      <c r="D18" s="54" t="inlineStr">
        <is>
          <t>Ferro</t>
        </is>
      </c>
      <c r="E18" s="41">
        <f>IF(COUNT(K18:AG18)=0,"",ROUND((F18+G18+H18+I18+J18)/10,2))</f>
        <v/>
      </c>
      <c r="F18" s="42">
        <f>IF(COUNT(K18:AG18)=0,"",(K18*10+L18*8+M18*7+N18*5)/3)</f>
        <v/>
      </c>
      <c r="G18" s="42">
        <f>IF(COUNT(K18:AG18)=0,"",(P18*8+Q18*7+R18*5+S18*5)/3)</f>
        <v/>
      </c>
      <c r="H18" s="42">
        <f>IF(COUNT(K18:AG18)=0,"",(U18*6+V18*6+W18*4+X18*3+Y18*3+Z18*3)/3)</f>
        <v/>
      </c>
      <c r="I18" s="42">
        <f>IF(COUNT(K18:AG18)=0,"",AB18*3+AC18*2+AD18*2+AE18*1)</f>
        <v/>
      </c>
      <c r="J18" s="42">
        <f>IF(COUNT(K18:AG18)=0,"",(AF18*5+AG18*5)/3)</f>
        <v/>
      </c>
      <c r="K18" s="43" t="n">
        <v>3</v>
      </c>
      <c r="L18" s="43" t="n">
        <v>3</v>
      </c>
      <c r="M18" s="43" t="n">
        <v>2</v>
      </c>
      <c r="N18" s="43" t="n">
        <v>2</v>
      </c>
      <c r="O18" s="54" t="inlineStr">
        <is>
          <t xml:space="preserve">Fez uma analise bem legal de critérios ficou muito bom mas usou MUITA ia com certeza. </t>
        </is>
      </c>
      <c r="P18" s="43" t="n">
        <v>3</v>
      </c>
      <c r="Q18" s="43" t="n">
        <v>2</v>
      </c>
      <c r="R18" s="43" t="n">
        <v>3</v>
      </c>
      <c r="S18" s="43" t="n">
        <v>3</v>
      </c>
      <c r="T18" s="54" t="n"/>
      <c r="U18" s="43" t="n">
        <v>3</v>
      </c>
      <c r="V18" s="43" t="n">
        <v>3</v>
      </c>
      <c r="W18" s="43" t="n">
        <v>3</v>
      </c>
      <c r="X18" s="43" t="n">
        <v>2</v>
      </c>
      <c r="Y18" s="43" t="n">
        <v>3</v>
      </c>
      <c r="Z18" s="54" t="n"/>
      <c r="AA18" s="54" t="n"/>
      <c r="AB18" s="43" t="n">
        <v>1</v>
      </c>
      <c r="AC18" s="43" t="n">
        <v>1</v>
      </c>
      <c r="AD18" s="43" t="n">
        <v>1</v>
      </c>
      <c r="AE18" s="43" t="n">
        <v>3</v>
      </c>
      <c r="AF18" s="43" t="n">
        <v>3</v>
      </c>
      <c r="AG18" s="43" t="n">
        <v>2</v>
      </c>
      <c r="AH18" s="54" t="n"/>
      <c r="AI18" s="73" t="inlineStr">
        <is>
          <t>2/3 Gmat, fez no final sem energia, cara foi resiliente, falou muito bem no vídeo</t>
        </is>
      </c>
    </row>
    <row r="19" ht="14.25" customHeight="1" s="65">
      <c r="A19" s="53" t="n"/>
      <c r="B19" s="36" t="inlineStr">
        <is>
          <t>r278709@dac.unicamp.br</t>
        </is>
      </c>
      <c r="C19" s="3" t="inlineStr">
        <is>
          <t>Raphael Negrini Saggioro</t>
        </is>
      </c>
      <c r="D19" s="3" t="inlineStr">
        <is>
          <t>Ferro</t>
        </is>
      </c>
      <c r="E19" s="32">
        <f>IF(COUNT(K19:AG19)=0,"",ROUND((F19+G19+H19+I19+J19)/10,2))</f>
        <v/>
      </c>
      <c r="F19" s="33">
        <f>IF(COUNT(K19:AG19)=0,"",(K19*10+L19*8+M19*7+N19*5)/3)</f>
        <v/>
      </c>
      <c r="G19" s="33">
        <f>IF(COUNT(K19:AG19)=0,"",(P19*8+Q19*7+R19*5+S19*5)/3)</f>
        <v/>
      </c>
      <c r="H19" s="33">
        <f>IF(COUNT(K19:AG19)=0,"",(U19*6+V19*6+W19*4+X19*3+Y19*3+Z19*3)/3)</f>
        <v/>
      </c>
      <c r="I19" s="33">
        <f>IF(COUNT(K19:AG19)=0,"",AB19*3+AC19*2+AD19*2+AE19*1)</f>
        <v/>
      </c>
      <c r="J19" s="33">
        <f>IF(COUNT(K19:AG19)=0,"",(AF19*5+AG19*5)/3)</f>
        <v/>
      </c>
      <c r="K19" s="52" t="n">
        <v>2</v>
      </c>
      <c r="L19" s="52" t="n">
        <v>1</v>
      </c>
      <c r="M19" s="52" t="n">
        <v>1</v>
      </c>
      <c r="N19" s="52" t="n">
        <v>1</v>
      </c>
      <c r="O19" s="3" t="inlineStr">
        <is>
          <t>O cara só fez o vídeo e rascunho, meio estilo case interview</t>
        </is>
      </c>
      <c r="P19" s="52" t="n">
        <v>2</v>
      </c>
      <c r="Q19" s="52" t="n">
        <v>2</v>
      </c>
      <c r="R19" s="52" t="n">
        <v>1</v>
      </c>
      <c r="S19" s="52" t="n">
        <v>1</v>
      </c>
      <c r="T19" s="53" t="n"/>
      <c r="U19" s="52" t="n"/>
      <c r="V19" s="52" t="n"/>
      <c r="W19" s="52" t="n">
        <v>3</v>
      </c>
      <c r="X19" s="52" t="n">
        <v>3</v>
      </c>
      <c r="Y19" s="52" t="n">
        <v>0</v>
      </c>
      <c r="Z19" s="52" t="n"/>
      <c r="AA19" s="53" t="n"/>
      <c r="AB19" s="52" t="n">
        <v>0</v>
      </c>
      <c r="AC19" s="52" t="n">
        <v>0</v>
      </c>
      <c r="AD19" s="52" t="n">
        <v>1</v>
      </c>
      <c r="AE19" s="52" t="n">
        <v>0</v>
      </c>
      <c r="AF19" s="52" t="n">
        <v>2</v>
      </c>
      <c r="AG19" s="52" t="n">
        <v>3</v>
      </c>
      <c r="AH19" s="53" t="n"/>
      <c r="AI19" s="3" t="inlineStr">
        <is>
          <t>2/3 Gmat na média, vídeo foi muito bem, citou todos projetos</t>
        </is>
      </c>
    </row>
    <row r="20" ht="14.25" customHeight="1" s="65">
      <c r="A20" s="53" t="n"/>
      <c r="B20" s="16" t="inlineStr">
        <is>
          <t>g278107@dac.unicamp.br</t>
        </is>
      </c>
      <c r="C20" s="3" t="inlineStr">
        <is>
          <t>Gustavo Daher Pereira</t>
        </is>
      </c>
      <c r="D20" s="3" t="inlineStr">
        <is>
          <t>Ferro</t>
        </is>
      </c>
      <c r="E20" s="32">
        <f>IF(COUNT(K20:AG20)=0,"",ROUND((F20+G20+H20+I20+J20)/10,2))</f>
        <v/>
      </c>
      <c r="F20" s="33">
        <f>IF(COUNT(K20:AG20)=0,"",(K20*10+L20*8+M20*7+N20*5)/3)</f>
        <v/>
      </c>
      <c r="G20" s="33">
        <f>IF(COUNT(K20:AG20)=0,"",(P20*8+Q20*7+R20*5+S20*5)/3)</f>
        <v/>
      </c>
      <c r="H20" s="33">
        <f>IF(COUNT(K20:AG20)=0,"",(U20*6+V20*6+W20*4+X20*3+Y20*3+Z20*3)/3)</f>
        <v/>
      </c>
      <c r="I20" s="33">
        <f>IF(COUNT(K20:AG20)=0,"",AB20*3+AC20*2+AD20*2+AE20*1)</f>
        <v/>
      </c>
      <c r="J20" s="33">
        <f>IF(COUNT(K20:AG20)=0,"",(AF20*5+AG20*5)/3)</f>
        <v/>
      </c>
      <c r="K20" s="52" t="n"/>
      <c r="L20" s="52" t="n"/>
      <c r="M20" s="52" t="n"/>
      <c r="N20" s="52" t="n"/>
      <c r="O20" s="53" t="n"/>
      <c r="P20" s="52" t="n"/>
      <c r="Q20" s="52" t="n"/>
      <c r="R20" s="52" t="n"/>
      <c r="S20" s="52" t="n"/>
      <c r="T20" s="53" t="n"/>
      <c r="U20" s="52" t="n"/>
      <c r="V20" s="52" t="n"/>
      <c r="W20" s="52" t="n"/>
      <c r="X20" s="52" t="n"/>
      <c r="Y20" s="52" t="n"/>
      <c r="Z20" s="52" t="n"/>
      <c r="AA20" s="53" t="n"/>
      <c r="AB20" s="52" t="n"/>
      <c r="AC20" s="52" t="n"/>
      <c r="AD20" s="52" t="n"/>
      <c r="AE20" s="52" t="n"/>
      <c r="AF20" s="52" t="n">
        <v>2</v>
      </c>
      <c r="AG20" s="52" t="n">
        <v>2</v>
      </c>
      <c r="AH20" s="53" t="n"/>
      <c r="AI20" s="3" t="inlineStr">
        <is>
          <t>2/3 Gmat. Mano esse cara é a definição de estar na média</t>
        </is>
      </c>
    </row>
    <row r="21" ht="14.25" customHeight="1" s="65">
      <c r="A21" s="54" t="n"/>
      <c r="B21" s="39" t="inlineStr">
        <is>
          <t>rickfilho2007@gmail.com</t>
        </is>
      </c>
      <c r="C21" s="54" t="inlineStr">
        <is>
          <t>Ricardo Augusto Schmitt Filho</t>
        </is>
      </c>
      <c r="D21" s="54" t="inlineStr">
        <is>
          <t>Ferro</t>
        </is>
      </c>
      <c r="E21" s="41">
        <f>IF(COUNT(K21:AG21)=0,"",ROUND((F21+G21+H21+I21+J21)/10,2))</f>
        <v/>
      </c>
      <c r="F21" s="42">
        <f>IF(COUNT(K21:AG21)=0,"",(K21*10+L21*8+M21*7+N21*5)/3)</f>
        <v/>
      </c>
      <c r="G21" s="42">
        <f>IF(COUNT(K21:AG21)=0,"",(P21*8+Q21*7+R21*5+S21*5)/3)</f>
        <v/>
      </c>
      <c r="H21" s="42">
        <f>IF(COUNT(K21:AG21)=0,"",(U21*6+V21*6+W21*4+X21*3+Y21*3+Z21*3)/3)</f>
        <v/>
      </c>
      <c r="I21" s="42">
        <f>IF(COUNT(K21:AG21)=0,"",AB21*3+AC21*2+AD21*2+AE21*1)</f>
        <v/>
      </c>
      <c r="J21" s="42">
        <f>IF(COUNT(K21:AG21)=0,"",(AF21*5+AG21*5)/3)</f>
        <v/>
      </c>
      <c r="K21" s="43" t="n">
        <v>3</v>
      </c>
      <c r="L21" s="43" t="n">
        <v>2</v>
      </c>
      <c r="M21" s="43" t="n">
        <v>2</v>
      </c>
      <c r="N21" s="43" t="n">
        <v>2</v>
      </c>
      <c r="O21" s="54" t="inlineStr">
        <is>
          <t xml:space="preserve">Acho q fez na moral o slide, sem ia </t>
        </is>
      </c>
      <c r="P21" s="43" t="n">
        <v>3</v>
      </c>
      <c r="Q21" s="43" t="n">
        <v>2</v>
      </c>
      <c r="R21" s="43" t="n">
        <v>1</v>
      </c>
      <c r="S21" s="43" t="n">
        <v>3</v>
      </c>
      <c r="T21" s="54" t="n"/>
      <c r="U21" s="43" t="n">
        <v>3</v>
      </c>
      <c r="V21" s="43" t="n">
        <v>3</v>
      </c>
      <c r="W21" s="43" t="n">
        <v>3</v>
      </c>
      <c r="X21" s="43" t="n">
        <v>3</v>
      </c>
      <c r="Y21" s="43" t="n">
        <v>3</v>
      </c>
      <c r="Z21" s="54" t="n"/>
      <c r="AA21" s="54" t="n"/>
      <c r="AB21" s="43" t="n">
        <v>1</v>
      </c>
      <c r="AC21" s="43" t="n">
        <v>1</v>
      </c>
      <c r="AD21" s="43" t="n">
        <v>1</v>
      </c>
      <c r="AE21" s="43" t="n">
        <v>1</v>
      </c>
      <c r="AF21" s="43" t="n">
        <v>2</v>
      </c>
      <c r="AG21" s="43" t="n">
        <v>2</v>
      </c>
      <c r="AH21" s="54" t="n"/>
      <c r="AI21" s="54" t="inlineStr">
        <is>
          <t>2/3 Gmat, falou bem, mas parecia ler as vezes</t>
        </is>
      </c>
    </row>
    <row r="22" ht="18.75" customHeight="1" s="65">
      <c r="A22" s="53" t="n"/>
      <c r="B22" s="16" t="inlineStr">
        <is>
          <t>m306365@dac.unicamp.br</t>
        </is>
      </c>
      <c r="C22" s="3" t="inlineStr">
        <is>
          <t>Matheus Dias Freitas</t>
        </is>
      </c>
      <c r="D22" s="3" t="inlineStr">
        <is>
          <t>Ferro</t>
        </is>
      </c>
      <c r="E22" s="32">
        <f>IF(COUNT(K22:AG22)=0,"",ROUND((F22+G22+H22+I22+J22)/10,2))</f>
        <v/>
      </c>
      <c r="F22" s="33">
        <f>IF(COUNT(K22:AG22)=0,"",(K22*10+L22*8+M22*7+N22*5)/3)</f>
        <v/>
      </c>
      <c r="G22" s="33">
        <f>IF(COUNT(K22:AG22)=0,"",(P22*8+Q22*7+R22*5+S22*5)/3)</f>
        <v/>
      </c>
      <c r="H22" s="33">
        <f>IF(COUNT(K22:AG22)=0,"",(U22*6+V22*6+W22*4+X22*3+Y22*3+Z22*3)/3)</f>
        <v/>
      </c>
      <c r="I22" s="33">
        <f>IF(COUNT(K22:AG22)=0,"",AB22*3+AC22*2+AD22*2+AE22*1)</f>
        <v/>
      </c>
      <c r="J22" s="33">
        <f>IF(COUNT(K22:AG22)=0,"",(AF22*5+AG22*5)/3)</f>
        <v/>
      </c>
      <c r="K22" s="52" t="n"/>
      <c r="L22" s="52" t="n"/>
      <c r="M22" s="52" t="n"/>
      <c r="N22" s="52" t="n"/>
      <c r="O22" s="53" t="n"/>
      <c r="P22" s="52" t="n"/>
      <c r="Q22" s="52" t="n"/>
      <c r="R22" s="52" t="n"/>
      <c r="S22" s="52" t="n"/>
      <c r="T22" s="53" t="n"/>
      <c r="U22" s="52" t="n"/>
      <c r="V22" s="52" t="n"/>
      <c r="W22" s="52" t="n"/>
      <c r="X22" s="52" t="n"/>
      <c r="Y22" s="52" t="n"/>
      <c r="Z22" s="52" t="n"/>
      <c r="AA22" s="53" t="n"/>
      <c r="AB22" s="52" t="n"/>
      <c r="AC22" s="52" t="n"/>
      <c r="AD22" s="52" t="n"/>
      <c r="AE22" s="52" t="n"/>
      <c r="AF22" s="52" t="n">
        <v>0</v>
      </c>
      <c r="AG22" s="52" t="n">
        <v>0</v>
      </c>
      <c r="AH22" s="53" t="n"/>
      <c r="AI22" s="3" t="inlineStr">
        <is>
          <t>(BIXO) Vídeo de toca e perguntou se o gmat era em inglês mesmo, reportado</t>
        </is>
      </c>
    </row>
    <row r="23" ht="18.75" customHeight="1" s="65">
      <c r="A23" s="53" t="n"/>
      <c r="B23" s="16" t="inlineStr">
        <is>
          <t>k267983@dac.unicamp.br</t>
        </is>
      </c>
      <c r="C23" s="3" t="inlineStr">
        <is>
          <t>Klaus Augusto Santos da Silva</t>
        </is>
      </c>
      <c r="D23" s="3" t="inlineStr">
        <is>
          <t>Ferro</t>
        </is>
      </c>
      <c r="E23" s="32">
        <f>IF(COUNT(K23:AG23)=0,"",ROUND((F23+G23+H23+I23+J23)/10,2))</f>
        <v/>
      </c>
      <c r="F23" s="33">
        <f>IF(COUNT(K23:AG23)=0,"",(K23*10+L23*8+M23*7+N23*5)/3)</f>
        <v/>
      </c>
      <c r="G23" s="33">
        <f>IF(COUNT(K23:AG23)=0,"",(P23*8+Q23*7+R23*5+S23*5)/3)</f>
        <v/>
      </c>
      <c r="H23" s="33">
        <f>IF(COUNT(K23:AG23)=0,"",(U23*6+V23*6+W23*4+X23*3+Y23*3+Z23*3)/3)</f>
        <v/>
      </c>
      <c r="I23" s="33">
        <f>IF(COUNT(K23:AG23)=0,"",AB23*3+AC23*2+AD23*2+AE23*1)</f>
        <v/>
      </c>
      <c r="J23" s="33">
        <f>IF(COUNT(K23:AG23)=0,"",(AF23*5+AG23*5)/3)</f>
        <v/>
      </c>
      <c r="K23" s="52" t="n">
        <v>0</v>
      </c>
      <c r="L23" s="52" t="n">
        <v>1</v>
      </c>
      <c r="M23" s="52" t="n">
        <v>1</v>
      </c>
      <c r="N23" s="52" t="n">
        <v>1</v>
      </c>
      <c r="O23" s="3" t="inlineStr">
        <is>
          <t>Do mesmo jeito que ele usou IA pra tudo, podemos usar IA no lugar dele.</t>
        </is>
      </c>
      <c r="P23" s="52" t="n">
        <v>1</v>
      </c>
      <c r="Q23" s="52" t="n">
        <v>0</v>
      </c>
      <c r="R23" s="52" t="n">
        <v>1</v>
      </c>
      <c r="S23" s="52" t="n">
        <v>0</v>
      </c>
      <c r="T23" s="53" t="n"/>
      <c r="U23" s="52" t="n">
        <v>3</v>
      </c>
      <c r="V23" s="52" t="n">
        <v>3</v>
      </c>
      <c r="W23" s="52" t="n">
        <v>1</v>
      </c>
      <c r="X23" s="52" t="n">
        <v>0</v>
      </c>
      <c r="Y23" s="52" t="n">
        <v>0</v>
      </c>
      <c r="Z23" s="52" t="n"/>
      <c r="AA23" s="53" t="n"/>
      <c r="AB23" s="52" t="n">
        <v>0</v>
      </c>
      <c r="AC23" s="52" t="n">
        <v>1</v>
      </c>
      <c r="AD23" s="52" t="n">
        <v>0</v>
      </c>
      <c r="AE23" s="52" t="n">
        <v>0</v>
      </c>
      <c r="AF23" s="52" t="n">
        <v>2</v>
      </c>
      <c r="AG23" s="52" t="n">
        <v>1</v>
      </c>
      <c r="AH23" s="53" t="n"/>
      <c r="AI23" s="3" t="inlineStr">
        <is>
          <t>Achei o vídeo meio merda, ele fala bem, mas achei q falou umas coisas nada a ver</t>
        </is>
      </c>
    </row>
    <row r="24" ht="18.75" customHeight="1" s="65">
      <c r="A24" s="53" t="n"/>
      <c r="B24" s="36" t="inlineStr">
        <is>
          <t>r302729@dac.unicamp.br</t>
        </is>
      </c>
      <c r="C24" s="3" t="inlineStr">
        <is>
          <t>Rafael Rodrigues Moreira</t>
        </is>
      </c>
      <c r="D24" s="3" t="inlineStr">
        <is>
          <t>Ferro</t>
        </is>
      </c>
      <c r="E24" s="32">
        <f>IF(COUNT(K24:AG24)=0,"",ROUND((F24+G24+H24+I24+J24)/10,2))</f>
        <v/>
      </c>
      <c r="F24" s="33">
        <f>IF(COUNT(K24:AG24)=0,"",(K24*10+L24*8+M24*7+N24*5)/3)</f>
        <v/>
      </c>
      <c r="G24" s="33">
        <f>IF(COUNT(K24:AG24)=0,"",(P24*8+Q24*7+R24*5+S24*5)/3)</f>
        <v/>
      </c>
      <c r="H24" s="33">
        <f>IF(COUNT(K24:AG24)=0,"",(U24*6+V24*6+W24*4+X24*3+Y24*3+Z24*3)/3)</f>
        <v/>
      </c>
      <c r="I24" s="33">
        <f>IF(COUNT(K24:AG24)=0,"",AB24*3+AC24*2+AD24*2+AE24*1)</f>
        <v/>
      </c>
      <c r="J24" s="33">
        <f>IF(COUNT(K24:AG24)=0,"",(AF24*5+AG24*5)/3)</f>
        <v/>
      </c>
      <c r="K24" s="52" t="n">
        <v>2</v>
      </c>
      <c r="L24" s="52" t="n">
        <v>3</v>
      </c>
      <c r="M24" s="52" t="n">
        <v>2</v>
      </c>
      <c r="N24" s="52" t="n">
        <v>3</v>
      </c>
      <c r="O24" s="3" t="inlineStr">
        <is>
          <t>Fez vídeo, diferencial ótimo, e falou bem no vídeo</t>
        </is>
      </c>
      <c r="P24" s="52" t="n">
        <v>3</v>
      </c>
      <c r="Q24" s="52" t="n">
        <v>2</v>
      </c>
      <c r="R24" s="52" t="n">
        <v>2</v>
      </c>
      <c r="S24" s="52" t="n">
        <v>2</v>
      </c>
      <c r="T24" s="53" t="n"/>
      <c r="U24" s="52" t="n">
        <v>2</v>
      </c>
      <c r="V24" s="52" t="n">
        <v>3</v>
      </c>
      <c r="W24" s="52" t="n">
        <v>2</v>
      </c>
      <c r="X24" s="52" t="n">
        <v>2</v>
      </c>
      <c r="Y24" s="52" t="n">
        <v>1</v>
      </c>
      <c r="Z24" s="52" t="n"/>
      <c r="AA24" s="3" t="inlineStr">
        <is>
          <t>Faltou risco e próximos passos mesmo</t>
        </is>
      </c>
      <c r="AB24" s="52" t="n">
        <v>0</v>
      </c>
      <c r="AC24" s="52" t="n">
        <v>1</v>
      </c>
      <c r="AD24" s="52" t="n">
        <v>1</v>
      </c>
      <c r="AE24" s="52" t="n">
        <v>3</v>
      </c>
      <c r="AF24" s="52" t="n">
        <v>2</v>
      </c>
      <c r="AG24" s="52" t="n">
        <v>3</v>
      </c>
      <c r="AH24" s="3" t="inlineStr">
        <is>
          <t>Slide com IA, mas fez vídeo, estudou pro case</t>
        </is>
      </c>
      <c r="AI24" s="3" t="inlineStr">
        <is>
          <t>(BIXO) Mas falou bem, tava lendo, mas sempre cola nas palestras</t>
        </is>
      </c>
    </row>
    <row r="25" ht="18.75" customHeight="1" s="65">
      <c r="A25" s="53" t="n"/>
      <c r="B25" s="36" t="inlineStr">
        <is>
          <t>c258388@dac.unicamp.br</t>
        </is>
      </c>
      <c r="C25" s="3" t="inlineStr">
        <is>
          <t>Caio Augusto Saab</t>
        </is>
      </c>
      <c r="D25" s="3" t="inlineStr">
        <is>
          <t>luis</t>
        </is>
      </c>
      <c r="E25" s="32">
        <f>IF(COUNT(K25:AG25)=0,"",ROUND((F25+G25+H25+I25+J25)/10,2))</f>
        <v/>
      </c>
      <c r="F25" s="33">
        <f>IF(COUNT(K25:AG25)=0,"",(K25*10+L25*8+M25*7+N25*5)/3)</f>
        <v/>
      </c>
      <c r="G25" s="33">
        <f>IF(COUNT(K25:AG25)=0,"",(P25*8+Q25*7+R25*5+S25*5)/3)</f>
        <v/>
      </c>
      <c r="H25" s="33">
        <f>IF(COUNT(K25:AG25)=0,"",(U25*6+V25*6+W25*4+X25*3+Y25*3+Z25*3)/3)</f>
        <v/>
      </c>
      <c r="I25" s="33">
        <f>IF(COUNT(K25:AG25)=0,"",AB25*3+AC25*2+AD25*2+AE25*1)</f>
        <v/>
      </c>
      <c r="J25" s="33">
        <f>IF(COUNT(K25:AG25)=0,"",(AF25*5+AG25*5)/3)</f>
        <v/>
      </c>
      <c r="K25" s="52" t="n">
        <v>1</v>
      </c>
      <c r="L25" s="52" t="n">
        <v>1</v>
      </c>
      <c r="M25" s="52" t="n">
        <v>1</v>
      </c>
      <c r="N25" s="52" t="n">
        <v>0</v>
      </c>
      <c r="O25" s="53" t="n"/>
      <c r="P25" s="52" t="n">
        <v>1</v>
      </c>
      <c r="Q25" s="52" t="n">
        <v>0</v>
      </c>
      <c r="R25" s="52" t="n">
        <v>0</v>
      </c>
      <c r="S25" s="52" t="n">
        <v>0</v>
      </c>
      <c r="T25" s="53" t="n"/>
      <c r="U25" s="52" t="n">
        <v>3</v>
      </c>
      <c r="V25" s="52" t="n">
        <v>3</v>
      </c>
      <c r="W25" s="52" t="n">
        <v>1</v>
      </c>
      <c r="X25" s="52" t="n">
        <v>0</v>
      </c>
      <c r="Y25" s="52" t="n">
        <v>0</v>
      </c>
      <c r="Z25" s="52" t="n"/>
      <c r="AA25" s="53" t="n"/>
      <c r="AB25" s="52" t="n">
        <v>0</v>
      </c>
      <c r="AC25" s="52" t="n">
        <v>1</v>
      </c>
      <c r="AD25" s="52" t="n">
        <v>0</v>
      </c>
      <c r="AE25" s="52" t="n">
        <v>0</v>
      </c>
      <c r="AF25" s="52" t="n">
        <v>2</v>
      </c>
      <c r="AG25" s="52" t="n">
        <v>2</v>
      </c>
      <c r="AH25" s="53" t="n"/>
      <c r="AI25" s="3" t="inlineStr">
        <is>
          <t>fala com pouca naturalidade e sem motivo concreto</t>
        </is>
      </c>
    </row>
    <row r="26" ht="18.75" customHeight="1" s="65">
      <c r="A26" s="54" t="n"/>
      <c r="B26" s="47" t="inlineStr">
        <is>
          <t>j260826@dac.unicamp.br</t>
        </is>
      </c>
      <c r="C26" s="54" t="inlineStr">
        <is>
          <t>José Vitor Dias Tutu</t>
        </is>
      </c>
      <c r="D26" s="54" t="inlineStr">
        <is>
          <t>luis</t>
        </is>
      </c>
      <c r="E26" s="48">
        <f>IF(COUNT(K26:AG26)=0,"",ROUND((F26+G26+H26+I26+J26)/10,2))</f>
        <v/>
      </c>
      <c r="F26" s="42">
        <f>IF(COUNT(K26:AG26)=0,"",(K26*10+L26*8+M26*7+N26*5)/3)</f>
        <v/>
      </c>
      <c r="G26" s="42">
        <f>IF(COUNT(K26:AG26)=0,"",(P26*8+Q26*7+R26*5+S26*5)/3)</f>
        <v/>
      </c>
      <c r="H26" s="42">
        <f>IF(COUNT(K26:AG26)=0,"",(U26*6+V26*6+W26*4+X26*3+Y26*3+Z26*3)/3)</f>
        <v/>
      </c>
      <c r="I26" s="42">
        <f>IF(COUNT(K26:AG26)=0,"",AB26*3+AC26*2+AD26*2+AE26*1)</f>
        <v/>
      </c>
      <c r="J26" s="42">
        <f>IF(COUNT(K26:AG26)=0,"",(AF26*5+AG26*5)/3)</f>
        <v/>
      </c>
      <c r="K26" s="43" t="n">
        <v>1</v>
      </c>
      <c r="L26" s="43" t="n">
        <v>1</v>
      </c>
      <c r="M26" s="43" t="n">
        <v>1</v>
      </c>
      <c r="N26" s="43" t="n">
        <v>1</v>
      </c>
      <c r="O26" s="54" t="inlineStr">
        <is>
          <t>Esse cara nem se deu o trabalho de mudar o que a ia fez já ta reprovado</t>
        </is>
      </c>
      <c r="P26" s="43" t="n">
        <v>1</v>
      </c>
      <c r="Q26" s="43" t="n">
        <v>1</v>
      </c>
      <c r="R26" s="43" t="n">
        <v>1</v>
      </c>
      <c r="S26" s="43" t="n">
        <v>1</v>
      </c>
      <c r="T26" s="54" t="n"/>
      <c r="U26" s="43" t="n">
        <v>1</v>
      </c>
      <c r="V26" s="43" t="n">
        <v>1</v>
      </c>
      <c r="W26" s="43" t="n">
        <v>1</v>
      </c>
      <c r="X26" s="43" t="n">
        <v>1</v>
      </c>
      <c r="Y26" s="43" t="n">
        <v>1</v>
      </c>
      <c r="Z26" s="43" t="n">
        <v>1</v>
      </c>
      <c r="AA26" s="54" t="n"/>
      <c r="AB26" s="43" t="n">
        <v>0</v>
      </c>
      <c r="AC26" s="43" t="n">
        <v>1</v>
      </c>
      <c r="AD26" s="43" t="n">
        <v>0</v>
      </c>
      <c r="AE26" s="43" t="n">
        <v>1</v>
      </c>
      <c r="AF26" s="43" t="n">
        <v>3</v>
      </c>
      <c r="AG26" s="43" t="n">
        <v>2</v>
      </c>
      <c r="AH26" s="54" t="n"/>
      <c r="AI26" s="54" t="inlineStr">
        <is>
          <t>n falou nada do CCU</t>
        </is>
      </c>
    </row>
    <row r="27" ht="18.75" customHeight="1" s="65">
      <c r="A27" s="53" t="n"/>
      <c r="B27" s="36" t="inlineStr">
        <is>
          <t xml:space="preserve">i253464@dac.unicamp.br
</t>
        </is>
      </c>
      <c r="C27" s="3" t="inlineStr">
        <is>
          <t>Isadora Kluge Dorigan</t>
        </is>
      </c>
      <c r="D27" s="3" t="inlineStr">
        <is>
          <t>Proc</t>
        </is>
      </c>
      <c r="E27" s="32">
        <f>IF(COUNT(K27:AG27)=0,"",ROUND((F27+G27+H27+I27+J27)/10,2))</f>
        <v/>
      </c>
      <c r="F27" s="33">
        <f>IF(COUNT(K27:AG27)=0,"",(K27*10+L27*8+M27*7+N27*5)/3)</f>
        <v/>
      </c>
      <c r="G27" s="33">
        <f>IF(COUNT(K27:AG27)=0,"",(P27*8+Q27*7+R27*5+S27*5)/3)</f>
        <v/>
      </c>
      <c r="H27" s="33">
        <f>IF(COUNT(K27:AG27)=0,"",(U27*6+V27*6+W27*4+X27*3+Y27*3+Z27*3)/3)</f>
        <v/>
      </c>
      <c r="I27" s="33">
        <f>IF(COUNT(K27:AG27)=0,"",AB27*3+AC27*2+AD27*2+AE27*1)</f>
        <v/>
      </c>
      <c r="J27" s="33">
        <f>IF(COUNT(K27:AG27)=0,"",(AF27*5+AG27*5)/3)</f>
        <v/>
      </c>
      <c r="K27" s="52" t="n">
        <v>1</v>
      </c>
      <c r="L27" s="52" t="n">
        <v>3</v>
      </c>
      <c r="M27" s="52" t="n">
        <v>2</v>
      </c>
      <c r="N27" s="52" t="n">
        <v>2</v>
      </c>
      <c r="O27" s="3" t="inlineStr">
        <is>
          <t>Gravou vídeo também, falou bem, slide IA, acho</t>
        </is>
      </c>
      <c r="P27" s="52" t="n">
        <v>3</v>
      </c>
      <c r="Q27" s="52" t="n">
        <v>2</v>
      </c>
      <c r="R27" s="52" t="n">
        <v>2</v>
      </c>
      <c r="S27" s="52" t="n">
        <v>2</v>
      </c>
      <c r="T27" s="53" t="n"/>
      <c r="U27" s="52" t="n">
        <v>3</v>
      </c>
      <c r="V27" s="52" t="n">
        <v>3</v>
      </c>
      <c r="W27" s="52" t="n">
        <v>2</v>
      </c>
      <c r="X27" s="52" t="n">
        <v>2</v>
      </c>
      <c r="Y27" s="52" t="n">
        <v>3</v>
      </c>
      <c r="Z27" s="52" t="n"/>
      <c r="AA27" s="53" t="n"/>
      <c r="AB27" s="52" t="n">
        <v>0</v>
      </c>
      <c r="AC27" s="52" t="n">
        <v>0</v>
      </c>
      <c r="AD27" s="52" t="n">
        <v>1</v>
      </c>
      <c r="AE27" s="52" t="n">
        <v>2</v>
      </c>
      <c r="AF27" s="52" t="n">
        <v>2</v>
      </c>
      <c r="AG27" s="52" t="n">
        <v>3</v>
      </c>
      <c r="AH27" s="53" t="n"/>
      <c r="AI27" s="3" t="inlineStr">
        <is>
          <t>43% do GMAT. Senti que lia. Falou bem. Trajetória sólida.</t>
        </is>
      </c>
    </row>
    <row r="28" ht="14.25" customHeight="1" s="65">
      <c r="A28" s="53" t="n"/>
      <c r="B28" s="49" t="inlineStr">
        <is>
          <t>SEGUNDO AVALIADOR</t>
        </is>
      </c>
      <c r="C28" s="50" t="inlineStr">
        <is>
          <t>SEGUNDO AVALIADOR</t>
        </is>
      </c>
      <c r="D28" s="53" t="n"/>
      <c r="E28" s="32">
        <f>IF(COUNT(K28:AG28)=0,"",ROUND((F28+G28+H28+I28+J28)/10,2))</f>
        <v/>
      </c>
      <c r="F28" s="33">
        <f>IF(COUNT(K28:AG28)=0,"",(K28*10+L28*8+M28*7+N28*5)/3)</f>
        <v/>
      </c>
      <c r="G28" s="33">
        <f>IF(COUNT(K28:AG28)=0,"",(P28*8+Q28*7+R28*5+S28*5)/3)</f>
        <v/>
      </c>
      <c r="H28" s="33">
        <f>IF(COUNT(K28:AG28)=0,"",(U28*6+V28*6+W28*4+X28*3+Y28*3+Z28*3)/3)</f>
        <v/>
      </c>
      <c r="I28" s="33">
        <f>IF(COUNT(K28:AG28)=0,"",AB28*3+AC28*2+AD28*2+AE28*1)</f>
        <v/>
      </c>
      <c r="J28" s="33">
        <f>IF(COUNT(K28:AG28)=0,"",(AF28*5+AG28*5)/3)</f>
        <v/>
      </c>
      <c r="K28" s="52" t="n"/>
      <c r="L28" s="52" t="n"/>
      <c r="M28" s="52" t="n"/>
      <c r="N28" s="52" t="n"/>
      <c r="O28" s="53" t="n"/>
      <c r="P28" s="52" t="n"/>
      <c r="Q28" s="52" t="n"/>
      <c r="R28" s="52" t="n"/>
      <c r="S28" s="52" t="n"/>
      <c r="T28" s="53" t="n"/>
      <c r="U28" s="52" t="n"/>
      <c r="V28" s="52" t="n"/>
      <c r="W28" s="52" t="n"/>
      <c r="X28" s="52" t="n"/>
      <c r="Y28" s="52" t="n"/>
      <c r="Z28" s="52" t="n"/>
      <c r="AA28" s="53" t="n"/>
      <c r="AB28" s="52" t="n"/>
      <c r="AC28" s="52" t="n"/>
      <c r="AD28" s="52" t="n"/>
      <c r="AE28" s="52" t="n"/>
      <c r="AF28" s="52" t="n"/>
      <c r="AG28" s="52" t="n"/>
      <c r="AH28" s="53" t="n"/>
      <c r="AI28" s="53" t="n"/>
    </row>
    <row r="29" ht="14.25" customHeight="1" s="65">
      <c r="A29" s="53" t="n"/>
      <c r="B29" s="54" t="inlineStr">
        <is>
          <t>g278083@dac.unicamp.br</t>
        </is>
      </c>
      <c r="C29" s="54" t="inlineStr">
        <is>
          <t>Gabrielle Cristofani do Rosario</t>
        </is>
      </c>
      <c r="D29" s="3" t="inlineStr">
        <is>
          <t>Fred</t>
        </is>
      </c>
      <c r="E29" s="32">
        <f>IF(COUNT(K29:AG29)=0,"",ROUND((F29+G29+H29+I29+J29)/10,2))</f>
        <v/>
      </c>
      <c r="F29" s="33">
        <f>IF(COUNT(K29:AG29)=0,"",(K29*10+L29*8+M29*7+N29*5)/3)</f>
        <v/>
      </c>
      <c r="G29" s="33">
        <f>IF(COUNT(K29:AG29)=0,"",(P29*8+Q29*7+R29*5+S29*5)/3)</f>
        <v/>
      </c>
      <c r="H29" s="33">
        <f>IF(COUNT(K29:AG29)=0,"",(U29*6+V29*6+W29*4+X29*3+Y29*3+Z29*3)/3)</f>
        <v/>
      </c>
      <c r="I29" s="33">
        <f>IF(COUNT(K29:AG29)=0,"",AB29*3+AC29*2+AD29*2+AE29*1)</f>
        <v/>
      </c>
      <c r="J29" s="33">
        <f>IF(COUNT(K29:AG29)=0,"",(AF29*5+AG29*5)/3)</f>
        <v/>
      </c>
      <c r="K29" s="52" t="n">
        <v>2</v>
      </c>
      <c r="L29" s="52" t="n">
        <v>2</v>
      </c>
      <c r="M29" s="52" t="n">
        <v>2</v>
      </c>
      <c r="N29" s="52" t="n">
        <v>2</v>
      </c>
      <c r="O29" s="53" t="n"/>
      <c r="P29" s="52" t="n">
        <v>3</v>
      </c>
      <c r="Q29" s="52" t="n">
        <v>2</v>
      </c>
      <c r="R29" s="52" t="n">
        <v>1</v>
      </c>
      <c r="S29" s="52" t="n">
        <v>1</v>
      </c>
      <c r="T29" s="53" t="n"/>
      <c r="U29" s="52" t="n">
        <v>3</v>
      </c>
      <c r="V29" s="52" t="n">
        <v>3</v>
      </c>
      <c r="W29" s="52" t="n">
        <v>2</v>
      </c>
      <c r="X29" s="52" t="n">
        <v>2</v>
      </c>
      <c r="Y29" s="52" t="n">
        <v>2</v>
      </c>
      <c r="Z29" s="52" t="n"/>
      <c r="AA29" s="53" t="n"/>
      <c r="AB29" s="52" t="n">
        <v>1</v>
      </c>
      <c r="AC29" s="52" t="n">
        <v>1</v>
      </c>
      <c r="AD29" s="52" t="n">
        <v>0</v>
      </c>
      <c r="AE29" s="52" t="n">
        <v>3</v>
      </c>
      <c r="AF29" s="52" t="n">
        <v>3</v>
      </c>
      <c r="AG29" s="52" t="n">
        <v>2</v>
      </c>
      <c r="AH29" s="53" t="n"/>
      <c r="AI29" s="3" t="inlineStr">
        <is>
          <t>feagri 3° ano de curso, falou bem, mas foi generica em falar de consultoria</t>
        </is>
      </c>
    </row>
    <row r="30" ht="14.25" customHeight="1" s="65">
      <c r="A30" s="54" t="n"/>
      <c r="B30" s="54" t="inlineStr">
        <is>
          <t>b309603@dac.unicamp.br</t>
        </is>
      </c>
      <c r="C30" s="54" t="inlineStr">
        <is>
          <t>Bruno Heberth Oliveira Bastos</t>
        </is>
      </c>
      <c r="D30" s="54" t="inlineStr">
        <is>
          <t>Fred</t>
        </is>
      </c>
      <c r="E30" s="51">
        <f>IF(COUNT(K30:AG30)=0,"",ROUND((F30+G30+H30+I30+J30)/10,2))</f>
        <v/>
      </c>
      <c r="F30" s="42">
        <f>IF(COUNT(K30:AG30)=0,"",(K30*10+L30*8+M30*7+N30*5)/3)</f>
        <v/>
      </c>
      <c r="G30" s="42">
        <f>IF(COUNT(K30:AG30)=0,"",(P30*8+Q30*7+R30*5+S30*5)/3)</f>
        <v/>
      </c>
      <c r="H30" s="42">
        <f>IF(COUNT(K30:AG30)=0,"",(U30*6+V30*6+W30*4+X30*3+Y30*3+Z30*3)/3)</f>
        <v/>
      </c>
      <c r="I30" s="42">
        <f>IF(COUNT(K30:AG30)=0,"",AB30*3+AC30*2+AD30*2+AE30*1)</f>
        <v/>
      </c>
      <c r="J30" s="42">
        <f>IF(COUNT(K30:AG30)=0,"",(AF30*5+AG30*5)/3)</f>
        <v/>
      </c>
      <c r="K30" s="43" t="n">
        <v>3</v>
      </c>
      <c r="L30" s="43" t="n">
        <v>2</v>
      </c>
      <c r="M30" s="43" t="n">
        <v>1</v>
      </c>
      <c r="N30" s="43" t="n">
        <v>1</v>
      </c>
      <c r="O30" s="54" t="inlineStr">
        <is>
          <t xml:space="preserve">Bagulho inteiro de ia </t>
        </is>
      </c>
      <c r="P30" s="43" t="n">
        <v>2</v>
      </c>
      <c r="Q30" s="43" t="n">
        <v>1</v>
      </c>
      <c r="R30" s="43" t="n">
        <v>1</v>
      </c>
      <c r="S30" s="43" t="n">
        <v>1</v>
      </c>
      <c r="T30" s="54" t="n"/>
      <c r="U30" s="43" t="n">
        <v>3</v>
      </c>
      <c r="V30" s="43" t="n">
        <v>3</v>
      </c>
      <c r="W30" s="43" t="n">
        <v>2</v>
      </c>
      <c r="X30" s="43" t="n">
        <v>2</v>
      </c>
      <c r="Y30" s="43" t="n">
        <v>0</v>
      </c>
      <c r="Z30" s="54" t="n"/>
      <c r="AA30" s="54" t="n"/>
      <c r="AB30" s="43" t="n">
        <v>1</v>
      </c>
      <c r="AC30" s="43" t="n">
        <v>0</v>
      </c>
      <c r="AD30" s="43" t="n">
        <v>0</v>
      </c>
      <c r="AE30" s="43" t="n">
        <v>0</v>
      </c>
      <c r="AF30" s="43" t="n">
        <v>3</v>
      </c>
      <c r="AG30" s="43" t="n">
        <v>1</v>
      </c>
      <c r="AH30" s="54" t="n"/>
      <c r="AI30" s="54" t="n"/>
    </row>
    <row r="31" ht="15.75" customHeight="1" s="65">
      <c r="A31" s="53" t="n"/>
      <c r="B31" s="54" t="inlineStr">
        <is>
          <t>j309764@dac.unicamp.br</t>
        </is>
      </c>
      <c r="C31" s="54" t="inlineStr">
        <is>
          <t>JOÃO PEDRO STAMA</t>
        </is>
      </c>
      <c r="D31" s="3" t="inlineStr">
        <is>
          <t>Fred</t>
        </is>
      </c>
      <c r="E31" s="32">
        <f>IF(COUNT(K31:AG31)=0,"",ROUND((F31+G31+H31+I31+J31)/10,2))</f>
        <v/>
      </c>
      <c r="F31" s="33">
        <f>IF(COUNT(K31:AG31)=0,"",(K31*10+L31*8+M31*7+N31*5)/3)</f>
        <v/>
      </c>
      <c r="G31" s="33">
        <f>IF(COUNT(K31:AG31)=0,"",(P31*8+Q31*7+R31*5+S31*5)/3)</f>
        <v/>
      </c>
      <c r="H31" s="33">
        <f>IF(COUNT(K31:AG31)=0,"",(U31*6+V31*6+W31*4+X31*3+Y31*3+Z31*3)/3)</f>
        <v/>
      </c>
      <c r="I31" s="33">
        <f>IF(COUNT(K31:AG31)=0,"",AB31*3+AC31*2+AD31*2+AE31*1)</f>
        <v/>
      </c>
      <c r="J31" s="33">
        <f>IF(COUNT(K31:AG31)=0,"",(AF31*5+AG31*5)/3)</f>
        <v/>
      </c>
      <c r="K31" s="52" t="n"/>
      <c r="L31" s="52" t="n"/>
      <c r="M31" s="52" t="n"/>
      <c r="N31" s="52" t="n"/>
      <c r="O31" s="53" t="n"/>
      <c r="P31" s="52" t="n"/>
      <c r="Q31" s="52" t="n"/>
      <c r="R31" s="52" t="n"/>
      <c r="S31" s="52" t="n"/>
      <c r="T31" s="53" t="n"/>
      <c r="U31" s="52" t="n"/>
      <c r="V31" s="52" t="n"/>
      <c r="W31" s="52" t="n"/>
      <c r="X31" s="52" t="n"/>
      <c r="Y31" s="52" t="n"/>
      <c r="Z31" s="52" t="n"/>
      <c r="AA31" s="53" t="n"/>
      <c r="AB31" s="52" t="n"/>
      <c r="AC31" s="52" t="n"/>
      <c r="AD31" s="52" t="n"/>
      <c r="AE31" s="52" t="n"/>
      <c r="AF31" s="52" t="n">
        <v>1</v>
      </c>
      <c r="AG31" s="52" t="n">
        <v>2</v>
      </c>
      <c r="AH31" s="53" t="n"/>
      <c r="AI31" s="3" t="inlineStr">
        <is>
          <t>colou no gmat</t>
        </is>
      </c>
    </row>
    <row r="32" ht="14.25" customHeight="1" s="65">
      <c r="A32" s="53" t="n"/>
      <c r="B32" s="54" t="inlineStr">
        <is>
          <t>r238449@dac.unicamp.br</t>
        </is>
      </c>
      <c r="C32" s="54" t="inlineStr">
        <is>
          <t>Rafael Ponciano Rodrigues dos Santos</t>
        </is>
      </c>
      <c r="D32" s="3" t="inlineStr">
        <is>
          <t>Fred</t>
        </is>
      </c>
      <c r="E32" s="32">
        <f>IF(COUNT(K32:AG32)=0,"",ROUND((F32+G32+H32+I32+J32)/10,2))</f>
        <v/>
      </c>
      <c r="F32" s="33">
        <f>IF(COUNT(K32:AG32)=0,"",(K32*10+L32*8+M32*7+N32*5)/3)</f>
        <v/>
      </c>
      <c r="G32" s="33">
        <f>IF(COUNT(K32:AG32)=0,"",(P32*8+Q32*7+R32*5+S32*5)/3)</f>
        <v/>
      </c>
      <c r="H32" s="33">
        <f>IF(COUNT(K32:AG32)=0,"",(U32*6+V32*6+W32*4+X32*3+Y32*3+Z32*3)/3)</f>
        <v/>
      </c>
      <c r="I32" s="33">
        <f>IF(COUNT(K32:AG32)=0,"",AB32*3+AC32*2+AD32*2+AE32*1)</f>
        <v/>
      </c>
      <c r="J32" s="33">
        <f>IF(COUNT(K32:AG32)=0,"",(AF32*5+AG32*5)/3)</f>
        <v/>
      </c>
      <c r="K32" s="52" t="n">
        <v>3</v>
      </c>
      <c r="L32" s="52" t="n">
        <v>2</v>
      </c>
      <c r="M32" s="52" t="n">
        <v>2</v>
      </c>
      <c r="N32" s="52" t="n">
        <v>2</v>
      </c>
      <c r="O32" s="53" t="inlineStr">
        <is>
          <t>slides feitos por IA, mas no geral foi bem feito. falou bem no video e foi claro, o melhor dos que eu corrigi</t>
        </is>
      </c>
      <c r="P32" s="52" t="n">
        <v>3</v>
      </c>
      <c r="Q32" s="52" t="n">
        <v>3</v>
      </c>
      <c r="R32" s="52" t="n">
        <v>3</v>
      </c>
      <c r="S32" s="52" t="n">
        <v>3</v>
      </c>
      <c r="T32" s="53" t="n"/>
      <c r="U32" s="52" t="n">
        <v>3</v>
      </c>
      <c r="V32" s="52" t="n">
        <v>3</v>
      </c>
      <c r="W32" s="52" t="n">
        <v>2</v>
      </c>
      <c r="X32" s="52" t="n">
        <v>3</v>
      </c>
      <c r="Y32" s="52" t="n">
        <v>2</v>
      </c>
      <c r="Z32" s="52" t="n"/>
      <c r="AA32" s="53" t="n"/>
      <c r="AB32" s="52" t="n">
        <v>1</v>
      </c>
      <c r="AC32" s="52" t="n">
        <v>1</v>
      </c>
      <c r="AD32" s="52" t="n">
        <v>1</v>
      </c>
      <c r="AE32" s="52" t="n">
        <v>2</v>
      </c>
      <c r="AF32" s="52" t="n">
        <v>3</v>
      </c>
      <c r="AG32" s="52" t="n">
        <v>2</v>
      </c>
      <c r="AH32" s="53" t="n"/>
      <c r="AI32" s="3" t="inlineStr">
        <is>
          <t>Falou bem no vídeo (levemente robótico) e mandou bem no gmat</t>
        </is>
      </c>
    </row>
    <row r="33" ht="14.25" customHeight="1" s="65">
      <c r="A33" s="53" t="n"/>
      <c r="B33" s="54" t="inlineStr">
        <is>
          <t>enzo.gag17@gmail.com</t>
        </is>
      </c>
      <c r="C33" s="54" t="inlineStr">
        <is>
          <t>Enzo Chofakian Gagliardi</t>
        </is>
      </c>
      <c r="D33" s="3" t="inlineStr">
        <is>
          <t>Ferro</t>
        </is>
      </c>
      <c r="E33" s="32">
        <f>IF(COUNT(K33:AG33)=0,"",ROUND((F33+G33+H33+I33+J33)/10,2))</f>
        <v/>
      </c>
      <c r="F33" s="33">
        <f>IF(COUNT(K33:AG33)=0,"",(K33*10+L33*8+M33*7+N33*5)/3)</f>
        <v/>
      </c>
      <c r="G33" s="33">
        <f>IF(COUNT(K33:AG33)=0,"",(P33*8+Q33*7+R33*5+S33*5)/3)</f>
        <v/>
      </c>
      <c r="H33" s="33">
        <f>IF(COUNT(K33:AG33)=0,"",(U33*6+V33*6+W33*4+X33*3+Y33*3+Z33*3)/3)</f>
        <v/>
      </c>
      <c r="I33" s="33">
        <f>IF(COUNT(K33:AG33)=0,"",AB33*3+AC33*2+AD33*2+AE33*1)</f>
        <v/>
      </c>
      <c r="J33" s="33">
        <f>IF(COUNT(K33:AG33)=0,"",(AF33*5+AG33*5)/3)</f>
        <v/>
      </c>
      <c r="K33" s="52" t="n">
        <v>3</v>
      </c>
      <c r="L33" s="52" t="n">
        <v>2</v>
      </c>
      <c r="M33" s="52" t="n">
        <v>2</v>
      </c>
      <c r="N33" s="52" t="n">
        <v>2</v>
      </c>
      <c r="O33" s="3" t="inlineStr">
        <is>
          <t>Slide feito por IA</t>
        </is>
      </c>
      <c r="P33" s="52" t="n">
        <v>2</v>
      </c>
      <c r="Q33" s="52" t="n">
        <v>2</v>
      </c>
      <c r="R33" s="52" t="n">
        <v>2</v>
      </c>
      <c r="S33" s="52" t="n">
        <v>1</v>
      </c>
      <c r="T33" s="3" t="inlineStr">
        <is>
          <t>Excel feito por IA também</t>
        </is>
      </c>
      <c r="U33" s="52" t="n">
        <v>3</v>
      </c>
      <c r="V33" s="52" t="n">
        <v>3</v>
      </c>
      <c r="W33" s="52" t="n">
        <v>2</v>
      </c>
      <c r="X33" s="52" t="n">
        <v>1</v>
      </c>
      <c r="Y33" s="52" t="n">
        <v>2</v>
      </c>
      <c r="Z33" s="52" t="n"/>
      <c r="AA33" s="53" t="n"/>
      <c r="AB33" s="52" t="n">
        <v>1</v>
      </c>
      <c r="AC33" s="52" t="n">
        <v>1</v>
      </c>
      <c r="AD33" s="52" t="n">
        <v>0</v>
      </c>
      <c r="AE33" s="52" t="n">
        <v>3</v>
      </c>
      <c r="AF33" s="52" t="n">
        <v>2</v>
      </c>
      <c r="AG33" s="52" t="n">
        <v>2</v>
      </c>
      <c r="AH33" s="53" t="n"/>
      <c r="AI33" s="3" t="inlineStr">
        <is>
          <t>Acho q da pra passar, foi bem até</t>
        </is>
      </c>
    </row>
    <row r="34" ht="14.25" customHeight="1" s="65">
      <c r="A34" s="53" t="n"/>
      <c r="B34" s="54" t="inlineStr">
        <is>
          <t>e278588@dac.unicamp.br</t>
        </is>
      </c>
      <c r="C34" s="54" t="inlineStr">
        <is>
          <t>Enrico Tristão e Mello de Oliveira</t>
        </is>
      </c>
      <c r="D34" s="3" t="inlineStr">
        <is>
          <t>Matteo</t>
        </is>
      </c>
      <c r="E34" s="32" t="n">
        <v>8.83</v>
      </c>
      <c r="F34" s="33" t="n">
        <v>27.33</v>
      </c>
      <c r="G34" s="33" t="n">
        <v>25</v>
      </c>
      <c r="H34" s="33" t="n">
        <v>21</v>
      </c>
      <c r="I34" s="33" t="n">
        <v>10</v>
      </c>
      <c r="J34" s="33" t="n">
        <v>5</v>
      </c>
      <c r="K34" s="52" t="n">
        <v>3</v>
      </c>
      <c r="L34" s="52" t="n">
        <v>2</v>
      </c>
      <c r="M34" s="52" t="n">
        <v>3</v>
      </c>
      <c r="N34" s="52" t="n">
        <v>3</v>
      </c>
      <c r="O34" s="73" t="inlineStr">
        <is>
          <t>C1=3: slide 2, uma linha, "ESTAÇÃO CENTRAL + PONTOS PARCEIROS / Maior resultado operacional absoluto com economia de modelo robusta",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recomendação, atratividade, quantificação, sensibilidade, portfólio, riscos, piloto, sem obrigar o leitor a voltar. C4=3: template único de fonte, cor e alinhamento nos 10 slides, gráficos no mesmo padrão, nenhum slide com parágrafo corrido.</t>
        </is>
      </c>
      <c r="P34" s="52" t="n">
        <v>3</v>
      </c>
      <c r="Q34" s="52" t="n">
        <v>3</v>
      </c>
      <c r="R34" s="52" t="n">
        <v>3</v>
      </c>
      <c r="S34" s="52" t="n">
        <v>3</v>
      </c>
      <c r="T34" s="73" t="inlineStr">
        <is>
          <t>R1=3: slide 2 traz três pilares amarrados,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quanto o custo do banco teria de cair para os armários empatarem,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"Estação gera volume; Centro usa melhor cada posição", e usa essa leitura para atribuir papéis estratégicos diferentes no slide 8, além de explicar no slide 6 a causa de os parceiros ganharem.</t>
        </is>
      </c>
      <c r="U34" s="52" t="n">
        <v>3</v>
      </c>
      <c r="V34" s="52" t="n">
        <v>3</v>
      </c>
      <c r="W34" s="52" t="n">
        <v>3</v>
      </c>
      <c r="X34" s="52" t="n">
        <v>3</v>
      </c>
      <c r="Y34" s="52" t="n">
        <v>2</v>
      </c>
      <c r="Z34" s="52" t="n"/>
      <c r="AA34" s="73" t="inlineStr">
        <is>
          <t>A1=3: os oito resultados conferem com o meu recálculo.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"custos de gestão não estão considerados e podem reduzir a vantagem", e a dimensionar essa lacuna, que é o engajamento crítico mais próximo do que o item A6 pretende medir.</t>
        </is>
      </c>
      <c r="AB34" s="52" t="n">
        <v>1</v>
      </c>
      <c r="AC34" s="52" t="n">
        <v>1</v>
      </c>
      <c r="AD34" s="52" t="n">
        <v>1</v>
      </c>
      <c r="AE34" s="52" t="n">
        <v>3</v>
      </c>
      <c r="AF34" s="52" t="n">
        <v>2</v>
      </c>
      <c r="AG34" s="52" t="n">
        <v>1</v>
      </c>
      <c r="AH34" s="53" t="n"/>
      <c r="AI34" s="74"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VÍDEO DA ENTREGA: confirmado na pasta do Drive, arquivo "Video Project ofc.mp4". Por isso E3 vale 1. O arquivo não estava na pasta numerada do repositório.
COMPARAÇÃO COM O CLUBE: na base só do case, victor ficou em 8,33 e eu em 9,26, diferença de 0,93, dentro do limite de 1,0.</t>
        </is>
      </c>
    </row>
    <row r="35" ht="14.25" customHeight="1" s="65">
      <c r="A35" s="53" t="n"/>
      <c r="B35" s="54" t="inlineStr">
        <is>
          <t>e221509@dac.unicamp.br</t>
        </is>
      </c>
      <c r="C35" s="54" t="inlineStr">
        <is>
          <t>Eduardo Alves Henrique</t>
        </is>
      </c>
      <c r="D35" s="3" t="inlineStr">
        <is>
          <t>Proc</t>
        </is>
      </c>
      <c r="E35" s="32">
        <f>IF(COUNT(K35:AG35)=0,"",ROUND((F35+G35+H35+I35+J35)/10,2))</f>
        <v/>
      </c>
      <c r="F35" s="33">
        <f>IF(COUNT(K35:AG35)=0,"",(K35*10+L35*8+M35*7+N35*5)/3)</f>
        <v/>
      </c>
      <c r="G35" s="33">
        <f>IF(COUNT(K35:AG35)=0,"",(P35*8+Q35*7+R35*5+S35*5)/3)</f>
        <v/>
      </c>
      <c r="H35" s="33">
        <f>IF(COUNT(K35:AG35)=0,"",(U35*6+V35*6+W35*4+X35*3+Y35*3+Z35*3)/3)</f>
        <v/>
      </c>
      <c r="I35" s="33">
        <f>IF(COUNT(K35:AG35)=0,"",AB35*3+AC35*2+AD35*2+AE35*1)</f>
        <v/>
      </c>
      <c r="J35" s="33">
        <f>IF(COUNT(K35:AG35)=0,"",(AF35*5+AG35*5)/3)</f>
        <v/>
      </c>
      <c r="K35" s="52" t="n">
        <v>2</v>
      </c>
      <c r="L35" s="52" t="n">
        <v>2</v>
      </c>
      <c r="M35" s="52" t="n">
        <v>1</v>
      </c>
      <c r="N35" s="52" t="n">
        <v>2</v>
      </c>
      <c r="O35" s="53" t="inlineStr">
        <is>
          <t>só gravou vídeo com contas a mao enviadas uma por uma e a apresentação nao ficou tao boa</t>
        </is>
      </c>
      <c r="P35" s="52" t="n">
        <v>2</v>
      </c>
      <c r="Q35" s="52" t="n">
        <v>3</v>
      </c>
      <c r="R35" s="52" t="n">
        <v>0</v>
      </c>
      <c r="S35" s="52" t="n">
        <v>1</v>
      </c>
      <c r="T35" s="53" t="n"/>
      <c r="U35" s="52" t="n">
        <v>2</v>
      </c>
      <c r="V35" s="52" t="n">
        <v>3</v>
      </c>
      <c r="W35" s="52" t="n">
        <v>2</v>
      </c>
      <c r="X35" s="52" t="n">
        <v>2</v>
      </c>
      <c r="Y35" s="52" t="n">
        <v>1</v>
      </c>
      <c r="Z35" s="52" t="n"/>
      <c r="AA35" s="53" t="n"/>
      <c r="AB35" s="52" t="n">
        <v>0</v>
      </c>
      <c r="AC35" s="52" t="n">
        <v>1</v>
      </c>
      <c r="AD35" s="52" t="n">
        <v>1</v>
      </c>
      <c r="AE35" s="52" t="n">
        <v>1</v>
      </c>
      <c r="AF35" s="52" t="n">
        <v>2</v>
      </c>
      <c r="AG35" s="52" t="n">
        <v>1</v>
      </c>
      <c r="AH35" s="53" t="n"/>
      <c r="AI35" s="3" t="inlineStr">
        <is>
          <t>80% no GMAT. Ao mesmo tempo fala que pode não se interessar pelo CCU, como pode se tornar liderança (???).</t>
        </is>
      </c>
    </row>
    <row r="36" ht="14.25" customHeight="1" s="65">
      <c r="A36" s="54" t="n"/>
      <c r="B36" s="54" t="inlineStr">
        <is>
          <t>l304532@dac.unicamp.br</t>
        </is>
      </c>
      <c r="C36" s="54" t="inlineStr">
        <is>
          <t>Leandra Cunha de Souza</t>
        </is>
      </c>
      <c r="D36" s="54" t="inlineStr">
        <is>
          <t>Proc</t>
        </is>
      </c>
      <c r="E36" s="48">
        <f>IF(COUNT(K36:AG36)=0,"",ROUND((F36+G36+H36+I36+J36)/10,2))</f>
        <v/>
      </c>
      <c r="F36" s="42">
        <f>IF(COUNT(K36:AG36)=0,"",(K36*10+L36*8+M36*7+N36*5)/3)</f>
        <v/>
      </c>
      <c r="G36" s="42">
        <f>IF(COUNT(K36:AG36)=0,"",(P36*8+Q36*7+R36*5+S36*5)/3)</f>
        <v/>
      </c>
      <c r="H36" s="42">
        <f>IF(COUNT(K36:AG36)=0,"",(U36*6+V36*6+W36*4+X36*3+Y36*3+Z36*3)/3)</f>
        <v/>
      </c>
      <c r="I36" s="42">
        <f>IF(COUNT(K36:AG36)=0,"",AB36*3+AC36*2+AD36*2+AE36*1)</f>
        <v/>
      </c>
      <c r="J36" s="42">
        <f>IF(COUNT(K36:AG36)=0,"",(AF36*5+AG36*5)/3)</f>
        <v/>
      </c>
      <c r="K36" s="43" t="n">
        <v>2</v>
      </c>
      <c r="L36" s="43" t="n">
        <v>1</v>
      </c>
      <c r="M36" s="43" t="n">
        <v>1</v>
      </c>
      <c r="N36" s="43" t="n">
        <v>1</v>
      </c>
      <c r="O36" s="54" t="inlineStr">
        <is>
          <t>muito básico e entregou apenas uma apresentação em slides</t>
        </is>
      </c>
      <c r="P36" s="43" t="n">
        <v>2</v>
      </c>
      <c r="Q36" s="43" t="n">
        <v>1</v>
      </c>
      <c r="R36" s="43" t="n">
        <v>1</v>
      </c>
      <c r="S36" s="43" t="n">
        <v>1</v>
      </c>
      <c r="T36" s="54" t="n"/>
      <c r="U36" s="54" t="n">
        <v>2</v>
      </c>
      <c r="V36" s="54" t="n">
        <v>2</v>
      </c>
      <c r="W36" s="54" t="n">
        <v>2</v>
      </c>
      <c r="X36" s="54" t="n">
        <v>2</v>
      </c>
      <c r="Y36" s="54" t="n">
        <v>1</v>
      </c>
      <c r="Z36" s="54" t="n"/>
      <c r="AA36" s="54" t="n"/>
      <c r="AB36" s="54" t="n">
        <v>0</v>
      </c>
      <c r="AC36" s="54" t="n">
        <v>1</v>
      </c>
      <c r="AD36" s="54" t="n">
        <v>0</v>
      </c>
      <c r="AE36" s="54" t="n">
        <v>1</v>
      </c>
      <c r="AF36" s="43" t="n">
        <v>2</v>
      </c>
      <c r="AG36" s="43" t="n">
        <v>2</v>
      </c>
      <c r="AH36" s="54" t="n"/>
      <c r="AI36" s="54" t="inlineStr">
        <is>
          <t>GMAT inconclusivo se ela colou. Nada de especial.</t>
        </is>
      </c>
    </row>
    <row r="37" ht="14.25" customHeight="1" s="65">
      <c r="A37" s="53" t="n"/>
      <c r="B37" s="54" t="inlineStr">
        <is>
          <t>v188630@dac.unicamp.br</t>
        </is>
      </c>
      <c r="C37" s="54" t="inlineStr">
        <is>
          <t>Vagner Ássimos Gomes Carlos Filho</t>
        </is>
      </c>
      <c r="D37" s="3" t="inlineStr">
        <is>
          <t>Proc</t>
        </is>
      </c>
      <c r="E37" s="32">
        <f>IF(COUNT(K37:AG37)=0,"",ROUND((F37+G37+H37+I37+J37)/10,2))</f>
        <v/>
      </c>
      <c r="F37" s="33">
        <f>IF(COUNT(K37:AG37)=0,"",(K37*10+L37*8+M37*7+N37*5)/3)</f>
        <v/>
      </c>
      <c r="G37" s="33">
        <f>IF(COUNT(K37:AG37)=0,"",(P37*8+Q37*7+R37*5+S37*5)/3)</f>
        <v/>
      </c>
      <c r="H37" s="33">
        <f>IF(COUNT(K37:AG37)=0,"",(U37*6+V37*6+W37*4+X37*3+Y37*3+Z37*3)/3)</f>
        <v/>
      </c>
      <c r="I37" s="33">
        <f>IF(COUNT(K37:AG37)=0,"",AB37*3+AC37*2+AD37*2+AE37*1)</f>
        <v/>
      </c>
      <c r="J37" s="33">
        <f>IF(COUNT(K37:AG37)=0,"",(AF37*5+AG37*5)/3)</f>
        <v/>
      </c>
      <c r="K37" s="52" t="n">
        <v>2</v>
      </c>
      <c r="L37" s="52" t="n">
        <v>2</v>
      </c>
      <c r="M37" s="52" t="n">
        <v>1</v>
      </c>
      <c r="N37" s="52" t="n">
        <v>1</v>
      </c>
      <c r="O37" s="53" t="inlineStr">
        <is>
          <t>Totalmente feito por IA</t>
        </is>
      </c>
      <c r="P37" s="52" t="n">
        <v>2</v>
      </c>
      <c r="Q37" s="52" t="n">
        <v>3</v>
      </c>
      <c r="R37" s="52" t="n">
        <v>1</v>
      </c>
      <c r="S37" s="52" t="n">
        <v>2</v>
      </c>
      <c r="T37" s="53" t="inlineStr">
        <is>
          <t>meio controverso</t>
        </is>
      </c>
      <c r="U37" s="52" t="n">
        <v>2</v>
      </c>
      <c r="V37" s="52" t="n">
        <v>2</v>
      </c>
      <c r="W37" s="52" t="n">
        <v>2</v>
      </c>
      <c r="X37" s="52" t="n">
        <v>3</v>
      </c>
      <c r="Y37" s="52" t="n">
        <v>2</v>
      </c>
      <c r="Z37" s="52" t="n"/>
      <c r="AA37" s="53" t="n"/>
      <c r="AB37" s="52" t="n">
        <v>0</v>
      </c>
      <c r="AC37" s="52" t="n">
        <v>1</v>
      </c>
      <c r="AD37" s="52" t="n">
        <v>0</v>
      </c>
      <c r="AE37" s="52" t="n">
        <v>2</v>
      </c>
      <c r="AF37" s="52" t="n">
        <v>3</v>
      </c>
      <c r="AG37" s="52" t="n">
        <v>1</v>
      </c>
      <c r="AH37" s="53" t="n"/>
      <c r="AI37" s="3" t="inlineStr">
        <is>
          <t>Mais de 80% no GMAT. Falou quer CCU e ia nas palestras mas NÃO falou sobre ele, haviam mais 30s para falar.</t>
        </is>
      </c>
    </row>
    <row r="38" ht="14.25" customHeight="1" s="65">
      <c r="A38" s="53" t="n"/>
      <c r="B38" s="54" t="inlineStr">
        <is>
          <t>m277865@dac.unicamp.br</t>
        </is>
      </c>
      <c r="C38" s="54" t="inlineStr">
        <is>
          <t>Mariana Nunes Galvão Sant'Anna</t>
        </is>
      </c>
      <c r="D38" s="3" t="inlineStr">
        <is>
          <t>Matteo</t>
        </is>
      </c>
      <c r="E38" s="32" t="n">
        <v>8.67</v>
      </c>
      <c r="F38" s="33" t="n">
        <v>25</v>
      </c>
      <c r="G38" s="33" t="n">
        <v>23.33</v>
      </c>
      <c r="H38" s="33" t="n">
        <v>22</v>
      </c>
      <c r="I38" s="33" t="n">
        <v>8</v>
      </c>
      <c r="J38" s="33" t="n">
        <v>8.33</v>
      </c>
      <c r="K38" s="52" t="n">
        <v>3</v>
      </c>
      <c r="L38" s="52" t="n">
        <v>2</v>
      </c>
      <c r="M38" s="52" t="n">
        <v>2</v>
      </c>
      <c r="N38" s="52" t="n">
        <v>3</v>
      </c>
      <c r="O38" s="73" t="inlineStr">
        <is>
          <t>C1=3: o deck abre pela recomendação, o slide 3 é o divisor "Recomendação de investimento" e o slide 4 traz a resposta completa com o número (Estação Central, pontos parceiros, R$ 27.840.000). Contando capa, sumário e divisor, ela chega na 4ª página de 18, ou seja, a primeira página de conteúdo é a resposta. Ressalva para o 2º avaliador: não é literalmente uma frase, está distribuída em três colunas. C2=2: deck de nível cliente com capa, sumário, divisores de seção e slide de fechamento, mais planilha de 5 abas. O que impede o 3 são títulos duplicados: os slides 9, 10 e 11 têm título e subtítulo idênticos ("Cenários de investimento: projeções anuais de lucro") e os slides 6 e 7 repetem "Mapeamento da cidade", quatro slides em que o leitor não sabe o que mudou. C3=2: a recomendação aparece no título ("O futuro da BagHub em Estação Central, Porto Claro") e o arco fecha, recomendação, comparação, rentabilidade, conclusões, matriz, modelo de negócios, riscos e próximos passos. O salto que impede o 3 é justamente o título triplicado dos slides 9 a 11. C4=3: template consistente com divisores de seção, gráficos no mesmo padrão e nenhum slide com parágrafo corrido.</t>
        </is>
      </c>
      <c r="P38" s="52" t="n">
        <v>3</v>
      </c>
      <c r="Q38" s="52" t="n">
        <v>3</v>
      </c>
      <c r="R38" s="52" t="n">
        <v>3</v>
      </c>
      <c r="S38" s="52" t="n">
        <v>2</v>
      </c>
      <c r="T38" s="73" t="inlineStr">
        <is>
          <t>R1=3: o slide 4 amarra R$ 27.840.000 a razões de negócio próprias e verificáveis, infraestrutura ferroviária e rodoviária, e o fato de a Estação Central fazer fronteira com 5 bairros, sendo passagem para diversos trajetos, com sazonalidade "homogênea e previsível" e potencial de fidelização. Conferi no mapa do Anexo A e a contagem de 5 bairros vizinhos está correta. Tapando o número, o argumento de fronteira e recorrência fica; tapando o argumento, 27,84M é o máximo dos oito. R2=3: o slide 13 ordena as OITO combinações numa matriz esforço-resultado, e a ordem está correta por lucro absoluto (27,84 &gt; 25,08 &gt; 24,50 &gt; 23,15 &gt; 19,20 &gt; 18,57 &gt; 14,94 &gt; 13,87), incluindo o detalhe de colocar Estação-armários à frente de Centro-parceiros. Marca Noite Alta como 5/6 com asterisco, declarando que a posição depende de pesquisa sobre disponibilidade horária dos parceiros, reconhece a incerteza em vez de fingir precisão. R3=3: três adições reais. Primeiro, o critério "potencial de fronteira" (aba diagramas, notas 3/2/1/2), construído a partir da leitura do mapa do Anexo A, foi a única candidata a usar o mapa analiticamente, e isso sustenta diretamente a recomendação. Segundo, a aba comparação calcula a vantagem percentual dos parceiros por bairro (11,0% / 5,8% / 7,7% / 3,4%) e ela usa isso no slide 12 para argumentar que a diferença não é grande o bastante para ignorar fatores qualitativos, apontando Noite Alta (3,4%, a menor) como onde a vantagem pode virar, é o mesmo achado das melhores entregas, por outro caminho. Terceiro, um Business Model Canvas completo no slide 15, não pedido. R4=2: acerta em dois indicadores e erra no que promove a primeiro lugar. Acerta ao interpretar os percentuais de vantagem e ao derivar consequência de negócio do mapa. Erra no slide 17, onde lista como oportunidade nº 1 que "apenas 42% das horas semanais disponíveis são utilizadas na estação central, um maior aproveitamento teria impacto direto no lucro", o case diz que a capacidade foi dimensionada para os picos e que a demanda já está dada em transações, então horas ociosas não são alavanca de receita.</t>
        </is>
      </c>
      <c r="U38" s="52" t="n">
        <v>3</v>
      </c>
      <c r="V38" s="52" t="n">
        <v>3</v>
      </c>
      <c r="W38" s="52" t="n">
        <v>3</v>
      </c>
      <c r="X38" s="52" t="n">
        <v>3</v>
      </c>
      <c r="Y38" s="52" t="n">
        <v>3</v>
      </c>
      <c r="Z38" s="52" t="n"/>
      <c r="AA38" s="73" t="inlineStr">
        <is>
          <t>A1=3: os oito resultados conferem integralmente. Memória de cálculo em planilha real, com as abas modelo 1 e modelo 2 puxando os parâmetros da aba Rascunho por referência ((C22+C25)*2400+70000*60, e assim por diante). A2=3: contagens de banco corretas nas fórmulas, 60, 25, 23 e 45, com a Arena em 23, ou seja, o arredondamento de 22,5 foi feito. Custo por complexidade correto nos oito cenários, com os três níveis parametrizados na aba Rascunho. A3=3: o slide 17 traz quatro próximos passos concretos, com prazo declarado ("piloto de 3 meses na Estação Central... comparando os dados projetados e os reais") e definição de KPIs e OKRs; a expansão está nomeada com razão (Centro Histórico, por alto lucro, baixa complexidade e proximidade geográfica) e a ordem completa está no slide 13. O case não declara meta numérica, então essa parte do descritor não é testável. A4=3: alternativa quantificada por dois caminhos, Estação-armários em 2º na matriz e a vantagem percentual dos parceiros por bairro, que dimensiona quanto se perderia ao trocar de modelo. A5=3: quatro riscos no slide 17, todos específicos da recomendação dela (dependência dos parceiros comerciais; horários de pico do transporte público superando a capacidade estipulada; manutenção maior por proximidade ao transporte público; e uma observação afiada e própria, baixa conversão porque a pressa é característica do público-alvo de conexões). Mitigação vem via os próximos passos (mapeamento da rede de parceiros, piloto com dados em tempo real) e o prazo de 3 meses está escrito. A6=1: o case não traz erro plantado. Ela não descontou transações pela utilização nas contas, que estão todas certas, mas não nomeou inconsistência nenhuma.</t>
        </is>
      </c>
      <c r="AB38" s="52" t="n">
        <v>1</v>
      </c>
      <c r="AC38" s="52" t="n">
        <v>1</v>
      </c>
      <c r="AD38" s="52" t="n">
        <v>0</v>
      </c>
      <c r="AE38" s="52" t="n">
        <v>3</v>
      </c>
      <c r="AF38" s="52" t="n">
        <v>2</v>
      </c>
      <c r="AG38" s="52" t="n">
        <v>3</v>
      </c>
      <c r="AH38" s="53" t="n"/>
      <c r="AI38" s="74"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COMPARAÇÃO COM O CLUBE: na base só do case, luis ficou em 8,85 e eu em 8,70, diferença de 0,15, dentro do limite de 1,0.</t>
        </is>
      </c>
    </row>
    <row r="39" ht="14.25" customHeight="1" s="65">
      <c r="A39" s="53" t="n"/>
      <c r="B39" s="54" t="inlineStr">
        <is>
          <t>a266739@dac.unicamp.br</t>
        </is>
      </c>
      <c r="C39" s="54" t="inlineStr">
        <is>
          <t>Aslan Rodrigues Maia</t>
        </is>
      </c>
      <c r="D39" s="3" t="inlineStr">
        <is>
          <t>Matteo</t>
        </is>
      </c>
      <c r="E39" s="32" t="n">
        <v>9.1</v>
      </c>
      <c r="F39" s="33" t="n">
        <v>30</v>
      </c>
      <c r="G39" s="33" t="n">
        <v>25</v>
      </c>
      <c r="H39" s="33" t="n">
        <v>19.67</v>
      </c>
      <c r="I39" s="33" t="n">
        <v>8</v>
      </c>
      <c r="J39" s="33" t="n">
        <v>8.33</v>
      </c>
      <c r="K39" s="52" t="n">
        <v>3</v>
      </c>
      <c r="L39" s="52" t="n">
        <v>3</v>
      </c>
      <c r="M39" s="52" t="n">
        <v>3</v>
      </c>
      <c r="N39" s="52" t="n">
        <v>3</v>
      </c>
      <c r="O39" s="73" t="inlineStr">
        <is>
          <t>C1=3: pag. 2, uma frase, "A BagHub deve lançar na Estação Central operando por pontos parceiros, com lucro operacional projetado de R$ 27,8 milhões no primeiro ano", com o número na própria frase. C2=3: dois documentos fechados, capa, rodapé numerado nas 12 páginas e anexo de bases de cálculo paginado 1/5 a 5/5; enviaria ao cliente sem editar. C3=3: lendo só os títulos a história fecha sozinha, recomendação, custo decide, parceiros custam menos, decisão passa a ser de bairro, giro explica a margem, Estação lidera, riscos, piloto. C4=3: padrão único de fonte, cor e tabela nos dois arquivos, nenhuma página com parágrafo corrido.</t>
        </is>
      </c>
      <c r="P39" s="52" t="n">
        <v>3</v>
      </c>
      <c r="Q39" s="52" t="n">
        <v>3</v>
      </c>
      <c r="R39" s="52" t="n">
        <v>3</v>
      </c>
      <c r="S39" s="52" t="n">
        <v>3</v>
      </c>
      <c r="T39" s="73"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o prêmio do parceiro (R$ 400 a R$ 1.400 por posição) é sempre menor que o banco rateado (R$ 1.750), o que generaliza a escolha do modelo para além dos oito casos e fortalece a recomendação. R4=3: pag. 6 explica a causa, a Estação precisa de 2,4x mais posições para 1,33x mais transações porque cada posição gira 10 vezes por semana contra 18 no Centro Histórico, e liga isso à ocasião de uso.</t>
        </is>
      </c>
      <c r="U39" s="52" t="n">
        <v>3</v>
      </c>
      <c r="V39" s="52" t="n">
        <v>3</v>
      </c>
      <c r="W39" s="52" t="n">
        <v>2</v>
      </c>
      <c r="X39" s="52" t="n">
        <v>3</v>
      </c>
      <c r="Y39" s="52" t="n">
        <v>2</v>
      </c>
      <c r="Z39" s="52" t="n"/>
      <c r="AA39" s="73" t="inlineStr">
        <is>
          <t>A1 e A2=3: refiz os oito cenários pelos Anexos C e E e todos conferem,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ponto mais fraco do 3, contestável por um 2º avaliador. A6=1: o case não traz erro plantado. Ele declarou a premissa P3 citando o Anexo C e não descontou transações, ou seja, passou pelo ponto certo sem nomear inconsistência nenhuma, mesma situação da pasta 01.</t>
        </is>
      </c>
      <c r="AB39" s="52" t="n">
        <v>1</v>
      </c>
      <c r="AC39" s="52" t="n">
        <v>1</v>
      </c>
      <c r="AD39" s="52" t="n">
        <v>0</v>
      </c>
      <c r="AE39" s="52" t="n">
        <v>3</v>
      </c>
      <c r="AF39" s="52" t="n">
        <v>2</v>
      </c>
      <c r="AG39" s="52" t="n">
        <v>3</v>
      </c>
      <c r="AH39" s="53" t="n"/>
      <c r="AI39" s="74"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COMPARAÇÃO COM O CLUBE: na base só do case, Ferro ficou em 7,33 e eu em 9,19, diferença de 1,86, acima do limite de 1,0, então cai na conversa de calibração.</t>
        </is>
      </c>
    </row>
    <row r="40" ht="14.25" customHeight="1" s="65">
      <c r="A40" s="53" t="n"/>
      <c r="B40" s="54" t="inlineStr">
        <is>
          <t>j278641@dac.unicamp.br</t>
        </is>
      </c>
      <c r="C40" s="54" t="inlineStr">
        <is>
          <t>João Gabriel de Oliveira Morcelli</t>
        </is>
      </c>
      <c r="D40" s="3" t="inlineStr">
        <is>
          <t>victor</t>
        </is>
      </c>
      <c r="E40" s="32">
        <f>IF(COUNT(K40:AG40)=0,"",ROUND((F40+G40+H40+I40+J40)/10,2))</f>
        <v/>
      </c>
      <c r="F40" s="33">
        <f>IF(COUNT(K40:AG40)=0,"",(K40*10+L40*8+M40*7+N40*5)/3)</f>
        <v/>
      </c>
      <c r="G40" s="33">
        <f>IF(COUNT(K40:AG40)=0,"",(P40*8+Q40*7+R40*5+S40*5)/3)</f>
        <v/>
      </c>
      <c r="H40" s="33">
        <f>IF(COUNT(K40:AG40)=0,"",(U40*6+V40*6+W40*4+X40*3+Y40*3+Z40*3)/3)</f>
        <v/>
      </c>
      <c r="I40" s="33">
        <f>IF(COUNT(K40:AG40)=0,"",AB40*3+AC40*2+AD40*2+AE40*1)</f>
        <v/>
      </c>
      <c r="J40" s="33">
        <f>IF(COUNT(K40:AG40)=0,"",(AF40*5+AG40*5)/3)</f>
        <v/>
      </c>
      <c r="K40" s="52" t="n">
        <v>3</v>
      </c>
      <c r="L40" s="52" t="n">
        <v>2</v>
      </c>
      <c r="M40" s="52" t="n">
        <v>3</v>
      </c>
      <c r="N40" s="52" t="n">
        <v>2</v>
      </c>
      <c r="O40" s="53" t="n"/>
      <c r="P40" s="52" t="n">
        <v>3</v>
      </c>
      <c r="Q40" s="52" t="n">
        <v>3</v>
      </c>
      <c r="R40" s="52" t="n">
        <v>2</v>
      </c>
      <c r="S40" s="52" t="n">
        <v>2</v>
      </c>
      <c r="T40" s="53" t="n"/>
      <c r="U40" s="52" t="n">
        <v>2</v>
      </c>
      <c r="V40" s="52" t="n">
        <v>2</v>
      </c>
      <c r="W40" s="52" t="n">
        <v>3</v>
      </c>
      <c r="X40" s="52" t="n">
        <v>2</v>
      </c>
      <c r="Y40" s="52" t="n">
        <v>2</v>
      </c>
      <c r="Z40" s="52" t="n"/>
      <c r="AA40" s="53" t="n"/>
      <c r="AB40" s="52" t="n">
        <v>1</v>
      </c>
      <c r="AC40" s="52" t="n">
        <v>1</v>
      </c>
      <c r="AD40" s="52" t="n">
        <v>0</v>
      </c>
      <c r="AE40" s="52" t="n">
        <v>3</v>
      </c>
      <c r="AF40" s="52" t="n">
        <v>2</v>
      </c>
      <c r="AG40" s="52" t="n">
        <v>2</v>
      </c>
      <c r="AH40" s="53" t="n"/>
      <c r="AI40" s="3" t="inlineStr">
        <is>
          <t xml:space="preserve">motivos bons mas não falou do clube, tinha roteiro claramente no vídeo </t>
        </is>
      </c>
    </row>
    <row r="41" ht="14.25" customHeight="1" s="65">
      <c r="A41" s="53" t="n"/>
      <c r="B41" s="54" t="inlineStr">
        <is>
          <t>r278709@dac.unicamp.br</t>
        </is>
      </c>
      <c r="C41" s="54" t="inlineStr">
        <is>
          <t>Raphael Negrini Saggioro</t>
        </is>
      </c>
      <c r="D41" s="3" t="inlineStr">
        <is>
          <t>victor</t>
        </is>
      </c>
      <c r="E41" s="32">
        <f>IF(COUNT(K41:AG41)=0,"",ROUND((F41+G41+H41+I41+J41)/10,2))</f>
        <v/>
      </c>
      <c r="F41" s="33">
        <f>IF(COUNT(K41:AG41)=0,"",(K41*10+L41*8+M41*7+N41*5)/3)</f>
        <v/>
      </c>
      <c r="G41" s="33">
        <f>IF(COUNT(K41:AG41)=0,"",(P41*8+Q41*7+R41*5+S41*5)/3)</f>
        <v/>
      </c>
      <c r="H41" s="33">
        <f>IF(COUNT(K41:AG41)=0,"",(U41*6+V41*6+W41*4+X41*3+Y41*3+Z41*3)/3)</f>
        <v/>
      </c>
      <c r="I41" s="33">
        <f>IF(COUNT(K41:AG41)=0,"",AB41*3+AC41*2+AD41*2+AE41*1)</f>
        <v/>
      </c>
      <c r="J41" s="33">
        <f>IF(COUNT(K41:AG41)=0,"",(AF41*5+AG41*5)/3)</f>
        <v/>
      </c>
      <c r="K41" s="52" t="n"/>
      <c r="L41" s="52" t="n"/>
      <c r="M41" s="52" t="n"/>
      <c r="N41" s="52" t="n"/>
      <c r="O41" s="53" t="n"/>
      <c r="P41" s="52" t="n"/>
      <c r="Q41" s="52" t="n"/>
      <c r="R41" s="52" t="n"/>
      <c r="S41" s="52" t="n"/>
      <c r="T41" s="53" t="n"/>
      <c r="U41" s="52" t="n"/>
      <c r="V41" s="52" t="n"/>
      <c r="W41" s="52" t="n"/>
      <c r="X41" s="52" t="n"/>
      <c r="Y41" s="52" t="n"/>
      <c r="Z41" s="52" t="n"/>
      <c r="AA41" s="53" t="n"/>
      <c r="AB41" s="52" t="n"/>
      <c r="AC41" s="52" t="n"/>
      <c r="AD41" s="52" t="n"/>
      <c r="AE41" s="52" t="n"/>
      <c r="AF41" s="52" t="n">
        <v>3</v>
      </c>
      <c r="AG41" s="52" t="n">
        <v>2</v>
      </c>
      <c r="AH41" s="53" t="n"/>
      <c r="AI41" s="3" t="inlineStr">
        <is>
          <t xml:space="preserve">N respondeu diretamente a segunda pergunta mas meio q falou pq era bom e falou de todos os projetos, leu sobre </t>
        </is>
      </c>
    </row>
    <row r="42" ht="14.25" customHeight="1" s="65">
      <c r="A42" s="53" t="n"/>
      <c r="B42" s="54" t="inlineStr">
        <is>
          <t>g278107@dac.unicamp.br</t>
        </is>
      </c>
      <c r="C42" s="54" t="inlineStr">
        <is>
          <t>Gustavo Daher Pereira</t>
        </is>
      </c>
      <c r="D42" s="3" t="inlineStr">
        <is>
          <t>victor</t>
        </is>
      </c>
      <c r="E42" s="32">
        <f>IF(COUNT(K42:AG42)=0,"",ROUND((F42+G42+H42+I42+J42)/10,2))</f>
        <v/>
      </c>
      <c r="F42" s="33">
        <f>IF(COUNT(K42:AG42)=0,"",(K42*10+L42*8+M42*7+N42*5)/3)</f>
        <v/>
      </c>
      <c r="G42" s="33">
        <f>IF(COUNT(K42:AG42)=0,"",(P42*8+Q42*7+R42*5+S42*5)/3)</f>
        <v/>
      </c>
      <c r="H42" s="33">
        <f>IF(COUNT(K42:AG42)=0,"",(U42*6+V42*6+W42*4+X42*3+Y42*3+Z42*3)/3)</f>
        <v/>
      </c>
      <c r="I42" s="33">
        <f>IF(COUNT(K42:AG42)=0,"",AB42*3+AC42*2+AD42*2+AE42*1)</f>
        <v/>
      </c>
      <c r="J42" s="33">
        <f>IF(COUNT(K42:AG42)=0,"",(AF42*5+AG42*5)/3)</f>
        <v/>
      </c>
      <c r="K42" s="52" t="n"/>
      <c r="L42" s="52" t="n"/>
      <c r="M42" s="52" t="n"/>
      <c r="N42" s="52" t="n"/>
      <c r="O42" s="53" t="n"/>
      <c r="P42" s="52" t="n"/>
      <c r="Q42" s="52" t="n"/>
      <c r="R42" s="52" t="n"/>
      <c r="S42" s="52" t="n"/>
      <c r="T42" s="53" t="n"/>
      <c r="U42" s="52" t="n"/>
      <c r="V42" s="52" t="n"/>
      <c r="W42" s="52" t="n"/>
      <c r="X42" s="52" t="n"/>
      <c r="Y42" s="52" t="n"/>
      <c r="Z42" s="52" t="n"/>
      <c r="AA42" s="53" t="n"/>
      <c r="AB42" s="52" t="n"/>
      <c r="AC42" s="52" t="n"/>
      <c r="AD42" s="52" t="n"/>
      <c r="AE42" s="52" t="n"/>
      <c r="AF42" s="52" t="n">
        <v>2</v>
      </c>
      <c r="AG42" s="52" t="n">
        <v>2</v>
      </c>
      <c r="AH42" s="53" t="n"/>
      <c r="AI42" s="3" t="inlineStr">
        <is>
          <t>Falou de palestras, achei prolixo e video demorado</t>
        </is>
      </c>
    </row>
    <row r="43" ht="14.25" customHeight="1" s="65">
      <c r="A43" s="53" t="n"/>
      <c r="B43" s="54" t="inlineStr">
        <is>
          <t>rickfilho2007@gmail.com</t>
        </is>
      </c>
      <c r="C43" s="54" t="inlineStr">
        <is>
          <t>Ricardo Augusto Schmitt Filho</t>
        </is>
      </c>
      <c r="D43" s="3" t="inlineStr">
        <is>
          <t>victor</t>
        </is>
      </c>
      <c r="E43" s="32">
        <f>IF(COUNT(K43:AG43)=0,"",ROUND((F43+G43+H43+I43+J43)/10,2))</f>
        <v/>
      </c>
      <c r="F43" s="33">
        <f>IF(COUNT(K43:AG43)=0,"",(K43*10+L43*8+M43*7+N43*5)/3)</f>
        <v/>
      </c>
      <c r="G43" s="33">
        <f>IF(COUNT(K43:AG43)=0,"",(P43*8+Q43*7+R43*5+S43*5)/3)</f>
        <v/>
      </c>
      <c r="H43" s="33">
        <f>IF(COUNT(K43:AG43)=0,"",(U43*6+V43*6+W43*4+X43*3+Y43*3+Z43*3)/3)</f>
        <v/>
      </c>
      <c r="I43" s="33">
        <f>IF(COUNT(K43:AG43)=0,"",AB43*3+AC43*2+AD43*2+AE43*1)</f>
        <v/>
      </c>
      <c r="J43" s="33">
        <f>IF(COUNT(K43:AG43)=0,"",(AF43*5+AG43*5)/3)</f>
        <v/>
      </c>
      <c r="K43" s="52" t="n">
        <v>3</v>
      </c>
      <c r="L43" s="52" t="n">
        <v>3</v>
      </c>
      <c r="M43" s="52" t="n">
        <v>3</v>
      </c>
      <c r="N43" s="52" t="n">
        <v>3</v>
      </c>
      <c r="O43" s="53" t="inlineStr">
        <is>
          <t>Esse cara fez na moral e fez muito bem</t>
        </is>
      </c>
      <c r="P43" s="52" t="n">
        <v>3</v>
      </c>
      <c r="Q43" s="52" t="n">
        <v>3</v>
      </c>
      <c r="R43" s="52" t="n">
        <v>2</v>
      </c>
      <c r="S43" s="52" t="n">
        <v>3</v>
      </c>
      <c r="T43" s="53" t="n"/>
      <c r="U43" s="52" t="n">
        <v>3</v>
      </c>
      <c r="V43" s="52" t="n">
        <v>3</v>
      </c>
      <c r="W43" s="52" t="n">
        <v>3</v>
      </c>
      <c r="X43" s="52" t="n">
        <v>3</v>
      </c>
      <c r="Y43" s="52" t="n">
        <v>3</v>
      </c>
      <c r="Z43" s="52" t="n"/>
      <c r="AA43" s="53" t="n"/>
      <c r="AB43" s="52" t="n">
        <v>1</v>
      </c>
      <c r="AC43" s="52" t="n">
        <v>1</v>
      </c>
      <c r="AD43" s="52" t="n">
        <v>1</v>
      </c>
      <c r="AE43" s="52" t="n">
        <v>3</v>
      </c>
      <c r="AF43" s="52" t="n">
        <v>2</v>
      </c>
      <c r="AG43" s="52" t="n">
        <v>2</v>
      </c>
      <c r="AH43" s="53" t="n"/>
      <c r="AI43" s="3" t="inlineStr">
        <is>
          <t>Fez u  desafio foda mas n falou nada do ccu</t>
        </is>
      </c>
    </row>
    <row r="44" ht="14.25" customHeight="1" s="65">
      <c r="A44" s="53" t="n"/>
      <c r="B44" s="54" t="inlineStr">
        <is>
          <t>m306365@dac.unicamp.br</t>
        </is>
      </c>
      <c r="C44" s="54" t="inlineStr">
        <is>
          <t>Matheus Dias Freitas</t>
        </is>
      </c>
      <c r="D44" s="3" t="inlineStr">
        <is>
          <t>victor</t>
        </is>
      </c>
      <c r="E44" s="32">
        <f>IF(COUNT(K44:AG44)=0,"",ROUND((F44+G44+H44+I44+J44)/10,2))</f>
        <v/>
      </c>
      <c r="F44" s="33">
        <f>IF(COUNT(K44:AG44)=0,"",(K44*10+L44*8+M44*7+N44*5)/3)</f>
        <v/>
      </c>
      <c r="G44" s="33">
        <f>IF(COUNT(K44:AG44)=0,"",(P44*8+Q44*7+R44*5+S44*5)/3)</f>
        <v/>
      </c>
      <c r="H44" s="33">
        <f>IF(COUNT(K44:AG44)=0,"",(U44*6+V44*6+W44*4+X44*3+Y44*3+Z44*3)/3)</f>
        <v/>
      </c>
      <c r="I44" s="33">
        <f>IF(COUNT(K44:AG44)=0,"",AB44*3+AC44*2+AD44*2+AE44*1)</f>
        <v/>
      </c>
      <c r="J44" s="33">
        <f>IF(COUNT(K44:AG44)=0,"",(AF44*5+AG44*5)/3)</f>
        <v/>
      </c>
      <c r="K44" s="52" t="n"/>
      <c r="L44" s="52" t="n"/>
      <c r="M44" s="52" t="n"/>
      <c r="N44" s="52" t="n"/>
      <c r="O44" s="53" t="n"/>
      <c r="P44" s="52" t="n"/>
      <c r="Q44" s="52" t="n"/>
      <c r="R44" s="52" t="n"/>
      <c r="S44" s="52" t="n"/>
      <c r="T44" s="53" t="n"/>
      <c r="U44" s="52" t="n"/>
      <c r="V44" s="52" t="n"/>
      <c r="W44" s="52" t="n"/>
      <c r="X44" s="52" t="n"/>
      <c r="Y44" s="52" t="n"/>
      <c r="Z44" s="52" t="n"/>
      <c r="AA44" s="53" t="n"/>
      <c r="AB44" s="52" t="n"/>
      <c r="AC44" s="52" t="n"/>
      <c r="AD44" s="52" t="n"/>
      <c r="AE44" s="52" t="n"/>
      <c r="AF44" s="52" t="n">
        <v>2</v>
      </c>
      <c r="AG44" s="52" t="n">
        <v>1</v>
      </c>
      <c r="AH44" s="53" t="n"/>
      <c r="AI44" s="3" t="inlineStr">
        <is>
          <t>fez o video de touca, falou tudo muito genérico</t>
        </is>
      </c>
    </row>
    <row r="45" ht="14.25" customHeight="1" s="65">
      <c r="A45" s="53" t="n"/>
      <c r="B45" s="54" t="inlineStr">
        <is>
          <t>k267983@dac.unicamp.br</t>
        </is>
      </c>
      <c r="C45" s="54" t="inlineStr">
        <is>
          <t>Klaus Augusto Santos da Silva</t>
        </is>
      </c>
      <c r="D45" s="3" t="inlineStr">
        <is>
          <t>victor</t>
        </is>
      </c>
      <c r="E45" s="32">
        <f>IF(COUNT(K45:AG45)=0,"",ROUND((F45+G45+H45+I45+J45)/10,2))</f>
        <v/>
      </c>
      <c r="F45" s="33">
        <f>IF(COUNT(K45:AG45)=0,"",(K45*10+L45*8+M45*7+N45*5)/3)</f>
        <v/>
      </c>
      <c r="G45" s="33">
        <f>IF(COUNT(K45:AG45)=0,"",(P45*8+Q45*7+R45*5+S45*5)/3)</f>
        <v/>
      </c>
      <c r="H45" s="33">
        <f>IF(COUNT(K45:AG45)=0,"",(U45*6+V45*6+W45*4+X45*3+Y45*3+Z45*3)/3)</f>
        <v/>
      </c>
      <c r="I45" s="33">
        <f>IF(COUNT(K45:AG45)=0,"",AB45*3+AC45*2+AD45*2+AE45*1)</f>
        <v/>
      </c>
      <c r="J45" s="33">
        <f>IF(COUNT(K45:AG45)=0,"",(AF45*5+AG45*5)/3)</f>
        <v/>
      </c>
      <c r="K45" s="52" t="n">
        <v>2</v>
      </c>
      <c r="L45" s="52" t="n">
        <v>1</v>
      </c>
      <c r="M45" s="52" t="n">
        <v>2</v>
      </c>
      <c r="N45" s="52" t="n">
        <v>1</v>
      </c>
      <c r="O45" s="53" t="n"/>
      <c r="P45" s="52" t="n">
        <v>2</v>
      </c>
      <c r="Q45" s="52" t="n">
        <v>1</v>
      </c>
      <c r="R45" s="52" t="n">
        <v>1</v>
      </c>
      <c r="S45" s="52" t="n">
        <v>1</v>
      </c>
      <c r="T45" s="53" t="n"/>
      <c r="U45" s="52" t="n">
        <v>1</v>
      </c>
      <c r="V45" s="52" t="n">
        <v>2</v>
      </c>
      <c r="W45" s="52" t="n">
        <v>2</v>
      </c>
      <c r="X45" s="52" t="n">
        <v>1</v>
      </c>
      <c r="Y45" s="52" t="n">
        <v>1</v>
      </c>
      <c r="Z45" s="52" t="n"/>
      <c r="AA45" s="53" t="n"/>
      <c r="AB45" s="52" t="n">
        <v>1</v>
      </c>
      <c r="AC45" s="52" t="n">
        <v>1</v>
      </c>
      <c r="AD45" s="52" t="n">
        <v>0</v>
      </c>
      <c r="AE45" s="52" t="n">
        <v>0</v>
      </c>
      <c r="AF45" s="52" t="n">
        <v>2</v>
      </c>
      <c r="AG45" s="52" t="n">
        <v>1</v>
      </c>
      <c r="AH45" s="53" t="n"/>
      <c r="AI45" s="3" t="inlineStr">
        <is>
          <t xml:space="preserve">Foi um dos unicos que falou q queria entrar pra ajudar o clube e falou q queria fazer amigo kkkkkkk, mas n achei q sabe muito de consultoria ou o q quer com o clube </t>
        </is>
      </c>
    </row>
    <row r="46" ht="14.25" customHeight="1" s="65">
      <c r="A46" s="53" t="n"/>
      <c r="B46" s="54" t="inlineStr">
        <is>
          <t>r302729@dac.unicamp.br</t>
        </is>
      </c>
      <c r="C46" s="54" t="inlineStr">
        <is>
          <t>Rafael Rodrigues Moreira</t>
        </is>
      </c>
      <c r="D46" s="3" t="inlineStr">
        <is>
          <t>Proc</t>
        </is>
      </c>
      <c r="E46" s="32">
        <f>IF(COUNT(K46:AG46)=0,"",ROUND((F46+G46+H46+I46+J46)/10,2))</f>
        <v/>
      </c>
      <c r="F46" s="33">
        <f>IF(COUNT(K46:AG46)=0,"",(K46*10+L46*8+M46*7+N46*5)/3)</f>
        <v/>
      </c>
      <c r="G46" s="33">
        <f>IF(COUNT(K46:AG46)=0,"",(P46*8+Q46*7+R46*5+S46*5)/3)</f>
        <v/>
      </c>
      <c r="H46" s="33">
        <f>IF(COUNT(K46:AG46)=0,"",(U46*6+V46*6+W46*4+X46*3+Y46*3+Z46*3)/3)</f>
        <v/>
      </c>
      <c r="I46" s="33">
        <f>IF(COUNT(K46:AG46)=0,"",AB46*3+AC46*2+AD46*2+AE46*1)</f>
        <v/>
      </c>
      <c r="J46" s="33">
        <f>IF(COUNT(K46:AG46)=0,"",(AF46*5+AG46*5)/3)</f>
        <v/>
      </c>
      <c r="K46" s="52" t="n"/>
      <c r="L46" s="52" t="n"/>
      <c r="M46" s="52" t="n"/>
      <c r="N46" s="52" t="n"/>
      <c r="O46" s="53" t="n"/>
      <c r="P46" s="52" t="n"/>
      <c r="Q46" s="52" t="n"/>
      <c r="R46" s="52" t="n"/>
      <c r="S46" s="52" t="n"/>
      <c r="T46" s="53" t="n"/>
      <c r="U46" s="52" t="n"/>
      <c r="V46" s="52" t="n"/>
      <c r="W46" s="52" t="n"/>
      <c r="X46" s="52" t="n"/>
      <c r="Y46" s="52" t="n"/>
      <c r="Z46" s="52" t="n"/>
      <c r="AA46" s="53" t="n"/>
      <c r="AB46" s="52" t="n"/>
      <c r="AC46" s="52" t="n"/>
      <c r="AD46" s="52" t="n"/>
      <c r="AE46" s="52" t="n"/>
      <c r="AF46" s="52" t="n">
        <v>0</v>
      </c>
      <c r="AG46" s="52" t="n">
        <v>1</v>
      </c>
      <c r="AH46" s="53" t="n"/>
      <c r="AI46" s="3" t="inlineStr">
        <is>
          <t>60% no GMAT; falou bem do nosso instagram, falou pouco sobre ele. 1min30 de vídeo.</t>
        </is>
      </c>
    </row>
    <row r="47" ht="14.25" customHeight="1" s="65">
      <c r="A47" s="53" t="n"/>
      <c r="B47" s="54" t="inlineStr">
        <is>
          <t>c258388@dac.unicamp.br</t>
        </is>
      </c>
      <c r="C47" s="54" t="inlineStr">
        <is>
          <t>Caio Augusto Saab</t>
        </is>
      </c>
      <c r="D47" s="3" t="inlineStr">
        <is>
          <t>victor</t>
        </is>
      </c>
      <c r="E47" s="32">
        <f>IF(COUNT(K47:AG47)=0,"",ROUND((F47+G47+H47+I47+J47)/10,2))</f>
        <v/>
      </c>
      <c r="F47" s="33">
        <f>IF(COUNT(K47:AG47)=0,"",(K47*10+L47*8+M47*7+N47*5)/3)</f>
        <v/>
      </c>
      <c r="G47" s="33">
        <f>IF(COUNT(K47:AG47)=0,"",(P47*8+Q47*7+R47*5+S47*5)/3)</f>
        <v/>
      </c>
      <c r="H47" s="33">
        <f>IF(COUNT(K47:AG47)=0,"",(U47*6+V47*6+W47*4+X47*3+Y47*3+Z47*3)/3)</f>
        <v/>
      </c>
      <c r="I47" s="33">
        <f>IF(COUNT(K47:AG47)=0,"",AB47*3+AC47*2+AD47*2+AE47*1)</f>
        <v/>
      </c>
      <c r="J47" s="33">
        <f>IF(COUNT(K47:AG47)=0,"",(AF47*5+AG47*5)/3)</f>
        <v/>
      </c>
      <c r="K47" s="52" t="n">
        <v>1</v>
      </c>
      <c r="L47" s="52" t="n">
        <v>1</v>
      </c>
      <c r="M47" s="52" t="n">
        <v>1</v>
      </c>
      <c r="N47" s="52" t="n">
        <v>0</v>
      </c>
      <c r="O47" s="53" t="inlineStr">
        <is>
          <t>só um documento com nenhuma análise aprofundada</t>
        </is>
      </c>
      <c r="P47" s="52" t="n">
        <v>2</v>
      </c>
      <c r="Q47" s="52" t="n">
        <v>0</v>
      </c>
      <c r="R47" s="52" t="n">
        <v>1</v>
      </c>
      <c r="S47" s="52" t="n">
        <v>0</v>
      </c>
      <c r="T47" s="53" t="n"/>
      <c r="U47" s="52" t="n">
        <v>3</v>
      </c>
      <c r="V47" s="52" t="n">
        <v>3</v>
      </c>
      <c r="W47" s="52" t="n">
        <v>1</v>
      </c>
      <c r="X47" s="52" t="n">
        <v>0</v>
      </c>
      <c r="Y47" s="52" t="n">
        <v>0</v>
      </c>
      <c r="Z47" s="52" t="n"/>
      <c r="AA47" s="53" t="n"/>
      <c r="AB47" s="52" t="n">
        <v>0</v>
      </c>
      <c r="AC47" s="52" t="n">
        <v>0</v>
      </c>
      <c r="AD47" s="52" t="n">
        <v>0</v>
      </c>
      <c r="AE47" s="52" t="n">
        <v>0</v>
      </c>
      <c r="AF47" s="52" t="n">
        <v>2</v>
      </c>
      <c r="AG47" s="52" t="n">
        <v>1</v>
      </c>
      <c r="AH47" s="53" t="n"/>
      <c r="AI47" s="3" t="inlineStr">
        <is>
          <t xml:space="preserve">muito generico </t>
        </is>
      </c>
    </row>
    <row r="48" ht="14.25" customHeight="1" s="65">
      <c r="A48" s="53" t="n"/>
      <c r="B48" s="54" t="inlineStr">
        <is>
          <t>j260826@dac.unicamp.br</t>
        </is>
      </c>
      <c r="C48" s="54" t="inlineStr">
        <is>
          <t>José Vitor Dias Tutu</t>
        </is>
      </c>
      <c r="D48" s="3" t="inlineStr">
        <is>
          <t>Proc</t>
        </is>
      </c>
      <c r="E48" s="32">
        <f>IF(COUNT(K48:AG48)=0,"",ROUND((F48+G48+H48+I48+J48)/10,2))</f>
        <v/>
      </c>
      <c r="F48" s="33">
        <f>IF(COUNT(K48:AG48)=0,"",(K48*10+L48*8+M48*7+N48*5)/3)</f>
        <v/>
      </c>
      <c r="G48" s="33">
        <f>IF(COUNT(K48:AG48)=0,"",(P48*8+Q48*7+R48*5+S48*5)/3)</f>
        <v/>
      </c>
      <c r="H48" s="33">
        <f>IF(COUNT(K48:AG48)=0,"",(U48*6+V48*6+W48*4+X48*3+Y48*3+Z48*3)/3)</f>
        <v/>
      </c>
      <c r="I48" s="33">
        <f>IF(COUNT(K48:AG48)=0,"",AB48*3+AC48*2+AD48*2+AE48*1)</f>
        <v/>
      </c>
      <c r="J48" s="33">
        <f>IF(COUNT(K48:AG48)=0,"",(AF48*5+AG48*5)/3)</f>
        <v/>
      </c>
      <c r="K48" s="52" t="n">
        <v>1</v>
      </c>
      <c r="L48" s="52" t="n">
        <v>1</v>
      </c>
      <c r="M48" s="52" t="n">
        <v>1</v>
      </c>
      <c r="N48" s="52" t="n">
        <v>1</v>
      </c>
      <c r="O48" s="53" t="inlineStr">
        <is>
          <t>Como ja dito pelo outro, ja está reprovado, ruim.</t>
        </is>
      </c>
      <c r="P48" s="52" t="n">
        <v>1</v>
      </c>
      <c r="Q48" s="52" t="n">
        <v>1</v>
      </c>
      <c r="R48" s="52" t="n">
        <v>1</v>
      </c>
      <c r="S48" s="52" t="n">
        <v>1</v>
      </c>
      <c r="T48" s="53" t="n"/>
      <c r="U48" s="52" t="n">
        <v>1</v>
      </c>
      <c r="V48" s="52" t="n">
        <v>1</v>
      </c>
      <c r="W48" s="52" t="n">
        <v>1</v>
      </c>
      <c r="X48" s="52" t="n">
        <v>1</v>
      </c>
      <c r="Y48" s="52" t="n">
        <v>1</v>
      </c>
      <c r="Z48" s="52" t="n"/>
      <c r="AA48" s="53" t="n"/>
      <c r="AB48" s="52" t="n">
        <v>0</v>
      </c>
      <c r="AC48" s="52" t="n">
        <v>0</v>
      </c>
      <c r="AD48" s="52" t="n">
        <v>0</v>
      </c>
      <c r="AE48" s="52" t="n">
        <v>0</v>
      </c>
      <c r="AF48" s="52" t="n">
        <v>2</v>
      </c>
      <c r="AG48" s="52" t="n">
        <v>1</v>
      </c>
      <c r="AH48" s="53" t="n"/>
      <c r="AI48" s="3" t="inlineStr">
        <is>
          <t>Tentou traduzir a página e foi mal no GMAT. Vídeo ruim. Motivos ruins.</t>
        </is>
      </c>
    </row>
    <row r="49" ht="14.25" customHeight="1" s="65">
      <c r="A49" s="53" t="n"/>
      <c r="B49" s="54" t="inlineStr">
        <is>
          <t xml:space="preserve">i253464@dac.unicamp.br
</t>
        </is>
      </c>
      <c r="C49" s="54" t="inlineStr">
        <is>
          <t>Isadora Kluge Dorigan</t>
        </is>
      </c>
      <c r="D49" s="3" t="inlineStr">
        <is>
          <t>Fred</t>
        </is>
      </c>
      <c r="E49" s="32">
        <f>IF(COUNT(K49:AG49)=0,"",ROUND((F49+G49+H49+I49+J49)/10,2))</f>
        <v/>
      </c>
      <c r="F49" s="33">
        <f>IF(COUNT(K49:AG49)=0,"",(K49*10+L49*8+M49*7+N49*5)/3)</f>
        <v/>
      </c>
      <c r="G49" s="33">
        <f>IF(COUNT(K49:AG49)=0,"",(P49*8+Q49*7+R49*5+S49*5)/3)</f>
        <v/>
      </c>
      <c r="H49" s="33">
        <f>IF(COUNT(K49:AG49)=0,"",(U49*6+V49*6+W49*4+X49*3+Y49*3+Z49*3)/3)</f>
        <v/>
      </c>
      <c r="I49" s="33">
        <f>IF(COUNT(K49:AG49)=0,"",AB49*3+AC49*2+AD49*2+AE49*1)</f>
        <v/>
      </c>
      <c r="J49" s="33">
        <f>IF(COUNT(K49:AG49)=0,"",(AF49*5+AG49*5)/3)</f>
        <v/>
      </c>
      <c r="K49" s="52" t="n">
        <v>1</v>
      </c>
      <c r="L49" s="52" t="n">
        <v>3</v>
      </c>
      <c r="M49" s="52" t="n">
        <v>3</v>
      </c>
      <c r="N49" s="52" t="n">
        <v>3</v>
      </c>
      <c r="O49" s="53" t="n"/>
      <c r="P49" s="52" t="n">
        <v>3</v>
      </c>
      <c r="Q49" s="52" t="n">
        <v>3</v>
      </c>
      <c r="R49" s="52" t="n">
        <v>2</v>
      </c>
      <c r="S49" s="52" t="n">
        <v>2</v>
      </c>
      <c r="T49" s="53" t="n"/>
      <c r="U49" s="52" t="n">
        <v>3</v>
      </c>
      <c r="V49" s="52" t="n">
        <v>3</v>
      </c>
      <c r="W49" s="52" t="n">
        <v>2</v>
      </c>
      <c r="X49" s="52" t="n">
        <v>2</v>
      </c>
      <c r="Y49" s="52" t="n">
        <v>3</v>
      </c>
      <c r="Z49" s="52" t="n"/>
      <c r="AA49" s="53" t="n"/>
      <c r="AB49" s="52" t="n">
        <v>0</v>
      </c>
      <c r="AC49" s="52" t="n">
        <v>1</v>
      </c>
      <c r="AD49" s="52" t="n">
        <v>1</v>
      </c>
      <c r="AE49" s="52" t="n">
        <v>3</v>
      </c>
      <c r="AF49" s="52" t="n">
        <v>3</v>
      </c>
      <c r="AG49" s="52" t="n">
        <v>3</v>
      </c>
      <c r="AH49" s="53" t="n"/>
      <c r="AI49" s="3" t="inlineStr">
        <is>
          <t>Mandou bem no vídeo e vai ser a próxima ana bia + verena</t>
        </is>
      </c>
    </row>
    <row r="50" ht="14.25" customHeight="1" s="65">
      <c r="A50" s="53" t="n"/>
      <c r="B50" s="75" t="inlineStr">
        <is>
          <t>TERCEIRO AVALIADOR</t>
        </is>
      </c>
      <c r="C50" s="76" t="inlineStr">
        <is>
          <t>TERCEIRO AVALIADOR</t>
        </is>
      </c>
      <c r="D50" s="53" t="n"/>
      <c r="E50" s="32" t="n"/>
      <c r="F50" s="33" t="n"/>
      <c r="G50" s="33" t="n"/>
      <c r="H50" s="33" t="n"/>
      <c r="I50" s="33" t="n"/>
      <c r="J50" s="33" t="n"/>
      <c r="K50" s="52" t="n"/>
      <c r="L50" s="52" t="n"/>
      <c r="M50" s="52" t="n"/>
      <c r="N50" s="52" t="n"/>
      <c r="O50" s="73" t="n"/>
      <c r="P50" s="52" t="n"/>
      <c r="Q50" s="52" t="n"/>
      <c r="R50" s="52" t="n"/>
      <c r="S50" s="52" t="n"/>
      <c r="T50" s="73" t="n"/>
      <c r="U50" s="52" t="n"/>
      <c r="V50" s="52" t="n"/>
      <c r="W50" s="52" t="n"/>
      <c r="X50" s="52" t="n"/>
      <c r="Y50" s="52" t="n"/>
      <c r="Z50" s="52" t="n"/>
      <c r="AA50" s="73" t="n"/>
      <c r="AB50" s="52" t="n"/>
      <c r="AC50" s="52" t="n"/>
      <c r="AD50" s="52" t="n"/>
      <c r="AE50" s="52" t="n"/>
      <c r="AF50" s="52" t="n"/>
      <c r="AG50" s="52" t="n"/>
      <c r="AH50" s="73" t="n"/>
      <c r="AI50" s="73" t="n"/>
    </row>
    <row r="51" ht="14.25" customHeight="1" s="65">
      <c r="A51" s="53" t="n"/>
      <c r="B51" s="77" t="inlineStr">
        <is>
          <t>g278083@dac.unicamp.br</t>
        </is>
      </c>
      <c r="C51" s="3" t="inlineStr">
        <is>
          <t>Gabrielle Cristofani do Rosario</t>
        </is>
      </c>
      <c r="D51" s="3" t="inlineStr">
        <is>
          <t>Matteo</t>
        </is>
      </c>
      <c r="E51" s="32" t="n">
        <v>7.45</v>
      </c>
      <c r="F51" s="33" t="n">
        <v>20</v>
      </c>
      <c r="G51" s="33" t="n">
        <v>19.33</v>
      </c>
      <c r="H51" s="33" t="n">
        <v>18.67</v>
      </c>
      <c r="I51" s="33" t="n">
        <v>9</v>
      </c>
      <c r="J51" s="33" t="n">
        <v>7.5</v>
      </c>
      <c r="K51" s="52" t="n">
        <v>2</v>
      </c>
      <c r="L51" s="52" t="n">
        <v>2</v>
      </c>
      <c r="M51" s="52" t="n">
        <v>2</v>
      </c>
      <c r="N51" s="52" t="n">
        <v>2</v>
      </c>
      <c r="O51" s="74" t="inlineStr">
        <is>
          <t>C1=2: a recomendação é explícita e clara, "Lançar em Estação Central, modelo Pontos parceiros", com R$ 27,8M, mas aparece no slide 8 de 10, depois da metade; os slides 2 e 3 são contexto e metodologia, sem antecipar a resposta. C2=2: deck fechado, com capa, numeração nos 10 slides e slide de encerramento, mas três pontas soltas,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contexto, metodologia, comparação, demanda, rentabilidade, resultado, recomendação, riscos, sem obrigar o leitor a voltar. C4=3: template consistente, numeração em todos os slides, cards e gráficos no mesmo padrão.</t>
        </is>
      </c>
      <c r="P51" s="52" t="n">
        <v>3</v>
      </c>
      <c r="Q51" s="52" t="n">
        <v>2</v>
      </c>
      <c r="R51" s="52" t="n">
        <v>2</v>
      </c>
      <c r="S51" s="52" t="n">
        <v>2</v>
      </c>
      <c r="T51" s="73" t="inlineStr">
        <is>
          <t>R1=3: slide 8 amarra R$ 27,8M às razões de negócio (maior demanda absoluta com 24 mil tx/semana, complexidade apenas moderada mesmo com o maior volume) e trata a tensão de frente,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o banco de 40 posições equivale a R$ 1.750 por posição e isso supera a economia de operação dos armários,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1" s="52" t="n">
        <v>3</v>
      </c>
      <c r="V51" s="52" t="n">
        <v>3</v>
      </c>
      <c r="W51" s="52" t="n">
        <v>2</v>
      </c>
      <c r="X51" s="52" t="n">
        <v>2</v>
      </c>
      <c r="Y51" s="52" t="n">
        <v>2</v>
      </c>
      <c r="Z51" s="52" t="n"/>
      <c r="AA51" s="73" t="inlineStr">
        <is>
          <t>A1=3: os resultados conferem,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t>
        </is>
      </c>
      <c r="AB51" s="52" t="n">
        <v>1</v>
      </c>
      <c r="AC51" s="52" t="n">
        <v>1</v>
      </c>
      <c r="AD51" s="52" t="n">
        <v>1</v>
      </c>
      <c r="AE51" s="52" t="n">
        <v>2</v>
      </c>
      <c r="AF51" s="52" t="n">
        <v>2.5</v>
      </c>
      <c r="AG51" s="52" t="n">
        <v>2</v>
      </c>
      <c r="AH51" s="53" t="n"/>
      <c r="AI51" s="74"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VÍDEO DA ENTREGA: confirmado na pasta do Drive, arquivo "nyh-utiu-sti (2026-09-16 10-48 GMT-3).mov". Por isso E3 vale 1. O arquivo não estava na pasta numerada do repositório.
COMPARAÇÃO COM O CLUBE: na base só do case, victor e Fred ficou em 6,81 e eu em 7,44, diferença de 0,63, dentro do limite de 1,0.</t>
        </is>
      </c>
    </row>
    <row r="52" ht="14.25" customHeight="1" s="65">
      <c r="A52" s="53" t="n"/>
      <c r="B52" s="78" t="inlineStr">
        <is>
          <t>b309603@dac.unicamp.br</t>
        </is>
      </c>
      <c r="C52" s="3" t="inlineStr">
        <is>
          <t>Bruno Heberth Oliveira Bastos</t>
        </is>
      </c>
      <c r="D52" s="3" t="inlineStr">
        <is>
          <t>Matteo</t>
        </is>
      </c>
      <c r="E52" s="32" t="n">
        <v>6.83</v>
      </c>
      <c r="F52" s="33" t="n">
        <v>21</v>
      </c>
      <c r="G52" s="33" t="n">
        <v>15</v>
      </c>
      <c r="H52" s="33" t="n">
        <v>17.67</v>
      </c>
      <c r="I52" s="33" t="n">
        <v>8</v>
      </c>
      <c r="J52" s="33" t="n">
        <v>6.67</v>
      </c>
      <c r="K52" s="52" t="n">
        <v>3</v>
      </c>
      <c r="L52" s="52" t="n">
        <v>2</v>
      </c>
      <c r="M52" s="52" t="n">
        <v>1</v>
      </c>
      <c r="N52" s="52" t="n">
        <v>2</v>
      </c>
      <c r="O52" s="74" t="inlineStr">
        <is>
          <t>C1=3: pag. 1, em destaque,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2" s="52" t="n">
        <v>2</v>
      </c>
      <c r="Q52" s="52" t="n">
        <v>2</v>
      </c>
      <c r="R52" s="52" t="n">
        <v>1</v>
      </c>
      <c r="S52" s="52" t="n">
        <v>2</v>
      </c>
      <c r="T52" s="73" t="inlineStr">
        <is>
          <t>R1=3: pag. 7 dá três motivos amarrados, R$ 27,84M, escala de 24 mil transações/semana e a âncora do terminal,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2" s="52" t="n">
        <v>3</v>
      </c>
      <c r="V52" s="52" t="n">
        <v>3</v>
      </c>
      <c r="W52" s="52" t="n">
        <v>2</v>
      </c>
      <c r="X52" s="52" t="n">
        <v>2</v>
      </c>
      <c r="Y52" s="52" t="n">
        <v>1</v>
      </c>
      <c r="Z52" s="52" t="n"/>
      <c r="AA52" s="73" t="inlineStr">
        <is>
          <t>A1 e A2=3: os oito cenários conferem com o meu recálculo. A memória de cálculo é a melhor do conjunto,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mas não há prazo em lugar nenhum, nem duração do piloto. Fica entre os descritores: supera o 2 na mitigação e não alcança o 3 por falta de prazo; registro para o 2º avaliador contestar. A6=1: o case não traz erro plantado. Ele nomeia e justifica o único ponto ambíguo, pag. 2 e aba Notas, "a utilização não deve ser aplicada como desconto", citando o material, mas o que nomeou é a instrução do próprio case, não uma inconsistência. Mesma situação de todas as pastas.</t>
        </is>
      </c>
      <c r="AB52" s="52" t="n">
        <v>1</v>
      </c>
      <c r="AC52" s="52" t="n">
        <v>1</v>
      </c>
      <c r="AD52" s="52" t="n">
        <v>0</v>
      </c>
      <c r="AE52" s="52" t="n">
        <v>3</v>
      </c>
      <c r="AF52" s="52" t="n">
        <v>3</v>
      </c>
      <c r="AG52" s="52" t="n">
        <v>1</v>
      </c>
      <c r="AH52" s="53" t="n"/>
      <c r="AI52" s="74"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COMPARAÇÃO COM O CLUBE: na base só do case, victor e Fred ficou em 5,59 e eu em 6,85, diferença de 1,26, acima do limite de 1,0, então cai na conversa de calibração.</t>
        </is>
      </c>
    </row>
    <row r="53" ht="14.25" customHeight="1" s="65">
      <c r="A53" s="53" t="n"/>
      <c r="B53" s="77" t="inlineStr">
        <is>
          <t>enzo.gag17@gmail.com</t>
        </is>
      </c>
      <c r="C53" s="3" t="inlineStr">
        <is>
          <t>Enzo Chofakian Gagliardi</t>
        </is>
      </c>
      <c r="D53" s="3" t="inlineStr">
        <is>
          <t>Matteo</t>
        </is>
      </c>
      <c r="E53" s="32" t="n">
        <v>9.17</v>
      </c>
      <c r="F53" s="33" t="n">
        <v>30</v>
      </c>
      <c r="G53" s="33" t="n">
        <v>25</v>
      </c>
      <c r="H53" s="33" t="n">
        <v>22</v>
      </c>
      <c r="I53" s="33" t="n">
        <v>8</v>
      </c>
      <c r="J53" s="33" t="n">
        <v>6.67</v>
      </c>
      <c r="K53" s="52" t="n">
        <v>3</v>
      </c>
      <c r="L53" s="52" t="n">
        <v>3</v>
      </c>
      <c r="M53" s="52" t="n">
        <v>3</v>
      </c>
      <c r="N53" s="52" t="n">
        <v>3</v>
      </c>
      <c r="O53" s="74" t="inlineStr">
        <is>
          <t>C1=3: slide 2, uma linha, "Lançar na Estação Central com pontos parceiros | R$ 27,84 mi de resultado operacional anual", com o número no próprio título. C2=3: deck fechado com capa, rodapé numerado nos 10 slides, apêndice com o demonstrativo completo dos oito cenários e slide de encerramento; a planilha vem com legenda de cores documentando o modelo (azul = dado editável, verde = vínculo entre abas, preto = fórmula local). Enviaria ao cliente sem editar. C3=3: são action titles de verdade, frases completas que carregam a mensagem, "Pontos parceiros rendem mais nos quatro bairros: a economia com bancos supera o maior custo de operação", "A recomendação tem folga: a Estação suporta grande queda de demanda antes de perder atratividade". Lendo só os títulos a história fecha inteira. C4=3: template único, rodapé e numeração em todos os slides, tabelas no mesmo padrão.</t>
        </is>
      </c>
      <c r="P53" s="52" t="n">
        <v>3</v>
      </c>
      <c r="Q53" s="52" t="n">
        <v>3</v>
      </c>
      <c r="R53" s="52" t="n">
        <v>3</v>
      </c>
      <c r="S53" s="52" t="n">
        <v>3</v>
      </c>
      <c r="T53" s="73" t="inlineStr">
        <is>
          <t>R1=3: slide 2 amarra R$ 27,84 mi à razão de negócio e à prioridade declarada do case, "é o resultado que melhor sustenta a expansão, sendo prioridade declarada, apoiado em demanda diária recorrente de transporte, não dependente de eventos". Tapando o número, a tese de recorrência e financiamento da expansão fica; tapando o argumento, o 27,84 continua sendo o máximo. R2=3: o slide 6 ranqueia os quatro com a coluna "Por que nesta posição" e traz uma caixa dedicada à comparação Estação x Centro que nomeia o trade-off com números (+R$ 3,34 mi absolutos contra margem de 90,7% x 77,3% e resultado por posição de R$ 24,5 mil x R$ 11,6 mil) e conclui explicitamente por que o Centro é o passo seguinte e não o primeiro. R3=3: o slide 7 traz robustez em dois níveis e o segundo é a pergunta certa, não só os ~77% de queda de demanda até o resultado zerar, mas os ~9,3% de queda que já fariam a Estação perder a liderança para o Centro. Recalculei: receita teria de cair para R$ 32,66 mi, o que dá 9,28%, e confere. Medir a fragilidade do ranking, e não só a distância da falência, é análise que ninguém pediu e que sustenta diretamente a recomendação. R4=3: slide 5 explica a causa de os parceiros ganharem (o banco rateado a ~R$ 1.750 por posição supera a economia de operação), slide 4 explica que a média semanal esconde os picos que ditam a capacidade, e a aba Bairros registra que "utilização baixa não indica capacidade dispensável: as posições foram dimensionadas para os picos".</t>
        </is>
      </c>
      <c r="U53" s="52" t="n">
        <v>3</v>
      </c>
      <c r="V53" s="52" t="n">
        <v>3</v>
      </c>
      <c r="W53" s="52" t="n">
        <v>3</v>
      </c>
      <c r="X53" s="52" t="n">
        <v>3</v>
      </c>
      <c r="Y53" s="52" t="n">
        <v>3</v>
      </c>
      <c r="Z53" s="52" t="n"/>
      <c r="AA53" s="73" t="inlineStr">
        <is>
          <t>A1=3: os oito resultados conferem. Memória de cálculo completa e rastreável, receita em dois passos, custos decompostos em ESM, operação e bancos, tudo puxando da aba Premissas, mais o apêndice do slide 10 com o demonstrativo por componente. A2=3: bancos por ROUNDUP dando 60/25/23/45, Arena correta com 23, operação por complexidade via VLOOKUP. É o tratamento mais preciso do arredondamento no conjunto: ele modela "posições físicas disponíveis" (920 na Arena) e "posições adicionais por arredondamento" (20), documenta na aba Premissas que os custos por posição usam as posições necessárias mesmo com sobra física, e ainda valida por IF se a capacidade física atende à necessária, retornando OK ou REVER. A3=3: o slide 2 traz a sequência de expansão com os quatro resultados, o slide 8 os próximos passos, e a aba Bairros um próximo passo específico por bairro; todos os números batem com o modelo dele. O case não declara meta numérica, então essa parte do descritor não é testável. A4=3: propõe os armários 24h como alternativa em Noite Alta caso falte cobertura noturna de parceiros, e quantifica por que é justamente ali que a alternativa importa, a vantagem dos parceiros naquele bairro é de só R$ 630 mil, a menor dos quatro. A5=3: quatro riscos no slide 8, todos específicos do modelo de parceiros no bairro escolhido (horários compatíveis com as conexões, filas e simultaneidade nos picos, disponibilidade de comércios junto às âncoras, identificação e suporte noturno), cada um com próximo passo que o endereça, e um deles com prazo declarado, "testar a retirada nos horários críticos antes da abertura ao público". A6=1: o case não traz erro plantado. Ele foi o único a preencher a aba Premissas com 11 regras de interpretação e a antecipar por escrito as duas armadilhas, "não aplicar utilização" e "todos os custos informados são anuais, o custo dos bancos não é tratado como CAPEX", resolvendo as duas corretamente. Nomeou as ambiguidades, mas inconsistência plantada não existe neste case.</t>
        </is>
      </c>
      <c r="AB53" s="52" t="n">
        <v>1</v>
      </c>
      <c r="AC53" s="52" t="n">
        <v>1</v>
      </c>
      <c r="AD53" s="52" t="n">
        <v>0</v>
      </c>
      <c r="AE53" s="52" t="n">
        <v>3</v>
      </c>
      <c r="AF53" s="52" t="n">
        <v>2</v>
      </c>
      <c r="AG53" s="52" t="n">
        <v>2</v>
      </c>
      <c r="AH53" s="53" t="n"/>
      <c r="AI53" s="74" t="inlineStr">
        <is>
          <t>Maior nota do conjunto. O que decide é disciplina de modelagem somada à pergunta certa de robustez.
Os oito cenários fecham e a planilha tem autoconferência: um bloco de Conferências com três checagens que têm de dar zero, mais um validador que responde OK ou REVER se a capacidade física não cobrir a necessária. É o único que modela a sobra do arredondamento, porque 23 bancos na Arena dão 920 posições físicas para 900 necessárias, e ele registra as 20 de sobra sem deixar isso contaminar o custo. E é o único que antecipou por escrito a armadilha em que a pasta 05 caiu: a aba de premissas diz, em letras claras, que todos os custos são anuais e que o banco não é CAPEX.
O melhor da entrega está no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Tenho um contraponto que levaria à entrevista. Os 9,3% de folga não são obviamente "risco baixo" como ele afirma no slide. É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pergunto: por que a queda admissível até zerar, 77,3%, é exatamente igual à sua margem operacional? Quem entendeu que todo custo do case é fixo responde na hora. Quem só preencheu a planilha trava.
Indício de IA: Baixo (consultivo, não afeta nota). A disciplina do modelo é o indício. Bloco de Conferências com três identidades que devem zerar e um validador condicional de capacidade. A aba de premissas documenta convenção de cores e deixa nota de manutenção para quem usar o modelo depois, escrita para um leitor futuro e não para um avaliador. Ele marca sistematicamente o que não pode saber: distâncias não informadas, hipótese a validar, médias diárias como normalização. Esse hábito é o oposto de texto gerado.
COMPARAÇÃO COM O CLUBE: na base só do case, victor e Ferro ficou em 6,19 e eu em 9,44, diferença de 3,25, acima do limite de 1,0, então cai na conversa de calibração.</t>
        </is>
      </c>
    </row>
    <row r="54" ht="14.25" customHeight="1" s="65">
      <c r="A54" s="53" t="n"/>
      <c r="B54" s="77" t="inlineStr">
        <is>
          <t>e221509@dac.unicamp.br</t>
        </is>
      </c>
      <c r="C54" s="3" t="inlineStr">
        <is>
          <t>Eduardo Alves Henrique</t>
        </is>
      </c>
      <c r="D54" s="3" t="inlineStr">
        <is>
          <t>Matteo</t>
        </is>
      </c>
      <c r="E54" s="32" t="n">
        <v>6.55</v>
      </c>
      <c r="F54" s="33" t="n">
        <v>20</v>
      </c>
      <c r="G54" s="33" t="n">
        <v>16.67</v>
      </c>
      <c r="H54" s="33" t="n">
        <v>17.67</v>
      </c>
      <c r="I54" s="33" t="n">
        <v>7</v>
      </c>
      <c r="J54" s="33" t="n">
        <v>4.17</v>
      </c>
      <c r="K54" s="52" t="n">
        <v>2</v>
      </c>
      <c r="L54" s="52" t="n">
        <v>2</v>
      </c>
      <c r="M54" s="52" t="n">
        <v>2</v>
      </c>
      <c r="N54" s="52" t="n">
        <v>2</v>
      </c>
      <c r="O54" s="74" t="inlineStr">
        <is>
          <t>C1=2: o slide 2 é só "DECISÃO, Centro Histórico, Ponto Parceiro" com a justificativa "mitigação de risco e eficiência do capital investido",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4" s="52" t="n">
        <v>2</v>
      </c>
      <c r="Q54" s="52" t="n">
        <v>2</v>
      </c>
      <c r="R54" s="52" t="n">
        <v>2</v>
      </c>
      <c r="S54" s="52" t="n">
        <v>2</v>
      </c>
      <c r="T54" s="73" t="inlineStr">
        <is>
          <t>R1=2: cita as duas partes mas o número é decorativo, e nesse caso ele até joga contra,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não diz por que a utilização do Centro Histórico é maior nem por que a razão posições/transações varia entre bairros.</t>
        </is>
      </c>
      <c r="U54" s="52" t="n">
        <v>3</v>
      </c>
      <c r="V54" s="52" t="n">
        <v>3</v>
      </c>
      <c r="W54" s="52" t="n">
        <v>2</v>
      </c>
      <c r="X54" s="52" t="n">
        <v>2</v>
      </c>
      <c r="Y54" s="52" t="n">
        <v>1</v>
      </c>
      <c r="Z54" s="52" t="n"/>
      <c r="AA54" s="73"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[(Manutenção×40)+(Operação×40)+70.000]×Bancos,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é o engajamento mais crítico com os dados que vi no conjunto, mas ficou fora do entregável.</t>
        </is>
      </c>
      <c r="AB54" s="52" t="n">
        <v>1</v>
      </c>
      <c r="AC54" s="52" t="n">
        <v>1</v>
      </c>
      <c r="AD54" s="52" t="n">
        <v>0</v>
      </c>
      <c r="AE54" s="52" t="n">
        <v>2</v>
      </c>
      <c r="AF54" s="52" t="n">
        <v>2</v>
      </c>
      <c r="AG54" s="52" t="n">
        <v>0.5</v>
      </c>
      <c r="AH54" s="53" t="n"/>
      <c r="AI54" s="74"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COMPARAÇÃO COM O CLUBE: na base só do case, victor e Proc ficou em 5,87 e eu em 6,81, diferença de 0,94, dentro do limite de 1,0.</t>
        </is>
      </c>
    </row>
    <row r="55" ht="14.25" customHeight="1" s="65">
      <c r="A55" s="53" t="n"/>
      <c r="B55" s="78" t="inlineStr">
        <is>
          <t>l304532@dac.unicamp.br</t>
        </is>
      </c>
      <c r="C55" s="3" t="inlineStr">
        <is>
          <t>Leandra Cunha de Souza</t>
        </is>
      </c>
      <c r="D55" s="3" t="inlineStr">
        <is>
          <t>Matteo</t>
        </is>
      </c>
      <c r="E55" s="32" t="n">
        <v>5.53</v>
      </c>
      <c r="F55" s="33" t="n">
        <v>16</v>
      </c>
      <c r="G55" s="33" t="n">
        <v>15</v>
      </c>
      <c r="H55" s="33" t="n">
        <v>13.67</v>
      </c>
      <c r="I55" s="33" t="n">
        <v>4</v>
      </c>
      <c r="J55" s="33" t="n">
        <v>6.67</v>
      </c>
      <c r="K55" s="52" t="n">
        <v>2</v>
      </c>
      <c r="L55" s="52" t="n">
        <v>2</v>
      </c>
      <c r="M55" s="52" t="n">
        <v>1</v>
      </c>
      <c r="N55" s="52" t="n">
        <v>1</v>
      </c>
      <c r="O55" s="74" t="inlineStr">
        <is>
          <t>C1=2: a recomendação é explícita, clara e com números quando chega, mas está no slide 11 de 13; a capa não a antecipa e os dez slides anteriores são análise. C2=2: deck estruturado e completo, com capa, tabelas de rentabilidade por bairro e slide de contato, mas com pontas soltas em volume, "Bag Huby" na capa, "Armários inteligententes" repetido nas quatro tabelas, "Central Histórico" e "calcúlos" no slide 5, a utilização de Noite Alta e Arena trocada no slide 3 (31% e 33%, quando é 33% e 31%) contradizendo o slide 12, "110 embarques diários" no slide 4 quando são 110 mil, e o texto de template "BACK TO AGENDA" esquecido no slide 4. C3=1: teste operacional, os títulos são rótulos e a recomendação não aparece em nenhum deles; além disso os slides 2 e 4 têm o título idêntico ("Comparação qualitativa dos Bairros") com o slide 3 no meio, o que obriga o leitor a voltar para entender o que mudou. C4=1: contagem de slides fora do padrão passa de dois, o slide 4 carrega texto de template, o slide 10 quebra os números no meio da célula ("R$23.150.00 0") e o slide 11 é um paredão de texto em duas colunas muito mais denso que o resto. As tabelas de rentabilidade (6 a 9) são limpas e uniformes, o que torna este 1 contestável.</t>
        </is>
      </c>
      <c r="P55" s="52" t="n">
        <v>2</v>
      </c>
      <c r="Q55" s="52" t="n">
        <v>2</v>
      </c>
      <c r="R55" s="52" t="n">
        <v>1</v>
      </c>
      <c r="S55" s="52" t="n">
        <v>2</v>
      </c>
      <c r="T55" s="73" t="inlineStr">
        <is>
          <t>R1=3: cita o número que sustenta a escolha dela (margem de 90,7%) e a razão de negócio (baixa complexidade, menor capacidade ociosa, demanda consistente), e as duas partes se apoiam. Mais importante, ela enfrenta o contra-argumento por escrito no slide 11: "embora o bairro Estação Central tenha o maior resultado operacional nos dois modelos, a baixa complexidade da região torna essa opção preferível". Não esconde que está escolhendo o segundo maior resultado. R2=3: o slide 10 ranqueia os quatro com os dois modelos lado a lado, o slide 11 separa a justificativa do bairro da justificativa do modelo, e o slide 12 justifica individualmente as posições 2, 3 e 4 com critério (margem, volatilidade, utilização, custo de operação). Descarta a Estação Central por escrito e com razão declarada. R3=1: entregou o pedido de forma essencialmente completa e correta, mas sem nada de fato além dele. O 2x2 de demanda estável x volátil do slide 2 é a única construção própria e fica subdesenvolvida, sem posicionamento visível dos bairros nos quadrantes. Não há sensibilidade, break-even, giro por posição nem economia por posição, e os próximos passos praticamente não existem, só um gesto no slide 12 sobre investir em Noite Alta "quando a operação já estiver madura". R4=2: compara a utilização entre os bairros e tira conclusão (a Arena fica ociosa a maior parte da semana por depender do calendário de eventos; Noite Alta é a mais custosa pelo custo de operação por posição mais alto). Mas a interpretação central, 54% de utilização como prova de "demanda consistente", não é justificada causalmente e o próprio case adverte que a capacidade foi dimensionada para picos, então a utilização reflete tempo de permanência e concentração, não regularidade.</t>
        </is>
      </c>
      <c r="U55" s="52" t="n">
        <v>2</v>
      </c>
      <c r="V55" s="52" t="n">
        <v>2</v>
      </c>
      <c r="W55" s="52" t="n">
        <v>2</v>
      </c>
      <c r="X55" s="52" t="n">
        <v>2</v>
      </c>
      <c r="Y55" s="52" t="n">
        <v>1</v>
      </c>
      <c r="Z55" s="52" t="n"/>
      <c r="AA55" s="73" t="inlineStr">
        <is>
          <t>A1=3: os oito resultados conferem integralmente, com as margens todas corretas (69,7%/77,3%, 85,7%/90,7%, 61,9%/64,0%, 77,1%/83,0%). A memória de cálculo é boa e visível: o slide 5 traz as fórmulas e os slides 6 a 9 decompõem, bairro por bairro e modelo por modelo, equipamento, bancos, operação, custo total, resultado e margem. A2=3: os custos de banco estão todos corretos, R$ 4.200.000, R$ 1.750.000, R$ 1.610.000 e R$ 3.150.000, e o valor da Arena só fecha com 23 bancos, então o arredondamento de 22,5 foi feito, ainda que ela não mostre a contagem de bancos explicitamente. Custo por complexidade correto nos oito cenários. A3=2: o slide 12 traz uma lógica de sequenciamento com número e papel para cada posição ("após priorizar o bairro mais eficiente, o segundo lançamento deve maximizar volume em resultado operacional para garantir a capacidade de expansão"), mas não há fasemento, cronograma nem ponte entre períodos. O case não declara meta numérica, então a outra metade do descritor não é testável. A4=3: a Estação Central entra como segundo lançamento com impacto quantificado em R$ 27.840.000 e papel definido, alternativa que só existe neste case. A5=2: os dois riscos do slide 11 são específicos da recomendação dela e do modelo que escolheu (dependência de terceiros, com qualidade e disponibilidade fora do controle direto da BagHub; padronização da experiência, porque parceiros têm horário variável contra o padrão 24h dos armários). Nenhum dos dois tem mitigação, e não há prazo nem próximos passos. Riscos específicos sem mitigação é exatamente o descritor de 2. A6=1: o case não traz erro plantado; a fórmula de receita do slide 5 está correta e ela não descontou transações pela utilização, mas não nomeia inconsistência nenhuma.</t>
        </is>
      </c>
      <c r="AB55" s="52" t="n">
        <v>0</v>
      </c>
      <c r="AC55" s="52" t="n">
        <v>1</v>
      </c>
      <c r="AD55" s="52" t="n">
        <v>0</v>
      </c>
      <c r="AE55" s="52" t="n">
        <v>2</v>
      </c>
      <c r="AF55" s="52" t="n">
        <v>2</v>
      </c>
      <c r="AG55" s="52" t="n">
        <v>2</v>
      </c>
      <c r="AH55" s="53" t="n"/>
      <c r="AI55" s="74"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COMPARAÇÃO COM O CLUBE: na base só do case, victor e Proc ficou em 4,78 e eu em 5,41, diferença de 0,63, dentro do limite de 1,0.</t>
        </is>
      </c>
    </row>
    <row r="56" ht="14.25" customHeight="1" s="65">
      <c r="A56" s="53" t="n"/>
      <c r="B56" s="77" t="inlineStr">
        <is>
          <t>v188630@dac.unicamp.br</t>
        </is>
      </c>
      <c r="C56" s="3" t="inlineStr">
        <is>
          <t>Vagner Ássimos Gomes Carlos Filho</t>
        </is>
      </c>
      <c r="D56" s="3" t="inlineStr">
        <is>
          <t>Matteo</t>
        </is>
      </c>
      <c r="E56" s="32" t="n">
        <v>6.62</v>
      </c>
      <c r="F56" s="33" t="n">
        <v>20</v>
      </c>
      <c r="G56" s="33" t="n">
        <v>19</v>
      </c>
      <c r="H56" s="33" t="n">
        <v>14.67</v>
      </c>
      <c r="I56" s="33" t="n">
        <v>5</v>
      </c>
      <c r="J56" s="33" t="n">
        <v>7.5</v>
      </c>
      <c r="K56" s="52" t="n">
        <v>2</v>
      </c>
      <c r="L56" s="52" t="n">
        <v>2</v>
      </c>
      <c r="M56" s="52" t="n">
        <v>2</v>
      </c>
      <c r="N56" s="52" t="n">
        <v>2</v>
      </c>
      <c r="O56" s="74" t="inlineStr">
        <is>
          <t>C1=2: a recomendação é explícita, clara e completa ("Estação Central é a prioridade de lançamento, operando em modelo de Pontos parceiros", com R$ 27.840.000), mas está no slide 9 de 13, passada a metade; a agenda do slide 2 anuncia que haverá recomendação sem adiantar qual. C2=3: documento fechado com exatamente os três elementos do descritor, capa, estrutura e apêndice. O slide 13 é um anexo de memória de cálculo e premissas, listando período, fórmula de receita, tratamento da capacidade, composição dos custos com arredondamento para cima, definição de resultado operacional e a regra de não somar sinergias. Rodapé com nome de seção e numeração nos 13 slides. Nada inacabado. C3=3: a recomendação aparece no título (slide 9) e a conclusão de modelo também ("Modelo de Pontos parceiros supera o de Armários inteligentes em todos os bairros", slide 8). Lendo só os títulos o arco fecha inteiro e na ordem: contexto, comparação, demanda e capacidade, rentabilidade, conclusão, recomendação, priorização, riscos, próximos passos, anexo. C4=2: template uniforme com rodapé e numeração em todos os slides, mas três slides são parágrafo corrido, o 4 (quatro bairros com quatro campos de prosa cada), o 8 (cinco parágrafos) e o 12 (quatro colunas densas), o que passa do "até 2 slides fora do padrão" do descritor de 2.</t>
        </is>
      </c>
      <c r="P56" s="52" t="n">
        <v>2</v>
      </c>
      <c r="Q56" s="52" t="n">
        <v>3</v>
      </c>
      <c r="R56" s="52" t="n">
        <v>2</v>
      </c>
      <c r="S56" s="52" t="n">
        <v>2</v>
      </c>
      <c r="T56" s="73" t="inlineStr">
        <is>
          <t>R1=3: o slide 9 organiza a recomendação em três pilares que se apoiam, Financeiro (melhor resultado operacional, R$ 27.840.000), Demanda (maior volume da cidade com 24.000/semana, fluxo previsível atrelado a embarque e desembarque, e o argumento de que viajantes com bagagens são o público-alvo ideal) e Operacional (complexidade moderada e ausência do custo dos bancos). Tapando o número, o argumento de aderência do público continua; tapando o argumento, R$ 27,84M é o máximo dos oito. R2=3: o slide 8 compara os dois modelos com a causa (o custo do banco supera a vantagem operacional dos armários) e, o que é raro, declara o contraponto da própria escolha, as consequências na experiência do cliente, reserva local, serviço não padronizado por ser executado por funcionários do parceiro, e mais burocracia no suporte. O slide 4 compara os quatro bairros em quatro dimensões e descarta por escrito: Arena pela dependência de eventos, Noite Alta porque o público não carrega bagagem, Centro Histórico pela concorrência com hotéis. O slide 10 prioriza os três restantes com resultado e razão. R3=3: a adição é o critério "Fit com o serviço" do slide 4, que não foi pedido e que questiona a plausibilidade da própria demanda projetada pelo case. Os dois melhores achados: "grande parcela dos frequentadores de bares e casas de show não costuma carregar malas e bagagens", o que põe em dúvida as 20 mil transações de Noite Alta apesar de ser o 2º maior volume; e "turistas que estão acomodados em algum hotel do bairro tendem a não necessitar do guarda-volumes" no Centro Histórico. Isso fortalece a recomendação por uma dimensão que os números não capturam, a Estação Central é o único bairro em que o público carrega bagagem por definição. Soma-se o argumento de modelo único para simplificar a gestão da expansão. R4=3: explica causa e consequência em dois níveis. No slide 5 lê a utilização de 54% do Centro Histórico como fluxo mais constante ao longo do dia, leitura defensável (mais giro por posição implica menos pico). E no slide 4 explica a causa por trás de a demanda converter ou não, o comportamento de carregar bagagem, e o que fazer com ela, priorizando a Estação e rebaixando Noite Alta.</t>
        </is>
      </c>
      <c r="U56" s="52" t="n">
        <v>2</v>
      </c>
      <c r="V56" s="52" t="n">
        <v>2</v>
      </c>
      <c r="W56" s="52" t="n">
        <v>2</v>
      </c>
      <c r="X56" s="52" t="n">
        <v>2</v>
      </c>
      <c r="Y56" s="52" t="n">
        <v>2</v>
      </c>
      <c r="Z56" s="52" t="n"/>
      <c r="AA56" s="73" t="inlineStr">
        <is>
          <t>A1=3: os oito resultados conferem integralmente, apresentados em duas tabelas decompostas por componente (Custo 1 equipamento, Custo 2 bancos, Custo 3 operação). Memória de cálculo visível em três lugares: as fórmulas sob cada tabela nos slides 6 e 7, as observações com os custos unitários por complexidade, e o anexo do slide 13. A2=3: bancos corretos, incluindo a Arena com R$ 1.610.000, que só fecha com 23 bancos. Ressalva de documentação: a fórmula escrita no slide 6 diz "posições necessárias ÷ 40 x R$ 70.000" sem mencionar o teto, mas o anexo do slide 13 declara "arredondar para cima no modelo de armários" e o valor comprova que foi feito. Custo por complexidade correto nos oito cenários e documentado. A3=3: o slide 9 traz a ordem completa de expansão, o slide 10 detalha os três restantes com resultado e razão, e o slide 12 traz próximos passos concretos; todos os números batem com as tabelas dele. O case não declara meta numérica, então essa parte do descritor não é testável. A4=3: Centro Histórico proposto como segundo lançamento com impacto quantificado (R$ 24.500.000) e razão declarada (fluxo turístico estável, complexidade baixa). Soma-se a proposta criativa do slide 12 de capturar a vantagem dos armários dentro do modelo de parceiros, via plataforma digital de reserva. A5=2: os dois riscos do slide 11 são específicos da recomendação dele e as mitigações são as mais concretas e acionáveis de todo o conjunto, treinamento para padronizar atendimento, reserva e atendimento 24h online com check-in presencial, staff da BagHub dentro do comércio parceiro nos horários de pico, e plataforma que indica quais parceiros estão com vaga ou lotados e qual o mais próximo. Pareadas uma a uma com os riscos. O que impede o 3 é a ausência de prazo em qualquer lugar, e apenas dois riscos mapeados. Registro que um 2º avaliador pode defender 3 pela qualidade da mitigação. A6=1: o case não traz erro plantado. Ele nomeia e resolve corretamente o único ponto ambíguo, o slide 5 define "utilização = horas ocupadas ÷ total de horas disponíveis na semana" e o anexo declara que "utilização não reduz a demanda", mas o que nomeou é a instrução do case, não uma inconsistência.</t>
        </is>
      </c>
      <c r="AB56" s="52" t="n">
        <v>0</v>
      </c>
      <c r="AC56" s="52" t="n">
        <v>1</v>
      </c>
      <c r="AD56" s="52" t="n">
        <v>0</v>
      </c>
      <c r="AE56" s="52" t="n">
        <v>3</v>
      </c>
      <c r="AF56" s="52" t="n">
        <v>2.5</v>
      </c>
      <c r="AG56" s="52" t="n">
        <v>2</v>
      </c>
      <c r="AH56" s="53" t="n"/>
      <c r="AI56" s="74"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COMPARAÇÃO COM O CLUBE: na base só do case, victor e Proc ficou em 5,91 e eu em 6,52, diferença de 0,61, dentro do limite de 1,0.</t>
        </is>
      </c>
    </row>
    <row r="57" ht="14.25" customHeight="1" s="65">
      <c r="A57" s="53" t="n"/>
      <c r="B57" s="77" t="inlineStr">
        <is>
          <t>j278641@dac.unicamp.br</t>
        </is>
      </c>
      <c r="C57" s="3" t="inlineStr">
        <is>
          <t>João Gabriel de Oliveira Morcelli</t>
        </is>
      </c>
      <c r="D57" s="3" t="inlineStr">
        <is>
          <t>Matteo</t>
        </is>
      </c>
      <c r="E57" s="32" t="n">
        <v>8.68</v>
      </c>
      <c r="F57" s="33" t="n">
        <v>30</v>
      </c>
      <c r="G57" s="33" t="n">
        <v>21.67</v>
      </c>
      <c r="H57" s="33" t="n">
        <v>19.67</v>
      </c>
      <c r="I57" s="33" t="n">
        <v>8</v>
      </c>
      <c r="J57" s="33" t="n">
        <v>7.5</v>
      </c>
      <c r="K57" s="52" t="n">
        <v>3</v>
      </c>
      <c r="L57" s="52" t="n">
        <v>3</v>
      </c>
      <c r="M57" s="52" t="n">
        <v>3</v>
      </c>
      <c r="N57" s="52" t="n">
        <v>3</v>
      </c>
      <c r="O57" s="74" t="inlineStr">
        <is>
          <t>C1=3: a recomendação está na própria capa ("Centro Histórico com parceiros maximiza a rentabilidade do lançamento") e o slide 2 a repete com os números que a sustentam, score 4,66, margem 90,7%, R$ 24,5 mi. C2=3: deck fechado com capa, rodapé e numeração nos 10 slides, seções nomeadas, mais planilha que documenta o método do score. C3=3: são action titles de verdade e o arco fecha lendo só os títulos, incluindo o contra-argumento, "Centro lidera a margem no Ano 1, apesar de abrir mão de R$ 3,34 mi em resultado", "Estação Central + armários se destaca após o primeiro ano". C4=3: template único, numeração e gráficos no mesmo padrão nos 10 slides.</t>
        </is>
      </c>
      <c r="P57" s="52" t="n">
        <v>3</v>
      </c>
      <c r="Q57" s="52" t="n">
        <v>3</v>
      </c>
      <c r="R57" s="52" t="n">
        <v>2</v>
      </c>
      <c r="S57" s="52" t="n">
        <v>2</v>
      </c>
      <c r="T57" s="73" t="inlineStr">
        <is>
          <t>R1=3: o slide 2 amarra número e razão de negócio, score 4,66, margem 90,7%, 54% de utilização e complexidade baixa, com a tese de que "a operação gera caixa e aprendizado antes de uma expansão mais intensiva em capital". Ele declara abertamente o sacrifício no slide 4 e justifica no slide 6 por que margem pesa 35% e resultado 25%. Registro a leitura contestável: ele interpreta a "prioridade de rentabilidade anual" do case como margem, quando o complemento da frase ("que deverá sustentar a expansão") aponta para caixa absoluto, é leitura defensável em português e está declarada, mas um 2º avaliador pode cobrar. R2=3: é a comparação mais sistemática do conjunto, o score confronta as oito alternativas com pesos e método publicados, o slide 6 compara os dois modelos dentro do Centro em quatro indicadores, e o slide 8 mostra como o ranking muda no Ano 2. Descarta por escrito e com critério. R3=2: trouxe muita coisa não pedida e diretamente ligada à decisão, score multicritério normalizado (conferi a interpolação: Arena parceiros dá 1,31 na escala 1 a 5 e fecha), evolução Ano 2 a 5, e a constatação de que o ranking se inverte. Isso chega a mudar a estrutura da recomendação, que vira bifásica. O que impede o 3 é a premissa, igual à pasta 05: todo o Ano 2 em diante remove o custo do banco, tratando os R$ 70.000 como investimento inicial, quando o Anexo E diz que "os valores abaixo são anuais". A reinterpretação não é declarada em nenhum slide nem na planilha. R4=3: slide 9 dá causa e consequência ("o investimento inicial nos bancos não se repete a partir do segundo ano" e a Estação é a mais beneficiada porque exige 60 bancos), e o slide 10 traz uma leitura qualitativa própria e boa, na Estação parte da demanda é imediata, e o autosserviço 24h atende sem depender do horário de um parceiro.</t>
        </is>
      </c>
      <c r="U57" s="52" t="n">
        <v>3</v>
      </c>
      <c r="V57" s="52" t="n">
        <v>3</v>
      </c>
      <c r="W57" s="52" t="n">
        <v>2</v>
      </c>
      <c r="X57" s="52" t="n">
        <v>3</v>
      </c>
      <c r="Y57" s="52" t="n">
        <v>2</v>
      </c>
      <c r="Z57" s="52" t="n"/>
      <c r="AA57" s="73" t="inlineStr">
        <is>
          <t>A1=3: os oito resultados de Ano 1 conferem integralmente (25,08/23,15/13,87/18,57 e 27,84/24,50/14,94/19,20). Memória de cálculo completa na planilha, com fórmulas vivas decompondo equipamento, bancos e operação. A2=3: bancos 60/25/23/45 corretos. Detalhe relevante: na Arena ele fixou 23 à mão em vez de usar a fórmula B/C que daria 22,5, ou seja, percebeu o arredondamento e corrigiu deliberadamente, enquanto os outros três bairros seguem por fórmula. A3=2: a ponte entre anos é estruturalmente a melhor do conjunto, com projeção acumulada de 5 anos e o ano de cruzamento calculado por bairro (1,92 ano na Estação, 3,38 no Centro, 1,98 na Arena, 0,25 em Noite Alta), e tudo bate com o modelo dele. Mas a ponte inteira depende de remover um custo que o case declara anual, então a projeção não é a grandeza do case, e os números de manchete (R$ 29,28 mi recorrentes, R$ 142,20 mi em cinco anos) não sobrevivem à premissa correta. O case não declara meta numérica, então a outra metade do descritor não é testável. A4=3: propõe os armários na Estação a partir do Ano 2 com impacto quantificado (R$ 29,28 mi recorrentes, +0,85 de score) e é alternativa que só existe neste case. A5=3: quatro riscos no slide 7, todos específicos do modelo de parceiros (horário limitado, experiência inconsistente, segurança dos itens, demanda de 18 mil ainda não validada), cada um com mitigação concreta (horário amplo e complementar, treinar/auditar/SLA, rastrear entrega e retirada, piloto ampliado por evidência), mais riscos próprios da Estação no slide 10; o roadmap de quatro estágios ancorado em Ano 1 e Ano 2 dá a dimensão temporal. A6=1: o case não traz erro plantado e ele não descontou transações pela utilização. Registro em separado, porque não cabe neste item: é a única pasta cuja metade da análise foi construída sobre a leitura equivocada de um dado explícito do material.</t>
        </is>
      </c>
      <c r="AB57" s="52" t="n">
        <v>1</v>
      </c>
      <c r="AC57" s="52" t="n">
        <v>1</v>
      </c>
      <c r="AD57" s="52" t="n">
        <v>0</v>
      </c>
      <c r="AE57" s="52" t="n">
        <v>3</v>
      </c>
      <c r="AF57" s="52" t="n">
        <v>2.5</v>
      </c>
      <c r="AG57" s="52" t="n">
        <v>2</v>
      </c>
      <c r="AH57" s="53" t="n"/>
      <c r="AI57" s="74" t="inlineStr">
        <is>
          <t>Entrega de alto nível com um erro de leitura que atravessa metade dela. As duas coisas precisam ser ditas juntas.
O que está muito bom: o score multicritério é o método mais transparente do conjunto, com pesos publicados, normalização coerente e as oito alternativas comparadas na mesma régua. Conferi a interpolação do resultado operacional e fecha. Os action titles são exemplares, inclusive o do slide 4, que assume o contra-argumento em vez de esconder.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milhões recorrente, o R$ 142,20 milhões de cinco anos e o roadmap bifásico inteiro. Que é justamente a parte mais original da entrega. A pasta 05 cometeu o mesmo erro, mas confinado a um slide e anotado à mão como decisão consciente. Aqui ele é a espinha dorsal e não está declarado em lugar nenhum.
Segundo ponto, menor. Ele lê a prioridade de rentabilidade anual como margem, quando o resto da frase no case, que fala em sustentar a expansão, aponta para caixa absoluto. É leitura defensável e está declarada, mas é o que o faz escolher a segunda melhor opção.
Na entrevista eu faço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Indício de IA: Baixo (consultivo, não afeta nota). O mais claro é a Arena com 23 bancos digitados à mão enquanto os outros três usam fórmula. É alguém que rodou o modelo, viu 22,5 aparecer e corrigiu pontualmente. A planilha tem marcas de trabalho manual, com células escritas como "IDEM" e "Noite alta" em minúscula contra "Noite Alta" no deck. E o erro central, tratar custo anual como investimento, é falha de interpretação de quem leu rápido, não artefato de geração.
COMPARAÇÃO COM O CLUBE: na base só do case, Ferro e victor ficou em 8,39 e eu em 8,81, diferença de 0,42, dentro do limite de 1,0.</t>
        </is>
      </c>
    </row>
    <row r="58" ht="14.25" customHeight="1" s="65">
      <c r="A58" s="53" t="n"/>
      <c r="B58" s="77" t="inlineStr">
        <is>
          <t>r278709@dac.unicamp.br</t>
        </is>
      </c>
      <c r="C58" s="3" t="inlineStr">
        <is>
          <t>Raphael Negrini Saggioro</t>
        </is>
      </c>
      <c r="D58" s="3" t="inlineStr">
        <is>
          <t>Matteo</t>
        </is>
      </c>
      <c r="E58" s="32" t="n">
        <v>3.67</v>
      </c>
      <c r="F58" s="33" t="n">
        <v>7.33</v>
      </c>
      <c r="G58" s="33" t="n">
        <v>4</v>
      </c>
      <c r="H58" s="33" t="n">
        <v>14</v>
      </c>
      <c r="I58" s="33" t="n">
        <v>3</v>
      </c>
      <c r="J58" s="33" t="n">
        <v>8.33</v>
      </c>
      <c r="K58" s="52" t="n">
        <v>1</v>
      </c>
      <c r="L58" s="52" t="n">
        <v>0</v>
      </c>
      <c r="M58" s="52" t="n">
        <v>1</v>
      </c>
      <c r="N58" s="52" t="n">
        <v>1</v>
      </c>
      <c r="O58" s="74" t="inlineStr">
        <is>
          <t>C1=1: não há recomendação escrita em lugar nenhum. Dá para inferir, porque os quatro bairros estão calculados e os parceiros vencem em todos, com a Estação Central no topo, mas o leitor tem de montar a comparação sozinho a partir de quatro páginas independentes, porque não existe tabela comparativa nem síntese. C2=0: o entregável são oito páginas manuscritas digitalizadas no CamScanner, e um dos dois arquivos se chama literalmente "rascunho". Sem capa, sem estrutura, sem síntese. O descritor de 0 é literal ("foto de papel... arquivo sem estrutura nenhuma") e o teste operacional é claro: não se manda isso a um cliente. Registro em favor dele que a digitalização é limpa e a caligrafia é organizada, com títulos sublinhados e resultados destacados. C3=1: os blocos existem e seguem a ordem do case, mas são paralelos e independentes, um não puxa o outro e nenhum chega a conclusão. C4=1: formatação improvisada mas legível; o CamScanner deu bom contraste, bem melhor que fotografia direta, e os resultados estão sublinhados.</t>
        </is>
      </c>
      <c r="P58" s="52" t="n">
        <v>0</v>
      </c>
      <c r="Q58" s="52" t="n">
        <v>1</v>
      </c>
      <c r="R58" s="52" t="n">
        <v>0</v>
      </c>
      <c r="S58" s="52" t="n">
        <v>1</v>
      </c>
      <c r="T58" s="73" t="inlineStr">
        <is>
          <t>R1=0: não há recomendação, que é o descritor de 0. R2=1: aplicando o teste operacional, ele não descartou nada por escrito e não escolheu nada. Registro em favor dele, para o 2º avaliador, que o rascunho traz uma comparação qualitativa real dos dois modelos, com listas de + e −: armários somam operação 24h e a facilidade de o cliente se servir "sem necessidade de falar com outra pessoa", e subtraem manutenção e restituição maiores; parceiros somam menor custo de manutenção e subtraem horário variável, dependência de outros comércios e o fato de "poder ser mais demorado e difícil do cliente achar/conhecer o BagHub". É comparação de modelo, não de bairro, e sem escolha. R3=0: o descritor de 0 inclui "o pedido ficou incompleto", e ficou de forma ampla, a tarefa 01 (critérios de atratividade), a comparação entre bairros e toda a tarefa 04 (recomendação, riscos, próximos passos) não foram entregues. Só a tarefa 03 está completa. R4=1: lê os indicadores corretamente e rotula bem (marca com seta qual número é o faturamento), e tira consequência qualitativa dos dois modelos, inclusive a observação própria sobre descoberta do serviço pelo cliente nos pontos parceiros. Mas não interpreta nenhum indicador quantitativo: a utilização é transcrita nos quatro bairros (42%, 54%, 31%, 33%) e nunca é comparada, explicada ou usada para nada.</t>
        </is>
      </c>
      <c r="U58" s="52" t="n">
        <v>3</v>
      </c>
      <c r="V58" s="52" t="n">
        <v>3</v>
      </c>
      <c r="W58" s="52" t="n">
        <v>0</v>
      </c>
      <c r="X58" s="52" t="n">
        <v>1</v>
      </c>
      <c r="Y58" s="52" t="n">
        <v>1</v>
      </c>
      <c r="Z58" s="52" t="n"/>
      <c r="AA58" s="73" t="inlineStr">
        <is>
          <t>A1=3: os oito resultados conferem integralmente, todos desenvolvidos à mão. Estação Central: 1.200.000 transações x 30 = 36M, armários 3,36 + 4,2 + 3,36 = 10,92M e lucro 25,08M, parceiros 3,36 + 4,8 = 8,16M e lucro 27,84M. Arena: 18M, armários 4,13M e lucro 13,87M, parceiros 3,06M e lucro 14,94M. Noite Alta: 30M, armários 11,43M e lucro 18,57M, parceiros 10,8M e lucro 19,2M. A memória de cálculo não é só visível, ela É o entregável. A2=3: o arredondamento da Arena está explícito, anotado e autocorrigido, na página da Arena ele escreveu 900/40 x 70.000, riscou o primeiro resultado e anotou acima, com seta, "arredondando para 23", fechando em R$ 1,61M. Bancos de 60 na Estação e 45 em Noite Alta também explícitos e corretos. Custo por complexidade correto nos oito cenários. A3=0: não fez, não há projeção, plano, fasemento nem próximos passos. A4=1: os dois modelos estão caracterizados com prós e contras específicos do case, mas nenhuma alternativa é proposta como curso de ação e nenhum impacto é quantificado. A5=1: as listas de "−" do rascunho funcionam como riscos e são específicas dos modelos (horário variável, dependência de terceiros, dificuldade de o cliente achar o serviço, manutenção maior nos armários), mas estão desacopladas de qualquer recomendação, sem mitigação, sem prazo e sem próximos passos, que o enunciado pede na tarefa 04. A6=1: o case não traz erro plantado. Ele transcreveu a utilização e não a aplicou como desconto, a receita está correta nos quatro bairros, mas não nomeou inconsistência nenhuma.</t>
        </is>
      </c>
      <c r="AB58" s="52" t="n">
        <v>1</v>
      </c>
      <c r="AC58" s="52" t="n">
        <v>0</v>
      </c>
      <c r="AD58" s="52" t="n">
        <v>0</v>
      </c>
      <c r="AE58" s="52" t="n">
        <v>0</v>
      </c>
      <c r="AF58" s="52" t="n">
        <v>2.5</v>
      </c>
      <c r="AG58" s="52" t="n">
        <v>2.5</v>
      </c>
      <c r="AH58" s="53" t="n"/>
      <c r="AI58" s="74" t="inlineStr">
        <is>
          <t>O cálculo está perfeito e é praticamente tudo o que existe.
Os oito cenários estão certos, desenvolvidos à mão, e a Arena, onde a maioria escorrega, está não só correta como autocorrigida. Ele escreveu a divisão 900 por 40, riscou o primeiro resultado e anotou acima, com seta, "arredondando para 23". Ver a correção acontecendo na página é, para mim,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Indício de IA: Baixo (consultivo, não afeta nota). Evidência praticamente incontestável. Oito páginas manuscritas digitalizadas, com o rascunho transcrevendo os anexos à mão. O ponto decisivo é a autocorreção visível na página da Arena: valor riscado e a anotação "arredondando para 23" acrescentada acima com seta. Erro cometido e corrigido no próprio papel não é fabricável. A ausência de recomendação é falha de execução, e texto gerado faz o contrário, entrega a conclusão e economiza no desenvolvimento.
COMPARAÇÃO COM O CLUBE: na base só do case, Ferro ficou em 3,96 e eu em 3,15, diferença de 0,81, dentro do limite de 1,0.</t>
        </is>
      </c>
    </row>
    <row r="59" ht="14.25" customHeight="1" s="65">
      <c r="A59" s="53" t="n"/>
      <c r="B59" s="77" t="inlineStr">
        <is>
          <t>r238449@dac.unicamp.br</t>
        </is>
      </c>
      <c r="C59" s="3" t="inlineStr">
        <is>
          <t>Rafael Ponciano Rodrigues dos Santos</t>
        </is>
      </c>
      <c r="D59" s="3" t="inlineStr">
        <is>
          <t>Matteo</t>
        </is>
      </c>
      <c r="E59" s="32" t="n">
        <v>4.17</v>
      </c>
      <c r="F59" s="33" t="n">
        <v>7.33</v>
      </c>
      <c r="G59" s="33" t="n">
        <v>5.67</v>
      </c>
      <c r="H59" s="33" t="n">
        <v>16.33</v>
      </c>
      <c r="I59" s="33" t="n">
        <v>4</v>
      </c>
      <c r="J59" s="33" t="n">
        <v>8.33</v>
      </c>
      <c r="K59" s="52" t="n">
        <v>1</v>
      </c>
      <c r="L59" s="52" t="n">
        <v>0</v>
      </c>
      <c r="M59" s="52" t="n">
        <v>1</v>
      </c>
      <c r="N59" s="52" t="n">
        <v>1</v>
      </c>
      <c r="O59" s="74" t="inlineStr">
        <is>
          <t>C1=1: não há recomendação escrita em lugar nenhum dos dois arquivos. Ele cumpre as tarefas 01 a 03 (comparar bairros, demanda e capacidade, calcular rentabilidade) e para. Dá para inferir a escolha pelos gráficos de lucro acumulado, onde a Estação Central tem o maior acúmulo em 5 anos e os armários ultrapassam os parceiros, mas em nenhum momento ele escreve qual bairro nem qual modelo escolheria, que é exatamente o descritor de 1. C2=0: o entregável é seis fotografias de páginas de caderno, com sombra visível, iluminação irregular e dominante de cor rosada, mais um print de planilha. O descritor de 0 é literal: "foto de papel". Aplicando o teste operacional, não é arquivo que se manda a um cliente sem editar. Registro em favor dele que a caligrafia é organizada, com títulos em caixa e blocos "Resumo do Bairro" destacados, não é material caótico, é material privado. C3=1: a sequência interna é lógica e espelha as tarefas do case, mas os quatro blocos de bairro são paralelos e independentes, nenhum puxa o seguinte, e a página de gráficos não se conecta a nenhum texto. Sem conclusão, não há fio que chegue a lugar algum. C4=1: formatação improvisada mas legível, as fotos exigem esforço para ler por causa da sombra e do contraste, e a página de Excel é limpa.</t>
        </is>
      </c>
      <c r="P59" s="52" t="n">
        <v>0</v>
      </c>
      <c r="Q59" s="52" t="n">
        <v>1</v>
      </c>
      <c r="R59" s="52" t="n">
        <v>0</v>
      </c>
      <c r="S59" s="52" t="n">
        <v>2</v>
      </c>
      <c r="T59" s="73" t="inlineStr">
        <is>
          <t>R1=0: não há recomendação, que é o descritor de 0. Todo o material quantitativo está correto, mas nenhuma decisão é tomada nem sustentada. R2=1: aplicando o teste operacional, "ele descartou alguma coisa por escrito? Se não descartou nada, não discutiu", ele não descartou nada. Registro em favor dele, para o 2º avaliador, que a comparação em si é das mais completas do conjunto: os oito cenários calculados à mão mais a evolução dos dois modelos em 5 anos nos quatro bairros. Há comparação rica e zero escolha, o que torna este 1 contestável para 2. R3=0: o pedido ficou incompleto, que é o descritor de 0. A tarefa 04 do enunciado pede escolher bairro e modelo, sustentar com números e apresentar riscos e próximos passos, nada disso foi entregue. Vale notar que ele trouxe coisas não pedidas e boas (os 3C's aplicados ao case, a projeção de 5 anos), mas o descritor é explícito sobre pedido incompleto. R4=2: lê as lucratividades e compara ano 1 contra anos seguintes, tirando conclusão. Tem ainda a melhor observação qualitativa do conjunto sobre a demanda: anota que as conexões duram em média 1h30 a 2h e que "na maior parte das vezes não será tempo suficiente para fazer uma visita", o que questiona o próprio driver de demanda da Estação Central. O que impede o 3 é que ele não faz nada com essa observação, não ajusta número, não vira risco, não muda conclusão, e a duração de 1h30 a 2h não está no case nem é marcada como premissa dele.</t>
        </is>
      </c>
      <c r="U59" s="52" t="n">
        <v>3</v>
      </c>
      <c r="V59" s="52" t="n">
        <v>3</v>
      </c>
      <c r="W59" s="52" t="n">
        <v>1</v>
      </c>
      <c r="X59" s="52" t="n">
        <v>2</v>
      </c>
      <c r="Y59" s="52" t="n">
        <v>1</v>
      </c>
      <c r="Z59" s="52" t="n"/>
      <c r="AA59" s="73" t="inlineStr">
        <is>
          <t>A1=3: os oito resultados de Ano 1 conferem integralmente, todos desenvolvidos à mão. Estação Central: receita 1.200.000 transações x 30 = 36M, armários 3.360.000 + 4.200.000 + 3.360.000 = 10.920.000, lucro 25.080.000, lucratividade 69,66%; parceiros 8.160.000, lucro 27.840.000, 77,33%. Arena: parceiros 3.060.000, lucro 14.940.000, 83%; armários lucro 13.870.000, 77,05%. Noite Alta: armários 11.430.000 e lucro 18.570.000 a 61,9%; parceiros 10.800.000 e 19.200.000 a 64%. A memória de cálculo não é só visível, ela É o entregável. A2=3: bancos explícitos e corretos (60 na Estação, 45 em Noite Alta) e o custo de R$ 1.610.000 na Arena só fecha com 23 bancos, ou seja, o arredondamento de 22,5 foi feito. Custo por complexidade correto nos oito cenários. A3=1: existe projeção de 5 anos com ponte ano a ano e ela bate com o modelo dele, mas está inteiramente apoiada em remover o custo do banco a partir do 2º ano, ele anota "apenas 1º ano" ao lado dos R$ 4.200.000, quando o Anexo E declara que todos os valores são anuais. Sob a premissa correta, os armários nunca ultrapassam os parceiros e os quatro gráficos caem. Além disso não há plano de lançamento nenhum, nem fasemento, nem próximos passos. A4=2: a alternativa dos armários está coerente com o case e quantificada em 5 anos nos quatro bairros, mas nunca é proposta como curso de ação, fica entre descritores porque há quantificação sem proposta. A5=1: ele lista pontos negativos por bairro, e são específicos (atendimento noturno, segurança, operação complexa e risco de roubos em Noite Alta; a duração das conexões na Estação), mas estão desacoplados de qualquer recomendação, não têm mitigação e não há próximos passos, que o enunciado pede explicitamente na tarefa 04. A6=1: o case não traz erro plantado. Ele anota "42% de utilização" ao lado da conta de receita como contexto e não aplica como desconto, ou seja, passou pelo ponto certo, mas não nomeia inconsistência nenhuma.</t>
        </is>
      </c>
      <c r="AB59" s="52" t="n">
        <v>1</v>
      </c>
      <c r="AC59" s="52" t="n">
        <v>0</v>
      </c>
      <c r="AD59" s="52" t="n">
        <v>0</v>
      </c>
      <c r="AE59" s="52" t="n">
        <v>1</v>
      </c>
      <c r="AF59" s="52" t="n">
        <v>3</v>
      </c>
      <c r="AG59" s="52" t="n">
        <v>2</v>
      </c>
      <c r="AH59" s="53" t="n"/>
      <c r="AI59" s="74" t="inlineStr">
        <is>
          <t>A entrega mais frustrante que corrigi,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que eu vi em todas as pastas.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que este é o terceiro candidato a ler o banco como investimento, junto com as pastas 05 e 09, o que me faz achar que a redação do Anexo E merece ajuste no próximo case.
Na entrevista, se ele passar, a primeira pergunta é a que falta. Você calculou tudo, então qual bairro e qual modelo você escolhe, e por quê? A segunda, por que o banco vale só no primeiro ano? A terceira eu faria por interesse genuíno: sua observação sobre a conexão de 1h30 é boa, o que ela faz com a demanda de 24 mil transações do case?
Indício de IA: Baixo (consultivo, não afeta nota). Evidência de propriedade praticamente incontestável, ao lado da pasta 05. Seis páginas de caderno fotografadas sob luz ruim, com os 3C's aplicados à mão e cada conta desenvolvida passo a passo. A anotação "apenas 1º ano" documenta decisão consciente. A observação sobre a duração das conexões traz informação de fora do case, o que texto gerado a partir do enunciado não produz porque não questiona o input. A ausência de recomendação é falta de tempo, não artefato.
COMPARAÇÃO COM O CLUBE: na base só do case, Fred ficou em 8,56 e eu em 3,70, diferença de 4,86, acima do limite de 1,0, então cai na conversa de calibração.</t>
        </is>
      </c>
    </row>
    <row r="60" ht="14.25" customHeight="1" s="65">
      <c r="A60" s="53" t="n"/>
      <c r="B60" s="78" t="inlineStr">
        <is>
          <t>k267983@dac.unicamp.br</t>
        </is>
      </c>
      <c r="C60" s="3" t="inlineStr">
        <is>
          <t>Klaus Augusto Santos da Silva</t>
        </is>
      </c>
      <c r="D60" s="3" t="inlineStr">
        <is>
          <t>Matteo</t>
        </is>
      </c>
      <c r="E60" s="32" t="n">
        <v>6.7</v>
      </c>
      <c r="F60" s="33" t="n">
        <v>19.33</v>
      </c>
      <c r="G60" s="33" t="n">
        <v>19</v>
      </c>
      <c r="H60" s="33" t="n">
        <v>18.67</v>
      </c>
      <c r="I60" s="33" t="n">
        <v>5</v>
      </c>
      <c r="J60" s="33" t="n">
        <v>5</v>
      </c>
      <c r="K60" s="52" t="n">
        <v>2</v>
      </c>
      <c r="L60" s="52" t="n">
        <v>2</v>
      </c>
      <c r="M60" s="52" t="n">
        <v>1</v>
      </c>
      <c r="N60" s="52" t="n">
        <v>3</v>
      </c>
      <c r="O60" s="74" t="inlineStr">
        <is>
          <t>C1=2: a recomendação é explícita e clara ("Estação Central, em formato de armários inteligentes, com resultado operacional anual de R$ 25.080.000") mas está na seção 6 de 7; o sumário executivo da seção 1 anuncia que "a recomendação final ajusta o modelo por praça" sem dizer qual é, então o leitor precisa chegar ao fim. C2=2: o relatório final é de nível cliente, título, sete seções numeradas, nove tabelas e nota de procedência no fechamento. O que impede o 3 é ele ter entregue junto um arquivo chamado "(Relatório Rascunho).pdf" com anotações cruas separadas por linhas de "######"; o descritor de 3 exige nenhum rascunho visível, e o rascunho foi enviado. C3=1: teste operacional, os títulos são rótulos de seção ("4. Rentabilidade: comparação dos dois modelos", "6. Recomendação de lançamento") e a recomendação não aparece em nenhum deles. A sequência interna é lógica e a seção 7 é uma boa adição, o que torna este 1 contestável, mas o teste é objetivo. C4=3: hierarquia de títulos consistente, nove tabelas no mesmo padrão, nenhuma seção fora do padrão no documento final.</t>
        </is>
      </c>
      <c r="P60" s="52" t="n">
        <v>2</v>
      </c>
      <c r="Q60" s="52" t="n">
        <v>3</v>
      </c>
      <c r="R60" s="52" t="n">
        <v>2</v>
      </c>
      <c r="S60" s="52" t="n">
        <v>2</v>
      </c>
      <c r="T60" s="73" t="inlineStr">
        <is>
          <t>R1=2: cita as duas partes, mas o número é decorativo e nesse caso joga contra, ele escolhe armários na Estação a R$ 25,08M quando parceiros dão R$ 27,84M no mesmo bairro. O que sustenta a decisão é o argumento, e ele é bom e ancorado no Anexo D: os parceiros têm "horários variáveis" e a estação opera 24h, além do risco de superlotação do comércio local atrasar embarque e desembarque. Tapando o argumento, o número sozinho não sustenta a escolha. R2=3: calcula os dois modelos nos quatro bairros, apresenta a ordem puramente financeira, e então ajusta praça por praça com justificativa escrita para cada uma, descartando explicitamente a resposta financeira pura e dizendo por quê. Ponto fraco registrado: na Arena ele identifica os armários como solução para a dependência de suporte 24h em dias de evento e mesmo assim fica com parceiros, apoiado numa suposição que ele próprio marca como tal ("supõe-se que o comércio local já se anteciparia"). R3=2: a seção 7, "Custo da decisão", é a boa ideia da entrega, ele precifica o que está abdicando ao trocar rentabilidade máxima por mitigação de risco, R$ 3.390.000, e deixa o trade-off auditável em vez de escondido atrás de argumento qualitativo. O que impede o 3 é a agregação: ele soma os quatro bairros como se fossem lançados juntos (R$ 83,09M contra R$ 86,48M), quando o case pede um bairro prioritário e uma sequência de expansão. Restrito à decisão que ele de fato toma, na Estação, o valor abdicado é R$ 2,76M. R4=3: explica a causa por trás do indicador e o que fazer com ela, e a melhor passagem é Noite Alta, ele pega a "complexidade alta" do Anexo B e explicita o mecanismo concreto (confusão de itens, perda de comprovante de retirada, disputa sobre se o item saiu antes ou depois do estado alcoólico do cliente, má-fé do comerciante) e prescreve a troca de modelo. É raciocínio dele, não do case.</t>
        </is>
      </c>
      <c r="U60" s="52" t="n">
        <v>3</v>
      </c>
      <c r="V60" s="52" t="n">
        <v>3</v>
      </c>
      <c r="W60" s="52" t="n">
        <v>2</v>
      </c>
      <c r="X60" s="52" t="n">
        <v>2</v>
      </c>
      <c r="Y60" s="52" t="n">
        <v>2</v>
      </c>
      <c r="Z60" s="52" t="n"/>
      <c r="AA60" s="73" t="inlineStr">
        <is>
          <t>A1=3: os oito resultados conferem integralmente. A memória de cálculo é completa e visível nos dois arquivos, com as quatro tabelas de custo decompostas por categoria e a receita desenvolvida por semana e por ano. A2=3: bancos 60/25/23/45 corretos, e na Arena ele escreve "~23", sinalizando que percebeu o arredondamento de 22,5. Custo por complexidade correto nos dois modelos e nos quatro bairros. A3=2: a tabela 9 traz a ordem com modelo e resultado por bairro, então há número, mas não existe fasemento, cronograma nem ponte entre períodos, e não há seção de próximos passos em nenhum dos dois arquivos, embora a tarefa 04 do enunciado peça. O case não declara meta numérica, então a outra metade do descritor não é testável. A4=3: a recomendação inteira é a alternativa à resposta financeira pura, com impacto quantificado em R$ 3,39M, mais a alternativa de modelo por bairro com o resultado de cada uma. A5=2: os riscos da seção 5 são muito específicos e por praça, e têm mitigação estrutural, a mitigação é a própria troca para armários, que ele implementa na recomendação. Duas lacunas impedem o 3: os riscos listados são riscos da opção que ele descartou (parceiros), e ele nunca trata os riscos da escolha que fez (intensidade de capital, 60 bancos para instalar e manter, dependência tecnológica); e não há prazo nem próximos passos em lugar nenhum. A6=1: o case não traz erro plantado. Ele não descontou transações pela utilização e faz a leitura literal correta dos 54% como mais da metade das horas da semana, mas não nomeia inconsistência nenhuma.</t>
        </is>
      </c>
      <c r="AB60" s="52" t="n">
        <v>0</v>
      </c>
      <c r="AC60" s="52" t="n">
        <v>1</v>
      </c>
      <c r="AD60" s="52" t="n">
        <v>0</v>
      </c>
      <c r="AE60" s="52" t="n">
        <v>3</v>
      </c>
      <c r="AF60" s="52" t="n">
        <v>2</v>
      </c>
      <c r="AG60" s="52" t="n">
        <v>1</v>
      </c>
      <c r="AH60" s="53" t="n"/>
      <c r="AI60" s="74"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o que se espera de consultoria.
O argumento por trás também é sólido e ancorado no material. O Anexo D diz que parceiros têm horários variáveis e que armários operam 24h, e uma estação com 110 mil embarques por 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 milhões, mas o case pede um bairro prioritário e uma sequência, não quatro lançamentos simultâneos. Restrita à decisão real, a abdicação é R$ 2,76 milhões, não R$ 3,39 milhões.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 enviar o rascunho junto, com os separadores de "######", custou ponto de forma sem necessidade.
Na entrevista eu faço as duas perguntas que fecham os buracos. Se a decisão é só sobre a Estação, quanto você está abdicando de fato? E quais são os riscos de escolher armários, já que você só listou os de parceiros?
Indício de IA: Baixo (consultivo, não afeta nota). O rascunho enviado junto é material de trabalho pessoal, com anotações em caixa alta separadas por linhas de "######". Ninguém gera isso, e a progressão rascunho para relatório final deixa o processo de escrita visível. O raciocínio de Noite Alta é idiossincrático e coloquial de um jeito que texto gerado raramente é. Ele marca a própria suposição na Arena com "supõe-se" em vez de afirmar.
COMPARAÇÃO COM O CLUBE: na base só do case, Ferro e victor ficou em 3,82 e eu em 6,89, diferença de 3,07, acima do limite de 1,0, então cai na conversa de calibração.</t>
        </is>
      </c>
    </row>
    <row r="61" ht="14.25" customHeight="1" s="65">
      <c r="A61" s="53" t="n"/>
      <c r="B61" s="77" t="inlineStr">
        <is>
          <t>r302729@dac.unicamp.br</t>
        </is>
      </c>
      <c r="C61" s="3" t="inlineStr">
        <is>
          <t>Rafael Rodrigues Moreira</t>
        </is>
      </c>
      <c r="D61" s="3" t="inlineStr">
        <is>
          <t>Matteo</t>
        </is>
      </c>
      <c r="E61" s="32" t="n">
        <v>6.37</v>
      </c>
      <c r="F61" s="33" t="n">
        <v>17.67</v>
      </c>
      <c r="G61" s="33" t="n">
        <v>20.67</v>
      </c>
      <c r="H61" s="33" t="n">
        <v>14.33</v>
      </c>
      <c r="I61" s="33" t="n">
        <v>6</v>
      </c>
      <c r="J61" s="33" t="n">
        <v>5</v>
      </c>
      <c r="K61" s="52" t="n">
        <v>2</v>
      </c>
      <c r="L61" s="52" t="n">
        <v>2</v>
      </c>
      <c r="M61" s="52" t="n">
        <v>1</v>
      </c>
      <c r="N61" s="52" t="n">
        <v>2</v>
      </c>
      <c r="O61" s="74" t="inlineStr">
        <is>
          <t>C1=1: dá para inferir a recomendação, ele declara no slide 4 que rentabilidade é "o nosso critério principal" e o slide 17 conclui que a Estação Central lidera com R$ 27,84 mi em parceiros, mas ela não está escrita em lugar nenhum. O slide 21 fecha ambivalente ("a Estação central ganha na rentabilidade bruta, enquanto o Centro histórico traz uma proposta de eficiência e constância") sem resolver, e o índice do slide 2 promete uma seção "d. Recomendação do lançamento" que não existe no deck. C2=2: deck de nível cliente, com capa, índice, divisores de seção, rodapé, numeração e citação de fonte ("Fonte: Anexos A, B e C do desafio"). Pontas soltas que impedem o 3: os slides 7 e 8 têm título idêntico e ambos numerados "07", os slides 10 e 11 idem numerados "09", typos em "perídodo" (slide 4) e "font única" (slide 19), e a seção prometida no índice não foi entregue. C3=1: teste operacional, os títulos são rótulos ("Critério 3: Robustez da demanda", "Conclusão: a tabela-resumo de decisão") e a recomendação não aparece em nenhum; somam-se quatro slides com títulos duplicados, que obrigam o leitor a descobrir o que mudou. O arco dos quatro critérios é claro, o que torna este 1 contestável. C4=2: template uniforme com rodapé e marcadores de seção, mas o slide 18 está sobrecarregado, três tabelas mais a fórmula, com a numeração colidindo dentro de uma célula, e a numeração repetida em 8 e 11.</t>
        </is>
      </c>
      <c r="P61" s="52" t="n">
        <v>2</v>
      </c>
      <c r="Q61" s="52" t="n">
        <v>3</v>
      </c>
      <c r="R61" s="52" t="n">
        <v>2</v>
      </c>
      <c r="S61" s="52" t="n">
        <v>3</v>
      </c>
      <c r="T61" s="73" t="inlineStr">
        <is>
          <t>R1=2: cita as duas partes e elas se conectam bem, R$ 27,84 mi com a razão estratégica do slide 20, a Estação Central como "Origem" da jornada que "intercepta o cliente antes de todo mundo". O que impede nota maior é que ele nunca decide: a própria tabela do slide 21 mostra o Centro Histórico ganhando em três dos quatro critérios (eficiência, robustez e valor estratégico empatado em ALTO) contra o critério principal que ele declarou, e essa contradição não é reconciliada. Com a decisão em aberto, um dos lados fica decorativo. R2=3: é o ponto mais forte da entrega. Quatro critérios declarados no slide 4 e todos operacionalizados de verdade, rentabilidade nos oito cenários, eficiência em R$/posição com ranking, robustez com regra explícita e limiares numéricos ("Alta: utilização acima de 50% ou duas ou mais fontes independentes com janela ampla; Baixa: abaixo de 35% e fonte única...") aplicada corretamente aos quatro bairros, e valor estratégico por contagem de adjacência. O slide 21 consolida tudo numa tabela de decisão com ranking por critério, e ele justifica por escrito por que Arena e Noite Alta saem (robustez BAIXA, valor estratégico BAIXO e MÉDIO). A regra de robustez é o critério qualitativo mais rigoroso e reproduzível de todo o conjunto. R3=0: o descritor de 0 inclui "o pedido ficou incompleto", e ficou, a tarefa 04 pede recomendação sustentada, riscos e próximos passos, e não há recomendação declarada, nem seção de riscos, nem próximos passos. Registro com clareza, porque a nota isolada engana: o material extra dele (unit economics por posição, regra de robustez, adjacência e jornada do cliente) está entre os melhores do conjunto. O zero vem só da incompletude do pedido. R4=3: melhor leitura de indicador de todas as pastas. No slide 6 ele explica por que a Estação tem mais transações e menos utilização, demanda em picos, exigindo mais capital imobilizado por transação, e deriva que é onde as malas ficam guardadas por mais tempo, "mais ou menos 7 horas, o maior entre os bairros". Recalculei: 0,42 x 2.400 x 168 / 24.000 = 7,06 h. Está exato, e ninguém mais extraiu tempo de permanência dos dados. Ressalva: no slide 8 ele diz que os itens do Centro Histórico "ficam guardados por mais tempo", o que contradiz o próprio slide 6 (o Centro dá 5,04 h).</t>
        </is>
      </c>
      <c r="U61" s="52" t="n">
        <v>2</v>
      </c>
      <c r="V61" s="52" t="n">
        <v>3</v>
      </c>
      <c r="W61" s="52" t="n">
        <v>1</v>
      </c>
      <c r="X61" s="52" t="n">
        <v>2</v>
      </c>
      <c r="Y61" s="52" t="n">
        <v>1</v>
      </c>
      <c r="Z61" s="52" t="n"/>
      <c r="AA61" s="73" t="inlineStr">
        <is>
          <t>A1=3: sete dos oito resultados estão exatos e o oitavo cai dentro da tolerância. Arena armários deu R$ 13,814 mi contra R$ 13,870 mi do gabarito, −0,40%, dentro de ±2%. Memória de cálculo completa e visível nos slides 13 a 16, com cada linha de custo decomposta por bairro e por modelo. A2=2: ele acertou a parte difícil e errou a fácil. Os bancos estão certos, inclusive a Arena com 23 bancos a R$ 1,61 mi (o arredondamento de 22,5 foi feito). Mas no slide 15, na coluna de armários, ele aplicou os custos por posição a 920 posições em vez das 900 necessárias, R$ 1.400 x 920 = R$ 1,288 mi para equipamento e o mesmo para operação, contrariando a instrução explícita do Anexo E de que "custos por posição incidem nas posições necessárias do Anexo C". E fez isso de forma inconsistente: na coluna de parceiros do mesmo slide usou 900 corretamente. O erro propaga para o slide 18 (giro 13,0 para armários contra 13,3 para parceiros na Arena, resultado/posição R$ 15.015). Ainda no slide 18, o banco/posição aparece como R$ 1.750 para os quatro bairros, valor que só é exato quando as posições são divisíveis por 40, na Arena seria R$ 1.788,89. O valor final ficou na tolerância por ser erro pequeno, mas o método contraria instrução escrita. A3=1: não há projeção, fasemento nem próximos passos. O slide 21 gesticula que o Centro Histórico "não deve ser desconsiderado para uma futura expansão", o que é direcional e apoiado em número, mas não chega a ser plano. A4=3: o Centro Histórico é proposto como expansão futura com impacto quantificado (R$ 24,50 mi) e sustentado por ranking em quatro critérios, tudo específico deste case. A5=1: não há seção de riscos nem próximos passos, que a tarefa 04 pede. O que existe são observações de risco dispersas na análise por bairro ("maior incerteza na previsão" na Arena, "necessitando maior investimento com a segurança dos itens" em Noite Alta), específicas, mas desacopladas de qualquer recomendação, sem mitigação e sem prazo. A6=1: o case não traz erro plantado. Ele não descontou transações pela utilização, ao contrário, usou a utilização corretamente para derivar tempo de permanência, mas não nomeou inconsistência nenhuma.</t>
        </is>
      </c>
      <c r="AB61" s="52" t="n">
        <v>0</v>
      </c>
      <c r="AC61" s="52" t="n">
        <v>1</v>
      </c>
      <c r="AD61" s="52" t="n">
        <v>1</v>
      </c>
      <c r="AE61" s="52" t="n">
        <v>2</v>
      </c>
      <c r="AF61" s="52" t="n">
        <v>1</v>
      </c>
      <c r="AG61" s="52" t="n">
        <v>2</v>
      </c>
      <c r="AH61" s="53" t="n"/>
      <c r="AI61" s="74"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COMPARAÇÃO COM O CLUBE: na base só do case, Ferro ficou em 7,37 e eu em 6,52, diferença de 0,85, dentro do limite de 1,0.</t>
        </is>
      </c>
    </row>
    <row r="62" ht="14.25" customHeight="1" s="65">
      <c r="A62" s="53" t="n"/>
      <c r="B62" s="77" t="inlineStr">
        <is>
          <t>c258388@dac.unicamp.br</t>
        </is>
      </c>
      <c r="C62" s="3" t="inlineStr">
        <is>
          <t>Caio Augusto Saab</t>
        </is>
      </c>
      <c r="D62" s="3" t="inlineStr">
        <is>
          <t>Matteo</t>
        </is>
      </c>
      <c r="E62" s="32" t="n">
        <v>3.45</v>
      </c>
      <c r="F62" s="33" t="n">
        <v>13.33</v>
      </c>
      <c r="G62" s="33" t="n">
        <v>6.33</v>
      </c>
      <c r="H62" s="33" t="n">
        <v>7</v>
      </c>
      <c r="I62" s="33" t="n">
        <v>2</v>
      </c>
      <c r="J62" s="33" t="n">
        <v>5.83</v>
      </c>
      <c r="K62" s="52" t="n">
        <v>2</v>
      </c>
      <c r="L62" s="52" t="n">
        <v>1</v>
      </c>
      <c r="M62" s="52" t="n">
        <v>1</v>
      </c>
      <c r="N62" s="52" t="n">
        <v>1</v>
      </c>
      <c r="O62" s="74" t="inlineStr">
        <is>
          <t>C1=2: a recomendação é explícita e clara, "minha indicação é de que a BagHub deve ser implantada no Centro Histórico adotando o modelo de armários inteligentes",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fonte única, porém nenhum recurso visual, nenhuma numeração, nenhum cabeçalho.</t>
        </is>
      </c>
      <c r="P62" s="52" t="n">
        <v>0</v>
      </c>
      <c r="Q62" s="52" t="n">
        <v>2</v>
      </c>
      <c r="R62" s="52" t="n">
        <v>0</v>
      </c>
      <c r="S62" s="52" t="n">
        <v>1</v>
      </c>
      <c r="T62" s="73"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o enunciado pede riscos e próximos passos de forma qualitativa na tarefa 04 e não há nenhuma das duas coisas no documento. R4=1: lê as margens do Centro Histórico corretamente, mas erra o driver, atribui o custo alto da Estação Central à complexidade (que é moderada) quando a causa é ter 2.400 posições, e usa a utilização de 54% como se fosse sinal de qualidade do bairro ("isso confirma nossa escolha"), leitura que o próprio case adverte contra.</t>
        </is>
      </c>
      <c r="U62" s="52" t="n">
        <v>2</v>
      </c>
      <c r="V62" s="52" t="n">
        <v>1</v>
      </c>
      <c r="W62" s="52" t="n">
        <v>0</v>
      </c>
      <c r="X62" s="52" t="n">
        <v>1</v>
      </c>
      <c r="Y62" s="52" t="n">
        <v>0</v>
      </c>
      <c r="Z62" s="52" t="n"/>
      <c r="AA62" s="73" t="inlineStr">
        <is>
          <t>A1=2: sete dos oito resultados conferem (Estação 36M/25,08M/27,84M, Centro 27M/23,15M/24,5M, Noite Alta 30M/18,57M/19,2M). A receita tem memória visível (24.000 x 50 x 30), mas os custos aparecem só como totais,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nenhum risco e nenhum próximo passo, embora o enunciado peça explicitamente. A6=1: o case não traz erro plantado. Ele não descontou as transações pela utilização, então passou pelo ponto certo, mas não nomeou nada, e de fato usou a utilização de forma equivocada na conclusão.</t>
        </is>
      </c>
      <c r="AB62" s="52" t="n">
        <v>0</v>
      </c>
      <c r="AC62" s="52" t="n">
        <v>1</v>
      </c>
      <c r="AD62" s="52" t="n">
        <v>0</v>
      </c>
      <c r="AE62" s="52" t="n">
        <v>0</v>
      </c>
      <c r="AF62" s="52" t="n">
        <v>2</v>
      </c>
      <c r="AG62" s="52" t="n">
        <v>1.5</v>
      </c>
      <c r="AH62" s="53" t="n"/>
      <c r="AI62" s="74"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COMPARAÇÃO COM O CLUBE: na base só do case, luis e victor ficou em 3,06 e eu em 3,19, diferença de 0,13, dentro do limite de 1,0.</t>
        </is>
      </c>
    </row>
    <row r="63" ht="14.25" customHeight="1" s="65">
      <c r="A63" s="53" t="n"/>
      <c r="B63" s="53" t="n"/>
      <c r="C63" s="53" t="n"/>
      <c r="D63" s="53" t="n"/>
      <c r="E63" s="32" t="n"/>
      <c r="F63" s="33" t="n"/>
      <c r="G63" s="33" t="n"/>
      <c r="H63" s="33" t="n"/>
      <c r="I63" s="33" t="n"/>
      <c r="J63" s="33" t="n"/>
      <c r="K63" s="52" t="n"/>
      <c r="L63" s="52" t="n"/>
      <c r="M63" s="52" t="n"/>
      <c r="N63" s="52" t="n"/>
      <c r="O63" s="73" t="n"/>
      <c r="P63" s="52" t="n"/>
      <c r="Q63" s="52" t="n"/>
      <c r="R63" s="52" t="n"/>
      <c r="S63" s="52" t="n"/>
      <c r="T63" s="73" t="n"/>
      <c r="U63" s="52" t="n"/>
      <c r="V63" s="52" t="n"/>
      <c r="W63" s="52" t="n"/>
      <c r="X63" s="52" t="n"/>
      <c r="Y63" s="52" t="n"/>
      <c r="Z63" s="52" t="n"/>
      <c r="AA63" s="73" t="n"/>
      <c r="AB63" s="52" t="n"/>
      <c r="AC63" s="52" t="n"/>
      <c r="AD63" s="52" t="n"/>
      <c r="AE63" s="52" t="n"/>
      <c r="AF63" s="52" t="n"/>
      <c r="AG63" s="52" t="n"/>
      <c r="AH63" s="73" t="n"/>
      <c r="AI63" s="73" t="n"/>
    </row>
    <row r="64" ht="14.25" customHeight="1" s="65">
      <c r="A64" s="53" t="n"/>
      <c r="B64" s="53" t="n"/>
      <c r="C64" s="53" t="n"/>
      <c r="D64" s="53" t="n"/>
      <c r="E64" s="32" t="n"/>
      <c r="F64" s="33" t="n"/>
      <c r="G64" s="33" t="n"/>
      <c r="H64" s="33" t="n"/>
      <c r="I64" s="33" t="n"/>
      <c r="J64" s="33" t="n"/>
      <c r="K64" s="52" t="n"/>
      <c r="L64" s="52" t="n"/>
      <c r="M64" s="52" t="n"/>
      <c r="N64" s="52" t="n"/>
      <c r="O64" s="73" t="n"/>
      <c r="P64" s="52" t="n"/>
      <c r="Q64" s="52" t="n"/>
      <c r="R64" s="52" t="n"/>
      <c r="S64" s="52" t="n"/>
      <c r="T64" s="73" t="n"/>
      <c r="U64" s="52" t="n"/>
      <c r="V64" s="52" t="n"/>
      <c r="W64" s="52" t="n"/>
      <c r="X64" s="52" t="n"/>
      <c r="Y64" s="52" t="n"/>
      <c r="Z64" s="52" t="n"/>
      <c r="AA64" s="73" t="n"/>
      <c r="AB64" s="52" t="n"/>
      <c r="AC64" s="52" t="n"/>
      <c r="AD64" s="52" t="n"/>
      <c r="AE64" s="52" t="n"/>
      <c r="AF64" s="52" t="n"/>
      <c r="AG64" s="52" t="n"/>
      <c r="AH64" s="73" t="n"/>
      <c r="AI64" s="73" t="n"/>
    </row>
    <row r="65" ht="14.25" customHeight="1" s="65">
      <c r="A65" s="53" t="n"/>
      <c r="B65" s="53" t="n"/>
      <c r="C65" s="53" t="n"/>
      <c r="D65" s="53" t="n"/>
      <c r="E65" s="32" t="n"/>
      <c r="F65" s="33" t="n"/>
      <c r="G65" s="33" t="n"/>
      <c r="H65" s="33" t="n"/>
      <c r="I65" s="33" t="n"/>
      <c r="J65" s="33" t="n"/>
      <c r="K65" s="52" t="n"/>
      <c r="L65" s="52" t="n"/>
      <c r="M65" s="52" t="n"/>
      <c r="N65" s="52" t="n"/>
      <c r="O65" s="53" t="n"/>
      <c r="P65" s="52" t="n"/>
      <c r="Q65" s="52" t="n"/>
      <c r="R65" s="52" t="n"/>
      <c r="S65" s="52" t="n"/>
      <c r="T65" s="53" t="n"/>
      <c r="U65" s="52" t="n"/>
      <c r="V65" s="52" t="n"/>
      <c r="W65" s="52" t="n"/>
      <c r="X65" s="52" t="n"/>
      <c r="Y65" s="52" t="n"/>
      <c r="Z65" s="52" t="n"/>
      <c r="AA65" s="53" t="n"/>
      <c r="AB65" s="52" t="n"/>
      <c r="AC65" s="52" t="n"/>
      <c r="AD65" s="52" t="n"/>
      <c r="AE65" s="52" t="n"/>
      <c r="AF65" s="52" t="n"/>
      <c r="AG65" s="52" t="n"/>
      <c r="AH65" s="53" t="n"/>
      <c r="AI65" s="53" t="n"/>
    </row>
    <row r="66" ht="14.25" customHeight="1" s="65">
      <c r="A66" s="53" t="n"/>
      <c r="B66" s="53" t="n"/>
      <c r="C66" s="53" t="n"/>
      <c r="D66" s="53" t="n"/>
      <c r="E66" s="32" t="n"/>
      <c r="F66" s="33" t="n"/>
      <c r="G66" s="33" t="n"/>
      <c r="H66" s="33" t="n"/>
      <c r="I66" s="33" t="n"/>
      <c r="J66" s="33" t="n"/>
      <c r="K66" s="52" t="n"/>
      <c r="L66" s="52" t="n"/>
      <c r="M66" s="52" t="n"/>
      <c r="N66" s="52" t="n"/>
      <c r="O66" s="53" t="n"/>
      <c r="P66" s="52" t="n"/>
      <c r="Q66" s="52" t="n"/>
      <c r="R66" s="52" t="n"/>
      <c r="S66" s="52" t="n"/>
      <c r="T66" s="53" t="n"/>
      <c r="U66" s="52" t="n"/>
      <c r="V66" s="52" t="n"/>
      <c r="W66" s="52" t="n"/>
      <c r="X66" s="52" t="n"/>
      <c r="Y66" s="52" t="n"/>
      <c r="Z66" s="52" t="n"/>
      <c r="AA66" s="53" t="n"/>
      <c r="AB66" s="52" t="n"/>
      <c r="AC66" s="52" t="n"/>
      <c r="AD66" s="52" t="n"/>
      <c r="AE66" s="52" t="n"/>
      <c r="AF66" s="52" t="n"/>
      <c r="AG66" s="52" t="n"/>
      <c r="AH66" s="53" t="n"/>
      <c r="AI66" s="53" t="n"/>
    </row>
    <row r="67" ht="14.25" customHeight="1" s="65">
      <c r="A67" s="53" t="n"/>
      <c r="B67" s="53" t="n"/>
      <c r="C67" s="53" t="n"/>
      <c r="D67" s="53" t="n"/>
      <c r="E67" s="32" t="n"/>
      <c r="F67" s="33" t="n"/>
      <c r="G67" s="33" t="n"/>
      <c r="H67" s="33" t="n"/>
      <c r="I67" s="33" t="n"/>
      <c r="J67" s="33" t="n"/>
      <c r="K67" s="52" t="n"/>
      <c r="L67" s="52" t="n"/>
      <c r="M67" s="52" t="n"/>
      <c r="N67" s="52" t="n"/>
      <c r="O67" s="53" t="n"/>
      <c r="P67" s="52" t="n"/>
      <c r="Q67" s="52" t="n"/>
      <c r="R67" s="52" t="n"/>
      <c r="S67" s="52" t="n"/>
      <c r="T67" s="53" t="n"/>
      <c r="U67" s="52" t="n"/>
      <c r="V67" s="52" t="n"/>
      <c r="W67" s="52" t="n"/>
      <c r="X67" s="52" t="n"/>
      <c r="Y67" s="52" t="n"/>
      <c r="Z67" s="52" t="n"/>
      <c r="AA67" s="53" t="n"/>
      <c r="AB67" s="52" t="n"/>
      <c r="AC67" s="52" t="n"/>
      <c r="AD67" s="52" t="n"/>
      <c r="AE67" s="52" t="n"/>
      <c r="AF67" s="52" t="n"/>
      <c r="AG67" s="52" t="n"/>
      <c r="AH67" s="53" t="n"/>
      <c r="AI67" s="53" t="n"/>
    </row>
    <row r="68" ht="14.25" customHeight="1" s="65">
      <c r="A68" s="53" t="n"/>
      <c r="B68" s="53" t="n"/>
      <c r="C68" s="53" t="n"/>
      <c r="D68" s="53" t="n"/>
      <c r="E68" s="32" t="n"/>
      <c r="F68" s="33" t="n"/>
      <c r="G68" s="33" t="n"/>
      <c r="H68" s="33" t="n"/>
      <c r="I68" s="33" t="n"/>
      <c r="J68" s="33" t="n"/>
      <c r="K68" s="52" t="n"/>
      <c r="L68" s="52" t="n"/>
      <c r="M68" s="52" t="n"/>
      <c r="N68" s="52" t="n"/>
      <c r="O68" s="53" t="n"/>
      <c r="P68" s="52" t="n"/>
      <c r="Q68" s="52" t="n"/>
      <c r="R68" s="52" t="n"/>
      <c r="S68" s="52" t="n"/>
      <c r="T68" s="53" t="n"/>
      <c r="U68" s="52" t="n"/>
      <c r="V68" s="52" t="n"/>
      <c r="W68" s="52" t="n"/>
      <c r="X68" s="52" t="n"/>
      <c r="Y68" s="52" t="n"/>
      <c r="Z68" s="52" t="n"/>
      <c r="AA68" s="53" t="n"/>
      <c r="AB68" s="52" t="n"/>
      <c r="AC68" s="52" t="n"/>
      <c r="AD68" s="52" t="n"/>
      <c r="AE68" s="52" t="n"/>
      <c r="AF68" s="52" t="n"/>
      <c r="AG68" s="52" t="n"/>
      <c r="AH68" s="53" t="n"/>
      <c r="AI68" s="53" t="n"/>
    </row>
    <row r="69" ht="14.25" customHeight="1" s="65">
      <c r="A69" s="53" t="n"/>
      <c r="B69" s="53" t="n"/>
      <c r="C69" s="53" t="n"/>
      <c r="D69" s="53" t="n"/>
      <c r="E69" s="32" t="n"/>
      <c r="F69" s="33" t="n"/>
      <c r="G69" s="33" t="n"/>
      <c r="H69" s="33" t="n"/>
      <c r="I69" s="33" t="n"/>
      <c r="J69" s="33" t="n"/>
      <c r="K69" s="52" t="n"/>
      <c r="L69" s="52" t="n"/>
      <c r="M69" s="52" t="n"/>
      <c r="N69" s="52" t="n"/>
      <c r="O69" s="53" t="n"/>
      <c r="P69" s="52" t="n"/>
      <c r="Q69" s="52" t="n"/>
      <c r="R69" s="52" t="n"/>
      <c r="S69" s="52" t="n"/>
      <c r="T69" s="53" t="n"/>
      <c r="U69" s="52" t="n"/>
      <c r="V69" s="52" t="n"/>
      <c r="W69" s="52" t="n"/>
      <c r="X69" s="52" t="n"/>
      <c r="Y69" s="52" t="n"/>
      <c r="Z69" s="52" t="n"/>
      <c r="AA69" s="53" t="n"/>
      <c r="AB69" s="52" t="n"/>
      <c r="AC69" s="52" t="n"/>
      <c r="AD69" s="52" t="n"/>
      <c r="AE69" s="52" t="n"/>
      <c r="AF69" s="52" t="n"/>
      <c r="AG69" s="52" t="n"/>
      <c r="AH69" s="53" t="n"/>
      <c r="AI69" s="53" t="n"/>
    </row>
    <row r="70" ht="14.25" customHeight="1" s="65">
      <c r="A70" s="53" t="n"/>
      <c r="B70" s="53" t="n"/>
      <c r="C70" s="53" t="n"/>
      <c r="D70" s="53" t="n"/>
      <c r="E70" s="32" t="n"/>
      <c r="F70" s="33" t="n"/>
      <c r="G70" s="33" t="n"/>
      <c r="H70" s="33" t="n"/>
      <c r="I70" s="33" t="n"/>
      <c r="J70" s="33" t="n"/>
      <c r="K70" s="52" t="n"/>
      <c r="L70" s="52" t="n"/>
      <c r="M70" s="52" t="n"/>
      <c r="N70" s="52" t="n"/>
      <c r="O70" s="53" t="n"/>
      <c r="P70" s="52" t="n"/>
      <c r="Q70" s="52" t="n"/>
      <c r="R70" s="52" t="n"/>
      <c r="S70" s="52" t="n"/>
      <c r="T70" s="53" t="n"/>
      <c r="U70" s="52" t="n"/>
      <c r="V70" s="52" t="n"/>
      <c r="W70" s="52" t="n"/>
      <c r="X70" s="52" t="n"/>
      <c r="Y70" s="52" t="n"/>
      <c r="Z70" s="52" t="n"/>
      <c r="AA70" s="53" t="n"/>
      <c r="AB70" s="52" t="n"/>
      <c r="AC70" s="52" t="n"/>
      <c r="AD70" s="52" t="n"/>
      <c r="AE70" s="52" t="n"/>
      <c r="AF70" s="52" t="n"/>
      <c r="AG70" s="52" t="n"/>
      <c r="AH70" s="53" t="n"/>
      <c r="AI70" s="53" t="n"/>
    </row>
    <row r="71" ht="14.25" customHeight="1" s="65">
      <c r="A71" s="53" t="n"/>
      <c r="B71" s="53" t="n"/>
      <c r="C71" s="53" t="n"/>
      <c r="D71" s="53" t="n"/>
      <c r="E71" s="32">
        <f>IF(COUNT(K71:AG71)=0,"",ROUND((F71+G71+H71+I71+J71)/10,2))</f>
        <v/>
      </c>
      <c r="F71" s="33">
        <f>IF(COUNT(K71:AG71)=0,"",(K71*10+L71*8+M71*7+N71*5)/3)</f>
        <v/>
      </c>
      <c r="G71" s="33">
        <f>IF(COUNT(K71:AG71)=0,"",(P71*8+Q71*7+R71*5+S71*5)/3)</f>
        <v/>
      </c>
      <c r="H71" s="33">
        <f>IF(COUNT(K71:AG71)=0,"",(U71*6+V71*6+W71*4+X71*3+Y71*3+Z71*3)/3)</f>
        <v/>
      </c>
      <c r="I71" s="33">
        <f>IF(COUNT(K71:AG71)=0,"",AB71*3+AC71*2+AD71*2+AE71*1)</f>
        <v/>
      </c>
      <c r="J71" s="33">
        <f>IF(COUNT(K71:AG71)=0,"",(AF71*5+AG71*5)/3)</f>
        <v/>
      </c>
      <c r="K71" s="52" t="n"/>
      <c r="L71" s="52" t="n"/>
      <c r="M71" s="52" t="n"/>
      <c r="N71" s="52" t="n"/>
      <c r="O71" s="53" t="n"/>
      <c r="P71" s="52" t="n"/>
      <c r="Q71" s="52" t="n"/>
      <c r="R71" s="52" t="n"/>
      <c r="S71" s="52" t="n"/>
      <c r="T71" s="53" t="n"/>
      <c r="U71" s="52" t="n"/>
      <c r="V71" s="52" t="n"/>
      <c r="W71" s="52" t="n"/>
      <c r="X71" s="52" t="n"/>
      <c r="Y71" s="52" t="n"/>
      <c r="Z71" s="52" t="n"/>
      <c r="AA71" s="53" t="n"/>
      <c r="AB71" s="52" t="n"/>
      <c r="AC71" s="52" t="n"/>
      <c r="AD71" s="52" t="n"/>
      <c r="AE71" s="52" t="n"/>
      <c r="AF71" s="52" t="n"/>
      <c r="AG71" s="52" t="n"/>
      <c r="AH71" s="53" t="n"/>
      <c r="AI71" s="53" t="n"/>
    </row>
    <row r="72" ht="14.25" customHeight="1" s="65">
      <c r="A72" s="53" t="n"/>
      <c r="B72" s="53" t="n"/>
      <c r="C72" s="53" t="n"/>
      <c r="D72" s="53" t="n"/>
      <c r="E72" s="32">
        <f>IF(COUNT(K72:AG72)=0,"",ROUND((F72+G72+H72+I72+J72)/10,2))</f>
        <v/>
      </c>
      <c r="F72" s="33">
        <f>IF(COUNT(K72:AG72)=0,"",(K72*10+L72*8+M72*7+N72*5)/3)</f>
        <v/>
      </c>
      <c r="G72" s="33">
        <f>IF(COUNT(K72:AG72)=0,"",(P72*8+Q72*7+R72*5+S72*5)/3)</f>
        <v/>
      </c>
      <c r="H72" s="33">
        <f>IF(COUNT(K72:AG72)=0,"",(U72*6+V72*6+W72*4+X72*3+Y72*3+Z72*3)/3)</f>
        <v/>
      </c>
      <c r="I72" s="33">
        <f>IF(COUNT(K72:AG72)=0,"",AB72*3+AC72*2+AD72*2+AE72*1)</f>
        <v/>
      </c>
      <c r="J72" s="33">
        <f>IF(COUNT(K72:AG72)=0,"",(AF72*5+AG72*5)/3)</f>
        <v/>
      </c>
      <c r="K72" s="52" t="n"/>
      <c r="L72" s="52" t="n"/>
      <c r="M72" s="52" t="n"/>
      <c r="N72" s="52" t="n"/>
      <c r="O72" s="53" t="n"/>
      <c r="P72" s="52" t="n"/>
      <c r="Q72" s="52" t="n"/>
      <c r="R72" s="52" t="n"/>
      <c r="S72" s="52" t="n"/>
      <c r="T72" s="53" t="n"/>
      <c r="U72" s="52" t="n"/>
      <c r="V72" s="52" t="n"/>
      <c r="W72" s="52" t="n"/>
      <c r="X72" s="52" t="n"/>
      <c r="Y72" s="52" t="n"/>
      <c r="Z72" s="52" t="n"/>
      <c r="AA72" s="53" t="n"/>
      <c r="AB72" s="52" t="n"/>
      <c r="AC72" s="52" t="n"/>
      <c r="AD72" s="52" t="n"/>
      <c r="AE72" s="52" t="n"/>
      <c r="AF72" s="52" t="n"/>
      <c r="AG72" s="52" t="n"/>
      <c r="AH72" s="53" t="n"/>
      <c r="AI72" s="53" t="n"/>
    </row>
    <row r="73" ht="14.25" customHeight="1" s="65">
      <c r="A73" s="53" t="n"/>
      <c r="B73" s="53" t="n"/>
      <c r="C73" s="53" t="n"/>
      <c r="D73" s="53" t="n"/>
      <c r="E73" s="32">
        <f>IF(COUNT(K73:AG73)=0,"",ROUND((F73+G73+H73+I73+J73)/10,2))</f>
        <v/>
      </c>
      <c r="F73" s="33">
        <f>IF(COUNT(K73:AG73)=0,"",(K73*10+L73*8+M73*7+N73*5)/3)</f>
        <v/>
      </c>
      <c r="G73" s="33">
        <f>IF(COUNT(K73:AG73)=0,"",(P73*8+Q73*7+R73*5+S73*5)/3)</f>
        <v/>
      </c>
      <c r="H73" s="33">
        <f>IF(COUNT(K73:AG73)=0,"",(U73*6+V73*6+W73*4+X73*3+Y73*3+Z73*3)/3)</f>
        <v/>
      </c>
      <c r="I73" s="33">
        <f>IF(COUNT(K73:AG73)=0,"",AB73*3+AC73*2+AD73*2+AE73*1)</f>
        <v/>
      </c>
      <c r="J73" s="33">
        <f>IF(COUNT(K73:AG73)=0,"",(AF73*5+AG73*5)/3)</f>
        <v/>
      </c>
      <c r="K73" s="52" t="n"/>
      <c r="L73" s="52" t="n"/>
      <c r="M73" s="52" t="n"/>
      <c r="N73" s="52" t="n"/>
      <c r="O73" s="53" t="n"/>
      <c r="P73" s="52" t="n"/>
      <c r="Q73" s="52" t="n"/>
      <c r="R73" s="52" t="n"/>
      <c r="S73" s="52" t="n"/>
      <c r="T73" s="53" t="n"/>
      <c r="U73" s="52" t="n"/>
      <c r="V73" s="52" t="n"/>
      <c r="W73" s="52" t="n"/>
      <c r="X73" s="52" t="n"/>
      <c r="Y73" s="52" t="n"/>
      <c r="Z73" s="52" t="n"/>
      <c r="AA73" s="53" t="n"/>
      <c r="AB73" s="52" t="n"/>
      <c r="AC73" s="52" t="n"/>
      <c r="AD73" s="52" t="n"/>
      <c r="AE73" s="52" t="n"/>
      <c r="AF73" s="52" t="n"/>
      <c r="AG73" s="52" t="n"/>
      <c r="AH73" s="53" t="n"/>
      <c r="AI73" s="53" t="n"/>
    </row>
    <row r="74" ht="14.25" customHeight="1" s="65">
      <c r="A74" s="53" t="n"/>
      <c r="B74" s="53" t="n"/>
      <c r="C74" s="53" t="n"/>
      <c r="D74" s="53" t="n"/>
      <c r="E74" s="32">
        <f>IF(COUNT(K74:AG74)=0,"",ROUND((F74+G74+H74+I74+J74)/10,2))</f>
        <v/>
      </c>
      <c r="F74" s="33">
        <f>IF(COUNT(K74:AG74)=0,"",(K74*10+L74*8+M74*7+N74*5)/3)</f>
        <v/>
      </c>
      <c r="G74" s="33">
        <f>IF(COUNT(K74:AG74)=0,"",(P74*8+Q74*7+R74*5+S74*5)/3)</f>
        <v/>
      </c>
      <c r="H74" s="33">
        <f>IF(COUNT(K74:AG74)=0,"",(U74*6+V74*6+W74*4+X74*3+Y74*3+Z74*3)/3)</f>
        <v/>
      </c>
      <c r="I74" s="33">
        <f>IF(COUNT(K74:AG74)=0,"",AB74*3+AC74*2+AD74*2+AE74*1)</f>
        <v/>
      </c>
      <c r="J74" s="33">
        <f>IF(COUNT(K74:AG74)=0,"",(AF74*5+AG74*5)/3)</f>
        <v/>
      </c>
      <c r="K74" s="52" t="n"/>
      <c r="L74" s="52" t="n"/>
      <c r="M74" s="52" t="n"/>
      <c r="N74" s="52" t="n"/>
      <c r="O74" s="53" t="n"/>
      <c r="P74" s="52" t="n"/>
      <c r="Q74" s="52" t="n"/>
      <c r="R74" s="52" t="n"/>
      <c r="S74" s="52" t="n"/>
      <c r="T74" s="53" t="n"/>
      <c r="U74" s="52" t="n"/>
      <c r="V74" s="52" t="n"/>
      <c r="W74" s="52" t="n"/>
      <c r="X74" s="52" t="n"/>
      <c r="Y74" s="52" t="n"/>
      <c r="Z74" s="52" t="n"/>
      <c r="AA74" s="53" t="n"/>
      <c r="AB74" s="52" t="n"/>
      <c r="AC74" s="52" t="n"/>
      <c r="AD74" s="52" t="n"/>
      <c r="AE74" s="52" t="n"/>
      <c r="AF74" s="52" t="n"/>
      <c r="AG74" s="52" t="n"/>
      <c r="AH74" s="53" t="n"/>
      <c r="AI74" s="53" t="n"/>
    </row>
    <row r="75" ht="14.25" customHeight="1" s="65">
      <c r="A75" s="53" t="n"/>
      <c r="B75" s="53" t="n"/>
      <c r="C75" s="53" t="n"/>
      <c r="D75" s="53" t="n"/>
      <c r="E75" s="32">
        <f>IF(COUNT(K75:AG75)=0,"",ROUND((F75+G75+H75+I75+J75)/10,2))</f>
        <v/>
      </c>
      <c r="F75" s="33">
        <f>IF(COUNT(K75:AG75)=0,"",(K75*10+L75*8+M75*7+N75*5)/3)</f>
        <v/>
      </c>
      <c r="G75" s="33">
        <f>IF(COUNT(K75:AG75)=0,"",(P75*8+Q75*7+R75*5+S75*5)/3)</f>
        <v/>
      </c>
      <c r="H75" s="33">
        <f>IF(COUNT(K75:AG75)=0,"",(U75*6+V75*6+W75*4+X75*3+Y75*3+Z75*3)/3)</f>
        <v/>
      </c>
      <c r="I75" s="33">
        <f>IF(COUNT(K75:AG75)=0,"",AB75*3+AC75*2+AD75*2+AE75*1)</f>
        <v/>
      </c>
      <c r="J75" s="33">
        <f>IF(COUNT(K75:AG75)=0,"",(AF75*5+AG75*5)/3)</f>
        <v/>
      </c>
      <c r="K75" s="52" t="n"/>
      <c r="L75" s="52" t="n"/>
      <c r="M75" s="52" t="n"/>
      <c r="N75" s="52" t="n"/>
      <c r="O75" s="53" t="n"/>
      <c r="P75" s="52" t="n"/>
      <c r="Q75" s="52" t="n"/>
      <c r="R75" s="52" t="n"/>
      <c r="S75" s="52" t="n"/>
      <c r="T75" s="53" t="n"/>
      <c r="U75" s="52" t="n"/>
      <c r="V75" s="52" t="n"/>
      <c r="W75" s="52" t="n"/>
      <c r="X75" s="52" t="n"/>
      <c r="Y75" s="52" t="n"/>
      <c r="Z75" s="52" t="n"/>
      <c r="AA75" s="53" t="n"/>
      <c r="AB75" s="52" t="n"/>
      <c r="AC75" s="52" t="n"/>
      <c r="AD75" s="52" t="n"/>
      <c r="AE75" s="52" t="n"/>
      <c r="AF75" s="52" t="n"/>
      <c r="AG75" s="52" t="n"/>
      <c r="AH75" s="53" t="n"/>
      <c r="AI75" s="53" t="n"/>
    </row>
    <row r="76" ht="14.25" customHeight="1" s="65">
      <c r="A76" s="53" t="n"/>
      <c r="B76" s="53" t="n"/>
      <c r="C76" s="53" t="n"/>
      <c r="D76" s="53" t="n"/>
      <c r="E76" s="32">
        <f>IF(COUNT(K76:AG76)=0,"",ROUND((F76+G76+H76+I76+J76)/10,2))</f>
        <v/>
      </c>
      <c r="F76" s="33">
        <f>IF(COUNT(K76:AG76)=0,"",(K76*10+L76*8+M76*7+N76*5)/3)</f>
        <v/>
      </c>
      <c r="G76" s="33">
        <f>IF(COUNT(K76:AG76)=0,"",(P76*8+Q76*7+R76*5+S76*5)/3)</f>
        <v/>
      </c>
      <c r="H76" s="33">
        <f>IF(COUNT(K76:AG76)=0,"",(U76*6+V76*6+W76*4+X76*3+Y76*3+Z76*3)/3)</f>
        <v/>
      </c>
      <c r="I76" s="33">
        <f>IF(COUNT(K76:AG76)=0,"",AB76*3+AC76*2+AD76*2+AE76*1)</f>
        <v/>
      </c>
      <c r="J76" s="33">
        <f>IF(COUNT(K76:AG76)=0,"",(AF76*5+AG76*5)/3)</f>
        <v/>
      </c>
      <c r="K76" s="52" t="n"/>
      <c r="L76" s="52" t="n"/>
      <c r="M76" s="52" t="n"/>
      <c r="N76" s="52" t="n"/>
      <c r="O76" s="53" t="n"/>
      <c r="P76" s="52" t="n"/>
      <c r="Q76" s="52" t="n"/>
      <c r="R76" s="52" t="n"/>
      <c r="S76" s="52" t="n"/>
      <c r="T76" s="53" t="n"/>
      <c r="U76" s="52" t="n"/>
      <c r="V76" s="52" t="n"/>
      <c r="W76" s="52" t="n"/>
      <c r="X76" s="52" t="n"/>
      <c r="Y76" s="52" t="n"/>
      <c r="Z76" s="52" t="n"/>
      <c r="AA76" s="53" t="n"/>
      <c r="AB76" s="52" t="n"/>
      <c r="AC76" s="52" t="n"/>
      <c r="AD76" s="52" t="n"/>
      <c r="AE76" s="52" t="n"/>
      <c r="AF76" s="52" t="n"/>
      <c r="AG76" s="52" t="n"/>
      <c r="AH76" s="53" t="n"/>
      <c r="AI76" s="53" t="n"/>
    </row>
    <row r="77" ht="14.25" customHeight="1" s="65">
      <c r="A77" s="53" t="n"/>
      <c r="B77" s="53" t="n"/>
      <c r="C77" s="53" t="n"/>
      <c r="D77" s="53" t="n"/>
      <c r="E77" s="32">
        <f>IF(COUNT(K77:AG77)=0,"",ROUND((F77+G77+H77+I77+J77)/10,2))</f>
        <v/>
      </c>
      <c r="F77" s="33">
        <f>IF(COUNT(K77:AG77)=0,"",(K77*10+L77*8+M77*7+N77*5)/3)</f>
        <v/>
      </c>
      <c r="G77" s="33">
        <f>IF(COUNT(K77:AG77)=0,"",(P77*8+Q77*7+R77*5+S77*5)/3)</f>
        <v/>
      </c>
      <c r="H77" s="33">
        <f>IF(COUNT(K77:AG77)=0,"",(U77*6+V77*6+W77*4+X77*3+Y77*3+Z77*3)/3)</f>
        <v/>
      </c>
      <c r="I77" s="33">
        <f>IF(COUNT(K77:AG77)=0,"",AB77*3+AC77*2+AD77*2+AE77*1)</f>
        <v/>
      </c>
      <c r="J77" s="33">
        <f>IF(COUNT(K77:AG77)=0,"",(AF77*5+AG77*5)/3)</f>
        <v/>
      </c>
      <c r="K77" s="52" t="n"/>
      <c r="L77" s="52" t="n"/>
      <c r="M77" s="52" t="n"/>
      <c r="N77" s="52" t="n"/>
      <c r="O77" s="53" t="n"/>
      <c r="P77" s="52" t="n"/>
      <c r="Q77" s="52" t="n"/>
      <c r="R77" s="52" t="n"/>
      <c r="S77" s="52" t="n"/>
      <c r="T77" s="53" t="n"/>
      <c r="U77" s="52" t="n"/>
      <c r="V77" s="52" t="n"/>
      <c r="W77" s="52" t="n"/>
      <c r="X77" s="52" t="n"/>
      <c r="Y77" s="52" t="n"/>
      <c r="Z77" s="52" t="n"/>
      <c r="AA77" s="53" t="n"/>
      <c r="AB77" s="52" t="n"/>
      <c r="AC77" s="52" t="n"/>
      <c r="AD77" s="52" t="n"/>
      <c r="AE77" s="52" t="n"/>
      <c r="AF77" s="52" t="n"/>
      <c r="AG77" s="52" t="n"/>
      <c r="AH77" s="53" t="n"/>
      <c r="AI77" s="53" t="n"/>
    </row>
    <row r="78" ht="14.25" customHeight="1" s="65">
      <c r="A78" s="53" t="n"/>
      <c r="B78" s="53" t="n"/>
      <c r="C78" s="53" t="n"/>
      <c r="D78" s="53" t="n"/>
      <c r="E78" s="32">
        <f>IF(COUNT(K78:AG78)=0,"",ROUND((F78+G78+H78+I78+J78)/10,2))</f>
        <v/>
      </c>
      <c r="F78" s="33">
        <f>IF(COUNT(K78:AG78)=0,"",(K78*10+L78*8+M78*7+N78*5)/3)</f>
        <v/>
      </c>
      <c r="G78" s="33">
        <f>IF(COUNT(K78:AG78)=0,"",(P78*8+Q78*7+R78*5+S78*5)/3)</f>
        <v/>
      </c>
      <c r="H78" s="33">
        <f>IF(COUNT(K78:AG78)=0,"",(U78*6+V78*6+W78*4+X78*3+Y78*3+Z78*3)/3)</f>
        <v/>
      </c>
      <c r="I78" s="33">
        <f>IF(COUNT(K78:AG78)=0,"",AB78*3+AC78*2+AD78*2+AE78*1)</f>
        <v/>
      </c>
      <c r="J78" s="33">
        <f>IF(COUNT(K78:AG78)=0,"",(AF78*5+AG78*5)/3)</f>
        <v/>
      </c>
      <c r="K78" s="52" t="n"/>
      <c r="L78" s="52" t="n"/>
      <c r="M78" s="52" t="n"/>
      <c r="N78" s="52" t="n"/>
      <c r="O78" s="53" t="n"/>
      <c r="P78" s="52" t="n"/>
      <c r="Q78" s="52" t="n"/>
      <c r="R78" s="52" t="n"/>
      <c r="S78" s="52" t="n"/>
      <c r="T78" s="53" t="n"/>
      <c r="U78" s="52" t="n"/>
      <c r="V78" s="52" t="n"/>
      <c r="W78" s="52" t="n"/>
      <c r="X78" s="52" t="n"/>
      <c r="Y78" s="52" t="n"/>
      <c r="Z78" s="52" t="n"/>
      <c r="AA78" s="53" t="n"/>
      <c r="AB78" s="52" t="n"/>
      <c r="AC78" s="52" t="n"/>
      <c r="AD78" s="52" t="n"/>
      <c r="AE78" s="52" t="n"/>
      <c r="AF78" s="52" t="n"/>
      <c r="AG78" s="52" t="n"/>
      <c r="AH78" s="53" t="n"/>
      <c r="AI78" s="53" t="n"/>
    </row>
    <row r="79" ht="14.25" customHeight="1" s="65">
      <c r="A79" s="53" t="n"/>
      <c r="B79" s="53" t="n"/>
      <c r="C79" s="53" t="n"/>
      <c r="D79" s="53" t="n"/>
      <c r="E79" s="32">
        <f>IF(COUNT(K79:AG79)=0,"",ROUND((F79+G79+H79+I79+J79)/10,2))</f>
        <v/>
      </c>
      <c r="F79" s="33">
        <f>IF(COUNT(K79:AG79)=0,"",(K79*10+L79*8+M79*7+N79*5)/3)</f>
        <v/>
      </c>
      <c r="G79" s="33">
        <f>IF(COUNT(K79:AG79)=0,"",(P79*8+Q79*7+R79*5+S79*5)/3)</f>
        <v/>
      </c>
      <c r="H79" s="33">
        <f>IF(COUNT(K79:AG79)=0,"",(U79*6+V79*6+W79*4+X79*3+Y79*3+Z79*3)/3)</f>
        <v/>
      </c>
      <c r="I79" s="33">
        <f>IF(COUNT(K79:AG79)=0,"",AB79*3+AC79*2+AD79*2+AE79*1)</f>
        <v/>
      </c>
      <c r="J79" s="33">
        <f>IF(COUNT(K79:AG79)=0,"",(AF79*5+AG79*5)/3)</f>
        <v/>
      </c>
      <c r="K79" s="52" t="n"/>
      <c r="L79" s="52" t="n"/>
      <c r="M79" s="52" t="n"/>
      <c r="N79" s="52" t="n"/>
      <c r="O79" s="53" t="n"/>
      <c r="P79" s="52" t="n"/>
      <c r="Q79" s="52" t="n"/>
      <c r="R79" s="52" t="n"/>
      <c r="S79" s="52" t="n"/>
      <c r="T79" s="53" t="n"/>
      <c r="U79" s="52" t="n"/>
      <c r="V79" s="52" t="n"/>
      <c r="W79" s="52" t="n"/>
      <c r="X79" s="52" t="n"/>
      <c r="Y79" s="52" t="n"/>
      <c r="Z79" s="52" t="n"/>
      <c r="AA79" s="53" t="n"/>
      <c r="AB79" s="52" t="n"/>
      <c r="AC79" s="52" t="n"/>
      <c r="AD79" s="52" t="n"/>
      <c r="AE79" s="52" t="n"/>
      <c r="AF79" s="52" t="n"/>
      <c r="AG79" s="52" t="n"/>
      <c r="AH79" s="53" t="n"/>
      <c r="AI79" s="53" t="n"/>
    </row>
    <row r="80" ht="14.25" customHeight="1" s="65">
      <c r="A80" s="53" t="n"/>
      <c r="B80" s="53" t="n"/>
      <c r="C80" s="53" t="n"/>
      <c r="D80" s="53" t="n"/>
      <c r="E80" s="32">
        <f>IF(COUNT(K80:AG80)=0,"",ROUND((F80+G80+H80+I80+J80)/10,2))</f>
        <v/>
      </c>
      <c r="F80" s="33">
        <f>IF(COUNT(K80:AG80)=0,"",(K80*10+L80*8+M80*7+N80*5)/3)</f>
        <v/>
      </c>
      <c r="G80" s="33">
        <f>IF(COUNT(K80:AG80)=0,"",(P80*8+Q80*7+R80*5+S80*5)/3)</f>
        <v/>
      </c>
      <c r="H80" s="33">
        <f>IF(COUNT(K80:AG80)=0,"",(U80*6+V80*6+W80*4+X80*3+Y80*3+Z80*3)/3)</f>
        <v/>
      </c>
      <c r="I80" s="33">
        <f>IF(COUNT(K80:AG80)=0,"",AB80*3+AC80*2+AD80*2+AE80*1)</f>
        <v/>
      </c>
      <c r="J80" s="33">
        <f>IF(COUNT(K80:AG80)=0,"",(AF80*5+AG80*5)/3)</f>
        <v/>
      </c>
      <c r="K80" s="52" t="n"/>
      <c r="L80" s="52" t="n"/>
      <c r="M80" s="52" t="n"/>
      <c r="N80" s="52" t="n"/>
      <c r="O80" s="53" t="n"/>
      <c r="P80" s="52" t="n"/>
      <c r="Q80" s="52" t="n"/>
      <c r="R80" s="52" t="n"/>
      <c r="S80" s="52" t="n"/>
      <c r="T80" s="53" t="n"/>
      <c r="U80" s="52" t="n"/>
      <c r="V80" s="52" t="n"/>
      <c r="W80" s="52" t="n"/>
      <c r="X80" s="52" t="n"/>
      <c r="Y80" s="52" t="n"/>
      <c r="Z80" s="52" t="n"/>
      <c r="AA80" s="53" t="n"/>
      <c r="AB80" s="52" t="n"/>
      <c r="AC80" s="52" t="n"/>
      <c r="AD80" s="52" t="n"/>
      <c r="AE80" s="52" t="n"/>
      <c r="AF80" s="52" t="n"/>
      <c r="AG80" s="52" t="n"/>
      <c r="AH80" s="53" t="n"/>
      <c r="AI80" s="53" t="n"/>
    </row>
    <row r="81" ht="14.25" customHeight="1" s="65">
      <c r="A81" s="53" t="n"/>
      <c r="B81" s="53" t="n"/>
      <c r="C81" s="53" t="n"/>
      <c r="D81" s="53" t="n"/>
      <c r="E81" s="32">
        <f>IF(COUNT(K81:AG81)=0,"",ROUND((F81+G81+H81+I81+J81)/10,2))</f>
        <v/>
      </c>
      <c r="F81" s="33">
        <f>IF(COUNT(K81:AG81)=0,"",(K81*10+L81*8+M81*7+N81*5)/3)</f>
        <v/>
      </c>
      <c r="G81" s="33">
        <f>IF(COUNT(K81:AG81)=0,"",(P81*8+Q81*7+R81*5+S81*5)/3)</f>
        <v/>
      </c>
      <c r="H81" s="33">
        <f>IF(COUNT(K81:AG81)=0,"",(U81*6+V81*6+W81*4+X81*3+Y81*3+Z81*3)/3)</f>
        <v/>
      </c>
      <c r="I81" s="33">
        <f>IF(COUNT(K81:AG81)=0,"",AB81*3+AC81*2+AD81*2+AE81*1)</f>
        <v/>
      </c>
      <c r="J81" s="33">
        <f>IF(COUNT(K81:AG81)=0,"",(AF81*5+AG81*5)/3)</f>
        <v/>
      </c>
      <c r="K81" s="52" t="n"/>
      <c r="L81" s="52" t="n"/>
      <c r="M81" s="52" t="n"/>
      <c r="N81" s="52" t="n"/>
      <c r="O81" s="53" t="n"/>
      <c r="P81" s="52" t="n"/>
      <c r="Q81" s="52" t="n"/>
      <c r="R81" s="52" t="n"/>
      <c r="S81" s="52" t="n"/>
      <c r="T81" s="53" t="n"/>
      <c r="U81" s="52" t="n"/>
      <c r="V81" s="52" t="n"/>
      <c r="W81" s="52" t="n"/>
      <c r="X81" s="52" t="n"/>
      <c r="Y81" s="52" t="n"/>
      <c r="Z81" s="52" t="n"/>
      <c r="AA81" s="53" t="n"/>
      <c r="AB81" s="52" t="n"/>
      <c r="AC81" s="52" t="n"/>
      <c r="AD81" s="52" t="n"/>
      <c r="AE81" s="52" t="n"/>
      <c r="AF81" s="52" t="n"/>
      <c r="AG81" s="52" t="n"/>
      <c r="AH81" s="53" t="n"/>
      <c r="AI81" s="53" t="n"/>
    </row>
    <row r="82" ht="14.25" customHeight="1" s="65">
      <c r="A82" s="53" t="n"/>
      <c r="B82" s="53" t="n"/>
      <c r="C82" s="53" t="n"/>
      <c r="D82" s="53" t="n"/>
      <c r="E82" s="32">
        <f>IF(COUNT(K82:AG82)=0,"",ROUND((F82+G82+H82+I82+J82)/10,2))</f>
        <v/>
      </c>
      <c r="F82" s="33">
        <f>IF(COUNT(K82:AG82)=0,"",(K82*10+L82*8+M82*7+N82*5)/3)</f>
        <v/>
      </c>
      <c r="G82" s="33">
        <f>IF(COUNT(K82:AG82)=0,"",(P82*8+Q82*7+R82*5+S82*5)/3)</f>
        <v/>
      </c>
      <c r="H82" s="33">
        <f>IF(COUNT(K82:AG82)=0,"",(U82*6+V82*6+W82*4+X82*3+Y82*3+Z82*3)/3)</f>
        <v/>
      </c>
      <c r="I82" s="33">
        <f>IF(COUNT(K82:AG82)=0,"",AB82*3+AC82*2+AD82*2+AE82*1)</f>
        <v/>
      </c>
      <c r="J82" s="33">
        <f>IF(COUNT(K82:AG82)=0,"",(AF82*5+AG82*5)/3)</f>
        <v/>
      </c>
      <c r="K82" s="52" t="n"/>
      <c r="L82" s="52" t="n"/>
      <c r="M82" s="52" t="n"/>
      <c r="N82" s="52" t="n"/>
      <c r="O82" s="53" t="n"/>
      <c r="P82" s="52" t="n"/>
      <c r="Q82" s="52" t="n"/>
      <c r="R82" s="52" t="n"/>
      <c r="S82" s="52" t="n"/>
      <c r="T82" s="53" t="n"/>
      <c r="U82" s="52" t="n"/>
      <c r="V82" s="52" t="n"/>
      <c r="W82" s="52" t="n"/>
      <c r="X82" s="52" t="n"/>
      <c r="Y82" s="52" t="n"/>
      <c r="Z82" s="52" t="n"/>
      <c r="AA82" s="53" t="n"/>
      <c r="AB82" s="52" t="n"/>
      <c r="AC82" s="52" t="n"/>
      <c r="AD82" s="52" t="n"/>
      <c r="AE82" s="52" t="n"/>
      <c r="AF82" s="52" t="n"/>
      <c r="AG82" s="52" t="n"/>
      <c r="AH82" s="53" t="n"/>
      <c r="AI82" s="53" t="n"/>
    </row>
    <row r="83" ht="14.25" customHeight="1" s="65">
      <c r="A83" s="53" t="n"/>
      <c r="B83" s="53" t="n"/>
      <c r="C83" s="53" t="n"/>
      <c r="D83" s="53" t="n"/>
      <c r="E83" s="32">
        <f>IF(COUNT(K83:AG83)=0,"",ROUND((F83+G83+H83+I83+J83)/10,2))</f>
        <v/>
      </c>
      <c r="F83" s="33">
        <f>IF(COUNT(K83:AG83)=0,"",(K83*10+L83*8+M83*7+N83*5)/3)</f>
        <v/>
      </c>
      <c r="G83" s="33">
        <f>IF(COUNT(K83:AG83)=0,"",(P83*8+Q83*7+R83*5+S83*5)/3)</f>
        <v/>
      </c>
      <c r="H83" s="33">
        <f>IF(COUNT(K83:AG83)=0,"",(U83*6+V83*6+W83*4+X83*3+Y83*3+Z83*3)/3)</f>
        <v/>
      </c>
      <c r="I83" s="33">
        <f>IF(COUNT(K83:AG83)=0,"",AB83*3+AC83*2+AD83*2+AE83*1)</f>
        <v/>
      </c>
      <c r="J83" s="33">
        <f>IF(COUNT(K83:AG83)=0,"",(AF83*5+AG83*5)/3)</f>
        <v/>
      </c>
      <c r="K83" s="52" t="n"/>
      <c r="L83" s="52" t="n"/>
      <c r="M83" s="52" t="n"/>
      <c r="N83" s="52" t="n"/>
      <c r="O83" s="53" t="n"/>
      <c r="P83" s="52" t="n"/>
      <c r="Q83" s="52" t="n"/>
      <c r="R83" s="52" t="n"/>
      <c r="S83" s="52" t="n"/>
      <c r="T83" s="53" t="n"/>
      <c r="U83" s="52" t="n"/>
      <c r="V83" s="52" t="n"/>
      <c r="W83" s="52" t="n"/>
      <c r="X83" s="52" t="n"/>
      <c r="Y83" s="52" t="n"/>
      <c r="Z83" s="52" t="n"/>
      <c r="AA83" s="53" t="n"/>
      <c r="AB83" s="52" t="n"/>
      <c r="AC83" s="52" t="n"/>
      <c r="AD83" s="52" t="n"/>
      <c r="AE83" s="52" t="n"/>
      <c r="AF83" s="52" t="n"/>
      <c r="AG83" s="52" t="n"/>
      <c r="AH83" s="53" t="n"/>
      <c r="AI83" s="53" t="n"/>
    </row>
    <row r="84" ht="14.25" customHeight="1" s="65">
      <c r="A84" s="53" t="n"/>
      <c r="B84" s="53" t="n"/>
      <c r="C84" s="53" t="n"/>
      <c r="D84" s="53" t="n"/>
      <c r="E84" s="32">
        <f>IF(COUNT(K84:AG84)=0,"",ROUND((F84+G84+H84+I84+J84)/10,2))</f>
        <v/>
      </c>
      <c r="F84" s="33">
        <f>IF(COUNT(K84:AG84)=0,"",(K84*10+L84*8+M84*7+N84*5)/3)</f>
        <v/>
      </c>
      <c r="G84" s="33">
        <f>IF(COUNT(K84:AG84)=0,"",(P84*8+Q84*7+R84*5+S84*5)/3)</f>
        <v/>
      </c>
      <c r="H84" s="33">
        <f>IF(COUNT(K84:AG84)=0,"",(U84*6+V84*6+W84*4+X84*3+Y84*3+Z84*3)/3)</f>
        <v/>
      </c>
      <c r="I84" s="33">
        <f>IF(COUNT(K84:AG84)=0,"",AB84*3+AC84*2+AD84*2+AE84*1)</f>
        <v/>
      </c>
      <c r="J84" s="33">
        <f>IF(COUNT(K84:AG84)=0,"",(AF84*5+AG84*5)/3)</f>
        <v/>
      </c>
      <c r="K84" s="52" t="n"/>
      <c r="L84" s="52" t="n"/>
      <c r="M84" s="52" t="n"/>
      <c r="N84" s="52" t="n"/>
      <c r="O84" s="53" t="n"/>
      <c r="P84" s="52" t="n"/>
      <c r="Q84" s="52" t="n"/>
      <c r="R84" s="52" t="n"/>
      <c r="S84" s="52" t="n"/>
      <c r="T84" s="53" t="n"/>
      <c r="U84" s="52" t="n"/>
      <c r="V84" s="52" t="n"/>
      <c r="W84" s="52" t="n"/>
      <c r="X84" s="52" t="n"/>
      <c r="Y84" s="52" t="n"/>
      <c r="Z84" s="52" t="n"/>
      <c r="AA84" s="53" t="n"/>
      <c r="AB84" s="52" t="n"/>
      <c r="AC84" s="52" t="n"/>
      <c r="AD84" s="52" t="n"/>
      <c r="AE84" s="52" t="n"/>
      <c r="AF84" s="52" t="n"/>
      <c r="AG84" s="52" t="n"/>
      <c r="AH84" s="53" t="n"/>
      <c r="AI84" s="53" t="n"/>
    </row>
    <row r="85" ht="14.25" customHeight="1" s="65">
      <c r="A85" s="53" t="n"/>
      <c r="B85" s="53" t="n"/>
      <c r="C85" s="53" t="n"/>
      <c r="D85" s="53" t="n"/>
      <c r="E85" s="32">
        <f>IF(COUNT(K85:AG85)=0,"",ROUND((F85+G85+H85+I85+J85)/10,2))</f>
        <v/>
      </c>
      <c r="F85" s="33">
        <f>IF(COUNT(K85:AG85)=0,"",(K85*10+L85*8+M85*7+N85*5)/3)</f>
        <v/>
      </c>
      <c r="G85" s="33">
        <f>IF(COUNT(K85:AG85)=0,"",(P85*8+Q85*7+R85*5+S85*5)/3)</f>
        <v/>
      </c>
      <c r="H85" s="33">
        <f>IF(COUNT(K85:AG85)=0,"",(U85*6+V85*6+W85*4+X85*3+Y85*3+Z85*3)/3)</f>
        <v/>
      </c>
      <c r="I85" s="33">
        <f>IF(COUNT(K85:AG85)=0,"",AB85*3+AC85*2+AD85*2+AE85*1)</f>
        <v/>
      </c>
      <c r="J85" s="33">
        <f>IF(COUNT(K85:AG85)=0,"",(AF85*5+AG85*5)/3)</f>
        <v/>
      </c>
      <c r="K85" s="52" t="n"/>
      <c r="L85" s="52" t="n"/>
      <c r="M85" s="52" t="n"/>
      <c r="N85" s="52" t="n"/>
      <c r="O85" s="53" t="n"/>
      <c r="P85" s="52" t="n"/>
      <c r="Q85" s="52" t="n"/>
      <c r="R85" s="52" t="n"/>
      <c r="S85" s="52" t="n"/>
      <c r="T85" s="53" t="n"/>
      <c r="U85" s="52" t="n"/>
      <c r="V85" s="52" t="n"/>
      <c r="W85" s="52" t="n"/>
      <c r="X85" s="52" t="n"/>
      <c r="Y85" s="52" t="n"/>
      <c r="Z85" s="52" t="n"/>
      <c r="AA85" s="53" t="n"/>
      <c r="AB85" s="52" t="n"/>
      <c r="AC85" s="52" t="n"/>
      <c r="AD85" s="52" t="n"/>
      <c r="AE85" s="52" t="n"/>
      <c r="AF85" s="52" t="n"/>
      <c r="AG85" s="52" t="n"/>
      <c r="AH85" s="53" t="n"/>
      <c r="AI85" s="53" t="n"/>
    </row>
    <row r="86" ht="14.25" customHeight="1" s="65">
      <c r="A86" s="53" t="n"/>
      <c r="B86" s="53" t="n"/>
      <c r="C86" s="53" t="n"/>
      <c r="D86" s="53" t="n"/>
      <c r="E86" s="32">
        <f>IF(COUNT(K86:AG86)=0,"",ROUND((F86+G86+H86+I86+J86)/10,2))</f>
        <v/>
      </c>
      <c r="F86" s="33">
        <f>IF(COUNT(K86:AG86)=0,"",(K86*10+L86*8+M86*7+N86*5)/3)</f>
        <v/>
      </c>
      <c r="G86" s="33">
        <f>IF(COUNT(K86:AG86)=0,"",(P86*8+Q86*7+R86*5+S86*5)/3)</f>
        <v/>
      </c>
      <c r="H86" s="33">
        <f>IF(COUNT(K86:AG86)=0,"",(U86*6+V86*6+W86*4+X86*3+Y86*3+Z86*3)/3)</f>
        <v/>
      </c>
      <c r="I86" s="33">
        <f>IF(COUNT(K86:AG86)=0,"",AB86*3+AC86*2+AD86*2+AE86*1)</f>
        <v/>
      </c>
      <c r="J86" s="33">
        <f>IF(COUNT(K86:AG86)=0,"",(AF86*5+AG86*5)/3)</f>
        <v/>
      </c>
      <c r="K86" s="52" t="n"/>
      <c r="L86" s="52" t="n"/>
      <c r="M86" s="52" t="n"/>
      <c r="N86" s="52" t="n"/>
      <c r="O86" s="53" t="n"/>
      <c r="P86" s="52" t="n"/>
      <c r="Q86" s="52" t="n"/>
      <c r="R86" s="52" t="n"/>
      <c r="S86" s="52" t="n"/>
      <c r="T86" s="53" t="n"/>
      <c r="U86" s="52" t="n"/>
      <c r="V86" s="52" t="n"/>
      <c r="W86" s="52" t="n"/>
      <c r="X86" s="52" t="n"/>
      <c r="Y86" s="52" t="n"/>
      <c r="Z86" s="52" t="n"/>
      <c r="AA86" s="53" t="n"/>
      <c r="AB86" s="52" t="n"/>
      <c r="AC86" s="52" t="n"/>
      <c r="AD86" s="52" t="n"/>
      <c r="AE86" s="52" t="n"/>
      <c r="AF86" s="52" t="n"/>
      <c r="AG86" s="52" t="n"/>
      <c r="AH86" s="53" t="n"/>
      <c r="AI86" s="53" t="n"/>
    </row>
    <row r="87" ht="14.25" customHeight="1" s="65">
      <c r="A87" s="53" t="n"/>
      <c r="B87" s="53" t="n"/>
      <c r="C87" s="53" t="n"/>
      <c r="D87" s="53" t="n"/>
      <c r="E87" s="32">
        <f>IF(COUNT(K87:AG87)=0,"",ROUND((F87+G87+H87+I87+J87)/10,2))</f>
        <v/>
      </c>
      <c r="F87" s="33">
        <f>IF(COUNT(K87:AG87)=0,"",(K87*10+L87*8+M87*7+N87*5)/3)</f>
        <v/>
      </c>
      <c r="G87" s="33">
        <f>IF(COUNT(K87:AG87)=0,"",(P87*8+Q87*7+R87*5+S87*5)/3)</f>
        <v/>
      </c>
      <c r="H87" s="33">
        <f>IF(COUNT(K87:AG87)=0,"",(U87*6+V87*6+W87*4+X87*3+Y87*3+Z87*3)/3)</f>
        <v/>
      </c>
      <c r="I87" s="33">
        <f>IF(COUNT(K87:AG87)=0,"",AB87*3+AC87*2+AD87*2+AE87*1)</f>
        <v/>
      </c>
      <c r="J87" s="33">
        <f>IF(COUNT(K87:AG87)=0,"",(AF87*5+AG87*5)/3)</f>
        <v/>
      </c>
      <c r="K87" s="52" t="n"/>
      <c r="L87" s="52" t="n"/>
      <c r="M87" s="52" t="n"/>
      <c r="N87" s="52" t="n"/>
      <c r="O87" s="53" t="n"/>
      <c r="P87" s="52" t="n"/>
      <c r="Q87" s="52" t="n"/>
      <c r="R87" s="52" t="n"/>
      <c r="S87" s="52" t="n"/>
      <c r="T87" s="53" t="n"/>
      <c r="U87" s="52" t="n"/>
      <c r="V87" s="52" t="n"/>
      <c r="W87" s="52" t="n"/>
      <c r="X87" s="52" t="n"/>
      <c r="Y87" s="52" t="n"/>
      <c r="Z87" s="52" t="n"/>
      <c r="AA87" s="53" t="n"/>
      <c r="AB87" s="52" t="n"/>
      <c r="AC87" s="52" t="n"/>
      <c r="AD87" s="52" t="n"/>
      <c r="AE87" s="52" t="n"/>
      <c r="AF87" s="52" t="n"/>
      <c r="AG87" s="52" t="n"/>
      <c r="AH87" s="53" t="n"/>
      <c r="AI87" s="53" t="n"/>
    </row>
    <row r="88" ht="14.25" customHeight="1" s="65">
      <c r="A88" s="53" t="n"/>
      <c r="B88" s="53" t="n"/>
      <c r="C88" s="53" t="n"/>
      <c r="D88" s="53" t="n"/>
      <c r="E88" s="32">
        <f>IF(COUNT(K88:AG88)=0,"",ROUND((F88+G88+H88+I88+J88)/10,2))</f>
        <v/>
      </c>
      <c r="F88" s="33">
        <f>IF(COUNT(K88:AG88)=0,"",(K88*10+L88*8+M88*7+N88*5)/3)</f>
        <v/>
      </c>
      <c r="G88" s="33">
        <f>IF(COUNT(K88:AG88)=0,"",(P88*8+Q88*7+R88*5+S88*5)/3)</f>
        <v/>
      </c>
      <c r="H88" s="33">
        <f>IF(COUNT(K88:AG88)=0,"",(U88*6+V88*6+W88*4+X88*3+Y88*3+Z88*3)/3)</f>
        <v/>
      </c>
      <c r="I88" s="33">
        <f>IF(COUNT(K88:AG88)=0,"",AB88*3+AC88*2+AD88*2+AE88*1)</f>
        <v/>
      </c>
      <c r="J88" s="33">
        <f>IF(COUNT(K88:AG88)=0,"",(AF88*5+AG88*5)/3)</f>
        <v/>
      </c>
      <c r="K88" s="52" t="n"/>
      <c r="L88" s="52" t="n"/>
      <c r="M88" s="52" t="n"/>
      <c r="N88" s="52" t="n"/>
      <c r="O88" s="53" t="n"/>
      <c r="P88" s="52" t="n"/>
      <c r="Q88" s="52" t="n"/>
      <c r="R88" s="52" t="n"/>
      <c r="S88" s="52" t="n"/>
      <c r="T88" s="53" t="n"/>
      <c r="U88" s="52" t="n"/>
      <c r="V88" s="52" t="n"/>
      <c r="W88" s="52" t="n"/>
      <c r="X88" s="52" t="n"/>
      <c r="Y88" s="52" t="n"/>
      <c r="Z88" s="52" t="n"/>
      <c r="AA88" s="53" t="n"/>
      <c r="AB88" s="52" t="n"/>
      <c r="AC88" s="52" t="n"/>
      <c r="AD88" s="52" t="n"/>
      <c r="AE88" s="52" t="n"/>
      <c r="AF88" s="52" t="n"/>
      <c r="AG88" s="52" t="n"/>
      <c r="AH88" s="53" t="n"/>
      <c r="AI88" s="53" t="n"/>
    </row>
    <row r="89" ht="14.25" customHeight="1" s="65">
      <c r="A89" s="53" t="n"/>
      <c r="B89" s="53" t="n"/>
      <c r="C89" s="53" t="n"/>
      <c r="D89" s="53" t="n"/>
      <c r="E89" s="32">
        <f>IF(COUNT(K89:AG89)=0,"",ROUND((F89+G89+H89+I89+J89)/10,2))</f>
        <v/>
      </c>
      <c r="F89" s="33">
        <f>IF(COUNT(K89:AG89)=0,"",(K89*10+L89*8+M89*7+N89*5)/3)</f>
        <v/>
      </c>
      <c r="G89" s="33">
        <f>IF(COUNT(K89:AG89)=0,"",(P89*8+Q89*7+R89*5+S89*5)/3)</f>
        <v/>
      </c>
      <c r="H89" s="33">
        <f>IF(COUNT(K89:AG89)=0,"",(U89*6+V89*6+W89*4+X89*3+Y89*3+Z89*3)/3)</f>
        <v/>
      </c>
      <c r="I89" s="33">
        <f>IF(COUNT(K89:AG89)=0,"",AB89*3+AC89*2+AD89*2+AE89*1)</f>
        <v/>
      </c>
      <c r="J89" s="33">
        <f>IF(COUNT(K89:AG89)=0,"",(AF89*5+AG89*5)/3)</f>
        <v/>
      </c>
      <c r="K89" s="52" t="n"/>
      <c r="L89" s="52" t="n"/>
      <c r="M89" s="52" t="n"/>
      <c r="N89" s="52" t="n"/>
      <c r="O89" s="53" t="n"/>
      <c r="P89" s="52" t="n"/>
      <c r="Q89" s="52" t="n"/>
      <c r="R89" s="52" t="n"/>
      <c r="S89" s="52" t="n"/>
      <c r="T89" s="53" t="n"/>
      <c r="U89" s="52" t="n"/>
      <c r="V89" s="52" t="n"/>
      <c r="W89" s="52" t="n"/>
      <c r="X89" s="52" t="n"/>
      <c r="Y89" s="52" t="n"/>
      <c r="Z89" s="52" t="n"/>
      <c r="AA89" s="53" t="n"/>
      <c r="AB89" s="52" t="n"/>
      <c r="AC89" s="52" t="n"/>
      <c r="AD89" s="52" t="n"/>
      <c r="AE89" s="52" t="n"/>
      <c r="AF89" s="52" t="n"/>
      <c r="AG89" s="52" t="n"/>
      <c r="AH89" s="53" t="n"/>
      <c r="AI89" s="53" t="n"/>
    </row>
    <row r="90" ht="14.25" customHeight="1" s="65">
      <c r="A90" s="53" t="n"/>
      <c r="B90" s="53" t="n"/>
      <c r="C90" s="53" t="n"/>
      <c r="D90" s="53" t="n"/>
      <c r="E90" s="32">
        <f>IF(COUNT(K90:AG90)=0,"",ROUND((F90+G90+H90+I90+J90)/10,2))</f>
        <v/>
      </c>
      <c r="F90" s="33">
        <f>IF(COUNT(K90:AG90)=0,"",(K90*10+L90*8+M90*7+N90*5)/3)</f>
        <v/>
      </c>
      <c r="G90" s="33">
        <f>IF(COUNT(K90:AG90)=0,"",(P90*8+Q90*7+R90*5+S90*5)/3)</f>
        <v/>
      </c>
      <c r="H90" s="33">
        <f>IF(COUNT(K90:AG90)=0,"",(U90*6+V90*6+W90*4+X90*3+Y90*3+Z90*3)/3)</f>
        <v/>
      </c>
      <c r="I90" s="33">
        <f>IF(COUNT(K90:AG90)=0,"",AB90*3+AC90*2+AD90*2+AE90*1)</f>
        <v/>
      </c>
      <c r="J90" s="33">
        <f>IF(COUNT(K90:AG90)=0,"",(AF90*5+AG90*5)/3)</f>
        <v/>
      </c>
      <c r="K90" s="52" t="n"/>
      <c r="L90" s="52" t="n"/>
      <c r="M90" s="52" t="n"/>
      <c r="N90" s="52" t="n"/>
      <c r="O90" s="53" t="n"/>
      <c r="P90" s="52" t="n"/>
      <c r="Q90" s="52" t="n"/>
      <c r="R90" s="52" t="n"/>
      <c r="S90" s="52" t="n"/>
      <c r="T90" s="53" t="n"/>
      <c r="U90" s="52" t="n"/>
      <c r="V90" s="52" t="n"/>
      <c r="W90" s="52" t="n"/>
      <c r="X90" s="52" t="n"/>
      <c r="Y90" s="52" t="n"/>
      <c r="Z90" s="52" t="n"/>
      <c r="AA90" s="53" t="n"/>
      <c r="AB90" s="52" t="n"/>
      <c r="AC90" s="52" t="n"/>
      <c r="AD90" s="52" t="n"/>
      <c r="AE90" s="52" t="n"/>
      <c r="AF90" s="52" t="n"/>
      <c r="AG90" s="52" t="n"/>
      <c r="AH90" s="53" t="n"/>
      <c r="AI90" s="53" t="n"/>
    </row>
    <row r="91" ht="14.25" customHeight="1" s="65">
      <c r="A91" s="53" t="n"/>
      <c r="B91" s="53" t="n"/>
      <c r="C91" s="53" t="n"/>
      <c r="D91" s="53" t="n"/>
      <c r="E91" s="32">
        <f>IF(COUNT(K91:AG91)=0,"",ROUND((F91+G91+H91+I91+J91)/10,2))</f>
        <v/>
      </c>
      <c r="F91" s="33">
        <f>IF(COUNT(K91:AG91)=0,"",(K91*10+L91*8+M91*7+N91*5)/3)</f>
        <v/>
      </c>
      <c r="G91" s="33">
        <f>IF(COUNT(K91:AG91)=0,"",(P91*8+Q91*7+R91*5+S91*5)/3)</f>
        <v/>
      </c>
      <c r="H91" s="33">
        <f>IF(COUNT(K91:AG91)=0,"",(U91*6+V91*6+W91*4+X91*3+Y91*3+Z91*3)/3)</f>
        <v/>
      </c>
      <c r="I91" s="33">
        <f>IF(COUNT(K91:AG91)=0,"",AB91*3+AC91*2+AD91*2+AE91*1)</f>
        <v/>
      </c>
      <c r="J91" s="33">
        <f>IF(COUNT(K91:AG91)=0,"",(AF91*5+AG91*5)/3)</f>
        <v/>
      </c>
      <c r="K91" s="52" t="n"/>
      <c r="L91" s="52" t="n"/>
      <c r="M91" s="52" t="n"/>
      <c r="N91" s="52" t="n"/>
      <c r="O91" s="53" t="n"/>
      <c r="P91" s="52" t="n"/>
      <c r="Q91" s="52" t="n"/>
      <c r="R91" s="52" t="n"/>
      <c r="S91" s="52" t="n"/>
      <c r="T91" s="53" t="n"/>
      <c r="U91" s="52" t="n"/>
      <c r="V91" s="52" t="n"/>
      <c r="W91" s="52" t="n"/>
      <c r="X91" s="52" t="n"/>
      <c r="Y91" s="52" t="n"/>
      <c r="Z91" s="52" t="n"/>
      <c r="AA91" s="53" t="n"/>
      <c r="AB91" s="52" t="n"/>
      <c r="AC91" s="52" t="n"/>
      <c r="AD91" s="52" t="n"/>
      <c r="AE91" s="52" t="n"/>
      <c r="AF91" s="52" t="n"/>
      <c r="AG91" s="52" t="n"/>
      <c r="AH91" s="53" t="n"/>
      <c r="AI91" s="53" t="n"/>
    </row>
    <row r="92" ht="14.25" customHeight="1" s="65">
      <c r="A92" s="53" t="n"/>
      <c r="B92" s="53" t="n"/>
      <c r="C92" s="53" t="n"/>
      <c r="D92" s="53" t="n"/>
      <c r="E92" s="32">
        <f>IF(COUNT(K92:AG92)=0,"",ROUND((F92+G92+H92+I92+J92)/10,2))</f>
        <v/>
      </c>
      <c r="F92" s="33">
        <f>IF(COUNT(K92:AG92)=0,"",(K92*10+L92*8+M92*7+N92*5)/3)</f>
        <v/>
      </c>
      <c r="G92" s="33">
        <f>IF(COUNT(K92:AG92)=0,"",(P92*8+Q92*7+R92*5+S92*5)/3)</f>
        <v/>
      </c>
      <c r="H92" s="33">
        <f>IF(COUNT(K92:AG92)=0,"",(U92*6+V92*6+W92*4+X92*3+Y92*3+Z92*3)/3)</f>
        <v/>
      </c>
      <c r="I92" s="33">
        <f>IF(COUNT(K92:AG92)=0,"",AB92*3+AC92*2+AD92*2+AE92*1)</f>
        <v/>
      </c>
      <c r="J92" s="33">
        <f>IF(COUNT(K92:AG92)=0,"",(AF92*5+AG92*5)/3)</f>
        <v/>
      </c>
      <c r="K92" s="52" t="n"/>
      <c r="L92" s="52" t="n"/>
      <c r="M92" s="52" t="n"/>
      <c r="N92" s="52" t="n"/>
      <c r="O92" s="53" t="n"/>
      <c r="P92" s="52" t="n"/>
      <c r="Q92" s="52" t="n"/>
      <c r="R92" s="52" t="n"/>
      <c r="S92" s="52" t="n"/>
      <c r="T92" s="53" t="n"/>
      <c r="U92" s="52" t="n"/>
      <c r="V92" s="52" t="n"/>
      <c r="W92" s="52" t="n"/>
      <c r="X92" s="52" t="n"/>
      <c r="Y92" s="52" t="n"/>
      <c r="Z92" s="52" t="n"/>
      <c r="AA92" s="53" t="n"/>
      <c r="AB92" s="52" t="n"/>
      <c r="AC92" s="52" t="n"/>
      <c r="AD92" s="52" t="n"/>
      <c r="AE92" s="52" t="n"/>
      <c r="AF92" s="52" t="n"/>
      <c r="AG92" s="52" t="n"/>
      <c r="AH92" s="53" t="n"/>
      <c r="AI92" s="53" t="n"/>
    </row>
    <row r="93" ht="14.25" customHeight="1" s="65">
      <c r="A93" s="53" t="n"/>
      <c r="B93" s="53" t="n"/>
      <c r="C93" s="53" t="n"/>
      <c r="D93" s="53" t="n"/>
      <c r="E93" s="32">
        <f>IF(COUNT(K93:AG93)=0,"",ROUND((F93+G93+H93+I93+J93)/10,2))</f>
        <v/>
      </c>
      <c r="F93" s="33">
        <f>IF(COUNT(K93:AG93)=0,"",(K93*10+L93*8+M93*7+N93*5)/3)</f>
        <v/>
      </c>
      <c r="G93" s="33">
        <f>IF(COUNT(K93:AG93)=0,"",(P93*8+Q93*7+R93*5+S93*5)/3)</f>
        <v/>
      </c>
      <c r="H93" s="33">
        <f>IF(COUNT(K93:AG93)=0,"",(U93*6+V93*6+W93*4+X93*3+Y93*3+Z93*3)/3)</f>
        <v/>
      </c>
      <c r="I93" s="33">
        <f>IF(COUNT(K93:AG93)=0,"",AB93*3+AC93*2+AD93*2+AE93*1)</f>
        <v/>
      </c>
      <c r="J93" s="33">
        <f>IF(COUNT(K93:AG93)=0,"",(AF93*5+AG93*5)/3)</f>
        <v/>
      </c>
      <c r="K93" s="52" t="n"/>
      <c r="L93" s="52" t="n"/>
      <c r="M93" s="52" t="n"/>
      <c r="N93" s="52" t="n"/>
      <c r="O93" s="53" t="n"/>
      <c r="P93" s="52" t="n"/>
      <c r="Q93" s="52" t="n"/>
      <c r="R93" s="52" t="n"/>
      <c r="S93" s="52" t="n"/>
      <c r="T93" s="53" t="n"/>
      <c r="U93" s="52" t="n"/>
      <c r="V93" s="52" t="n"/>
      <c r="W93" s="52" t="n"/>
      <c r="X93" s="52" t="n"/>
      <c r="Y93" s="52" t="n"/>
      <c r="Z93" s="52" t="n"/>
      <c r="AA93" s="53" t="n"/>
      <c r="AB93" s="52" t="n"/>
      <c r="AC93" s="52" t="n"/>
      <c r="AD93" s="52" t="n"/>
      <c r="AE93" s="52" t="n"/>
      <c r="AF93" s="52" t="n"/>
      <c r="AG93" s="52" t="n"/>
      <c r="AH93" s="53" t="n"/>
      <c r="AI93" s="53" t="n"/>
    </row>
    <row r="94" ht="14.25" customHeight="1" s="65">
      <c r="A94" s="53" t="n"/>
      <c r="B94" s="53" t="n"/>
      <c r="C94" s="53" t="n"/>
      <c r="D94" s="53" t="n"/>
      <c r="E94" s="32">
        <f>IF(COUNT(K94:AG94)=0,"",ROUND((F94+G94+H94+I94+J94)/10,2))</f>
        <v/>
      </c>
      <c r="F94" s="33">
        <f>IF(COUNT(K94:AG94)=0,"",(K94*10+L94*8+M94*7+N94*5)/3)</f>
        <v/>
      </c>
      <c r="G94" s="33">
        <f>IF(COUNT(K94:AG94)=0,"",(P94*8+Q94*7+R94*5+S94*5)/3)</f>
        <v/>
      </c>
      <c r="H94" s="33">
        <f>IF(COUNT(K94:AG94)=0,"",(U94*6+V94*6+W94*4+X94*3+Y94*3+Z94*3)/3)</f>
        <v/>
      </c>
      <c r="I94" s="33">
        <f>IF(COUNT(K94:AG94)=0,"",AB94*3+AC94*2+AD94*2+AE94*1)</f>
        <v/>
      </c>
      <c r="J94" s="33">
        <f>IF(COUNT(K94:AG94)=0,"",(AF94*5+AG94*5)/3)</f>
        <v/>
      </c>
      <c r="K94" s="52" t="n"/>
      <c r="L94" s="52" t="n"/>
      <c r="M94" s="52" t="n"/>
      <c r="N94" s="52" t="n"/>
      <c r="O94" s="53" t="n"/>
      <c r="P94" s="52" t="n"/>
      <c r="Q94" s="52" t="n"/>
      <c r="R94" s="52" t="n"/>
      <c r="S94" s="52" t="n"/>
      <c r="T94" s="53" t="n"/>
      <c r="U94" s="52" t="n"/>
      <c r="V94" s="52" t="n"/>
      <c r="W94" s="52" t="n"/>
      <c r="X94" s="52" t="n"/>
      <c r="Y94" s="52" t="n"/>
      <c r="Z94" s="52" t="n"/>
      <c r="AA94" s="53" t="n"/>
      <c r="AB94" s="52" t="n"/>
      <c r="AC94" s="52" t="n"/>
      <c r="AD94" s="52" t="n"/>
      <c r="AE94" s="52" t="n"/>
      <c r="AF94" s="52" t="n"/>
      <c r="AG94" s="52" t="n"/>
      <c r="AH94" s="53" t="n"/>
      <c r="AI94" s="53" t="n"/>
    </row>
    <row r="95" ht="14.25" customHeight="1" s="65">
      <c r="A95" s="53" t="n"/>
      <c r="B95" s="53" t="n"/>
      <c r="C95" s="53" t="n"/>
      <c r="D95" s="53" t="n"/>
      <c r="E95" s="32">
        <f>IF(COUNT(K95:AG95)=0,"",ROUND((F95+G95+H95+I95+J95)/10,2))</f>
        <v/>
      </c>
      <c r="F95" s="33">
        <f>IF(COUNT(K95:AG95)=0,"",(K95*10+L95*8+M95*7+N95*5)/3)</f>
        <v/>
      </c>
      <c r="G95" s="33">
        <f>IF(COUNT(K95:AG95)=0,"",(P95*8+Q95*7+R95*5+S95*5)/3)</f>
        <v/>
      </c>
      <c r="H95" s="33">
        <f>IF(COUNT(K95:AG95)=0,"",(U95*6+V95*6+W95*4+X95*3+Y95*3+Z95*3)/3)</f>
        <v/>
      </c>
      <c r="I95" s="33">
        <f>IF(COUNT(K95:AG95)=0,"",AB95*3+AC95*2+AD95*2+AE95*1)</f>
        <v/>
      </c>
      <c r="J95" s="33">
        <f>IF(COUNT(K95:AG95)=0,"",(AF95*5+AG95*5)/3)</f>
        <v/>
      </c>
      <c r="K95" s="52" t="n"/>
      <c r="L95" s="52" t="n"/>
      <c r="M95" s="52" t="n"/>
      <c r="N95" s="52" t="n"/>
      <c r="O95" s="53" t="n"/>
      <c r="P95" s="52" t="n"/>
      <c r="Q95" s="52" t="n"/>
      <c r="R95" s="52" t="n"/>
      <c r="S95" s="52" t="n"/>
      <c r="T95" s="53" t="n"/>
      <c r="U95" s="52" t="n"/>
      <c r="V95" s="52" t="n"/>
      <c r="W95" s="52" t="n"/>
      <c r="X95" s="52" t="n"/>
      <c r="Y95" s="52" t="n"/>
      <c r="Z95" s="52" t="n"/>
      <c r="AA95" s="53" t="n"/>
      <c r="AB95" s="52" t="n"/>
      <c r="AC95" s="52" t="n"/>
      <c r="AD95" s="52" t="n"/>
      <c r="AE95" s="52" t="n"/>
      <c r="AF95" s="52" t="n"/>
      <c r="AG95" s="52" t="n"/>
      <c r="AH95" s="53" t="n"/>
      <c r="AI95" s="53" t="n"/>
    </row>
    <row r="96" ht="14.25" customHeight="1" s="65">
      <c r="A96" s="53" t="n"/>
      <c r="B96" s="53" t="n"/>
      <c r="C96" s="53" t="n"/>
      <c r="D96" s="53" t="n"/>
      <c r="E96" s="32">
        <f>IF(COUNT(K96:AG96)=0,"",ROUND((F96+G96+H96+I96+J96)/10,2))</f>
        <v/>
      </c>
      <c r="F96" s="33">
        <f>IF(COUNT(K96:AG96)=0,"",(K96*10+L96*8+M96*7+N96*5)/3)</f>
        <v/>
      </c>
      <c r="G96" s="33">
        <f>IF(COUNT(K96:AG96)=0,"",(P96*8+Q96*7+R96*5+S96*5)/3)</f>
        <v/>
      </c>
      <c r="H96" s="33">
        <f>IF(COUNT(K96:AG96)=0,"",(U96*6+V96*6+W96*4+X96*3+Y96*3+Z96*3)/3)</f>
        <v/>
      </c>
      <c r="I96" s="33">
        <f>IF(COUNT(K96:AG96)=0,"",AB96*3+AC96*2+AD96*2+AE96*1)</f>
        <v/>
      </c>
      <c r="J96" s="33">
        <f>IF(COUNT(K96:AG96)=0,"",(AF96*5+AG96*5)/3)</f>
        <v/>
      </c>
      <c r="K96" s="52" t="n"/>
      <c r="L96" s="52" t="n"/>
      <c r="M96" s="52" t="n"/>
      <c r="N96" s="52" t="n"/>
      <c r="O96" s="53" t="n"/>
      <c r="P96" s="52" t="n"/>
      <c r="Q96" s="52" t="n"/>
      <c r="R96" s="52" t="n"/>
      <c r="S96" s="52" t="n"/>
      <c r="T96" s="53" t="n"/>
      <c r="U96" s="52" t="n"/>
      <c r="V96" s="52" t="n"/>
      <c r="W96" s="52" t="n"/>
      <c r="X96" s="52" t="n"/>
      <c r="Y96" s="52" t="n"/>
      <c r="Z96" s="52" t="n"/>
      <c r="AA96" s="53" t="n"/>
      <c r="AB96" s="52" t="n"/>
      <c r="AC96" s="52" t="n"/>
      <c r="AD96" s="52" t="n"/>
      <c r="AE96" s="52" t="n"/>
      <c r="AF96" s="52" t="n"/>
      <c r="AG96" s="52" t="n"/>
      <c r="AH96" s="53" t="n"/>
      <c r="AI96" s="53" t="n"/>
    </row>
    <row r="97" ht="14.25" customHeight="1" s="65">
      <c r="A97" s="53" t="n"/>
      <c r="B97" s="53" t="n"/>
      <c r="C97" s="53" t="n"/>
      <c r="D97" s="53" t="n"/>
      <c r="E97" s="32">
        <f>IF(COUNT(K97:AG97)=0,"",ROUND((F97+G97+H97+I97+J97)/10,2))</f>
        <v/>
      </c>
      <c r="F97" s="33">
        <f>IF(COUNT(K97:AG97)=0,"",(K97*10+L97*8+M97*7+N97*5)/3)</f>
        <v/>
      </c>
      <c r="G97" s="33">
        <f>IF(COUNT(K97:AG97)=0,"",(P97*8+Q97*7+R97*5+S97*5)/3)</f>
        <v/>
      </c>
      <c r="H97" s="33">
        <f>IF(COUNT(K97:AG97)=0,"",(U97*6+V97*6+W97*4+X97*3+Y97*3+Z97*3)/3)</f>
        <v/>
      </c>
      <c r="I97" s="33">
        <f>IF(COUNT(K97:AG97)=0,"",AB97*3+AC97*2+AD97*2+AE97*1)</f>
        <v/>
      </c>
      <c r="J97" s="33">
        <f>IF(COUNT(K97:AG97)=0,"",(AF97*5+AG97*5)/3)</f>
        <v/>
      </c>
      <c r="K97" s="52" t="n"/>
      <c r="L97" s="52" t="n"/>
      <c r="M97" s="52" t="n"/>
      <c r="N97" s="52" t="n"/>
      <c r="O97" s="53" t="n"/>
      <c r="P97" s="52" t="n"/>
      <c r="Q97" s="52" t="n"/>
      <c r="R97" s="52" t="n"/>
      <c r="S97" s="52" t="n"/>
      <c r="T97" s="53" t="n"/>
      <c r="U97" s="52" t="n"/>
      <c r="V97" s="52" t="n"/>
      <c r="W97" s="52" t="n"/>
      <c r="X97" s="52" t="n"/>
      <c r="Y97" s="52" t="n"/>
      <c r="Z97" s="52" t="n"/>
      <c r="AA97" s="53" t="n"/>
      <c r="AB97" s="52" t="n"/>
      <c r="AC97" s="52" t="n"/>
      <c r="AD97" s="52" t="n"/>
      <c r="AE97" s="52" t="n"/>
      <c r="AF97" s="52" t="n"/>
      <c r="AG97" s="52" t="n"/>
      <c r="AH97" s="53" t="n"/>
      <c r="AI97" s="53" t="n"/>
    </row>
    <row r="98" ht="14.25" customHeight="1" s="65">
      <c r="A98" s="53" t="n"/>
      <c r="B98" s="53" t="n"/>
      <c r="C98" s="53" t="n"/>
      <c r="D98" s="53" t="n"/>
      <c r="E98" s="32">
        <f>IF(COUNT(K98:AG98)=0,"",ROUND((F98+G98+H98+I98+J98)/10,2))</f>
        <v/>
      </c>
      <c r="F98" s="33">
        <f>IF(COUNT(K98:AG98)=0,"",(K98*10+L98*8+M98*7+N98*5)/3)</f>
        <v/>
      </c>
      <c r="G98" s="33">
        <f>IF(COUNT(K98:AG98)=0,"",(P98*8+Q98*7+R98*5+S98*5)/3)</f>
        <v/>
      </c>
      <c r="H98" s="33">
        <f>IF(COUNT(K98:AG98)=0,"",(U98*6+V98*6+W98*4+X98*3+Y98*3+Z98*3)/3)</f>
        <v/>
      </c>
      <c r="I98" s="33">
        <f>IF(COUNT(K98:AG98)=0,"",AB98*3+AC98*2+AD98*2+AE98*1)</f>
        <v/>
      </c>
      <c r="J98" s="33">
        <f>IF(COUNT(K98:AG98)=0,"",(AF98*5+AG98*5)/3)</f>
        <v/>
      </c>
      <c r="K98" s="52" t="n"/>
      <c r="L98" s="52" t="n"/>
      <c r="M98" s="52" t="n"/>
      <c r="N98" s="52" t="n"/>
      <c r="O98" s="53" t="n"/>
      <c r="P98" s="52" t="n"/>
      <c r="Q98" s="52" t="n"/>
      <c r="R98" s="52" t="n"/>
      <c r="S98" s="52" t="n"/>
      <c r="T98" s="53" t="n"/>
      <c r="U98" s="52" t="n"/>
      <c r="V98" s="52" t="n"/>
      <c r="W98" s="52" t="n"/>
      <c r="X98" s="52" t="n"/>
      <c r="Y98" s="52" t="n"/>
      <c r="Z98" s="52" t="n"/>
      <c r="AA98" s="53" t="n"/>
      <c r="AB98" s="52" t="n"/>
      <c r="AC98" s="52" t="n"/>
      <c r="AD98" s="52" t="n"/>
      <c r="AE98" s="52" t="n"/>
      <c r="AF98" s="52" t="n"/>
      <c r="AG98" s="52" t="n"/>
      <c r="AH98" s="53" t="n"/>
      <c r="AI98" s="53" t="n"/>
    </row>
    <row r="99" ht="14.25" customHeight="1" s="65">
      <c r="A99" s="53" t="n"/>
      <c r="B99" s="53" t="n"/>
      <c r="C99" s="53" t="n"/>
      <c r="D99" s="53" t="n"/>
      <c r="E99" s="32">
        <f>IF(COUNT(K99:AG99)=0,"",ROUND((F99+G99+H99+I99+J99)/10,2))</f>
        <v/>
      </c>
      <c r="F99" s="33">
        <f>IF(COUNT(K99:AG99)=0,"",(K99*10+L99*8+M99*7+N99*5)/3)</f>
        <v/>
      </c>
      <c r="G99" s="33">
        <f>IF(COUNT(K99:AG99)=0,"",(P99*8+Q99*7+R99*5+S99*5)/3)</f>
        <v/>
      </c>
      <c r="H99" s="33">
        <f>IF(COUNT(K99:AG99)=0,"",(U99*6+V99*6+W99*4+X99*3+Y99*3+Z99*3)/3)</f>
        <v/>
      </c>
      <c r="I99" s="33">
        <f>IF(COUNT(K99:AG99)=0,"",AB99*3+AC99*2+AD99*2+AE99*1)</f>
        <v/>
      </c>
      <c r="J99" s="33">
        <f>IF(COUNT(K99:AG99)=0,"",(AF99*5+AG99*5)/3)</f>
        <v/>
      </c>
      <c r="K99" s="52" t="n"/>
      <c r="L99" s="52" t="n"/>
      <c r="M99" s="52" t="n"/>
      <c r="N99" s="52" t="n"/>
      <c r="O99" s="53" t="n"/>
      <c r="P99" s="52" t="n"/>
      <c r="Q99" s="52" t="n"/>
      <c r="R99" s="52" t="n"/>
      <c r="S99" s="52" t="n"/>
      <c r="T99" s="53" t="n"/>
      <c r="U99" s="52" t="n"/>
      <c r="V99" s="52" t="n"/>
      <c r="W99" s="52" t="n"/>
      <c r="X99" s="52" t="n"/>
      <c r="Y99" s="52" t="n"/>
      <c r="Z99" s="52" t="n"/>
      <c r="AA99" s="53" t="n"/>
      <c r="AB99" s="52" t="n"/>
      <c r="AC99" s="52" t="n"/>
      <c r="AD99" s="52" t="n"/>
      <c r="AE99" s="52" t="n"/>
      <c r="AF99" s="52" t="n"/>
      <c r="AG99" s="52" t="n"/>
      <c r="AH99" s="53" t="n"/>
      <c r="AI99" s="53" t="n"/>
    </row>
    <row r="100" ht="14.25" customHeight="1" s="65">
      <c r="A100" s="53" t="n"/>
      <c r="B100" s="53" t="n"/>
      <c r="C100" s="53" t="n"/>
      <c r="D100" s="53" t="n"/>
      <c r="E100" s="32">
        <f>IF(COUNT(K100:AG100)=0,"",ROUND((F100+G100+H100+I100+J100)/10,2))</f>
        <v/>
      </c>
      <c r="F100" s="33">
        <f>IF(COUNT(K100:AG100)=0,"",(K100*10+L100*8+M100*7+N100*5)/3)</f>
        <v/>
      </c>
      <c r="G100" s="33">
        <f>IF(COUNT(K100:AG100)=0,"",(P100*8+Q100*7+R100*5+S100*5)/3)</f>
        <v/>
      </c>
      <c r="H100" s="33">
        <f>IF(COUNT(K100:AG100)=0,"",(U100*6+V100*6+W100*4+X100*3+Y100*3+Z100*3)/3)</f>
        <v/>
      </c>
      <c r="I100" s="33">
        <f>IF(COUNT(K100:AG100)=0,"",AB100*3+AC100*2+AD100*2+AE100*1)</f>
        <v/>
      </c>
      <c r="J100" s="33">
        <f>IF(COUNT(K100:AG100)=0,"",(AF100*5+AG100*5)/3)</f>
        <v/>
      </c>
      <c r="K100" s="52" t="n"/>
      <c r="L100" s="52" t="n"/>
      <c r="M100" s="52" t="n"/>
      <c r="N100" s="52" t="n"/>
      <c r="O100" s="53" t="n"/>
      <c r="P100" s="52" t="n"/>
      <c r="Q100" s="52" t="n"/>
      <c r="R100" s="52" t="n"/>
      <c r="S100" s="52" t="n"/>
      <c r="T100" s="53" t="n"/>
      <c r="U100" s="52" t="n"/>
      <c r="V100" s="52" t="n"/>
      <c r="W100" s="52" t="n"/>
      <c r="X100" s="52" t="n"/>
      <c r="Y100" s="52" t="n"/>
      <c r="Z100" s="52" t="n"/>
      <c r="AA100" s="53" t="n"/>
      <c r="AB100" s="52" t="n"/>
      <c r="AC100" s="52" t="n"/>
      <c r="AD100" s="52" t="n"/>
      <c r="AE100" s="52" t="n"/>
      <c r="AF100" s="52" t="n"/>
      <c r="AG100" s="52" t="n"/>
      <c r="AH100" s="53" t="n"/>
      <c r="AI100" s="53" t="n"/>
    </row>
    <row r="101" ht="14.25" customHeight="1" s="65">
      <c r="A101" s="53" t="n"/>
      <c r="B101" s="53" t="n"/>
      <c r="C101" s="53" t="n"/>
      <c r="D101" s="53" t="n"/>
      <c r="E101" s="32">
        <f>IF(COUNT(K101:AG101)=0,"",ROUND((F101+G101+H101+I101+J101)/10,2))</f>
        <v/>
      </c>
      <c r="F101" s="33">
        <f>IF(COUNT(K101:AG101)=0,"",(K101*10+L101*8+M101*7+N101*5)/3)</f>
        <v/>
      </c>
      <c r="G101" s="33">
        <f>IF(COUNT(K101:AG101)=0,"",(P101*8+Q101*7+R101*5+S101*5)/3)</f>
        <v/>
      </c>
      <c r="H101" s="33">
        <f>IF(COUNT(K101:AG101)=0,"",(U101*6+V101*6+W101*4+X101*3+Y101*3+Z101*3)/3)</f>
        <v/>
      </c>
      <c r="I101" s="33">
        <f>IF(COUNT(K101:AG101)=0,"",AB101*3+AC101*2+AD101*2+AE101*1)</f>
        <v/>
      </c>
      <c r="J101" s="33">
        <f>IF(COUNT(K101:AG101)=0,"",(AF101*5+AG101*5)/3)</f>
        <v/>
      </c>
      <c r="K101" s="52" t="n"/>
      <c r="L101" s="52" t="n"/>
      <c r="M101" s="52" t="n"/>
      <c r="N101" s="52" t="n"/>
      <c r="O101" s="53" t="n"/>
      <c r="P101" s="52" t="n"/>
      <c r="Q101" s="52" t="n"/>
      <c r="R101" s="52" t="n"/>
      <c r="S101" s="52" t="n"/>
      <c r="T101" s="53" t="n"/>
      <c r="U101" s="52" t="n"/>
      <c r="V101" s="52" t="n"/>
      <c r="W101" s="52" t="n"/>
      <c r="X101" s="52" t="n"/>
      <c r="Y101" s="52" t="n"/>
      <c r="Z101" s="52" t="n"/>
      <c r="AA101" s="53" t="n"/>
      <c r="AB101" s="52" t="n"/>
      <c r="AC101" s="52" t="n"/>
      <c r="AD101" s="52" t="n"/>
      <c r="AE101" s="52" t="n"/>
      <c r="AF101" s="52" t="n"/>
      <c r="AG101" s="52" t="n"/>
      <c r="AH101" s="53" t="n"/>
      <c r="AI101" s="53" t="n"/>
    </row>
    <row r="102" ht="14.25" customHeight="1" s="65">
      <c r="A102" s="53" t="n"/>
      <c r="B102" s="53" t="n"/>
      <c r="C102" s="53" t="n"/>
      <c r="D102" s="53" t="n"/>
      <c r="E102" s="32">
        <f>IF(COUNT(K102:AG102)=0,"",ROUND((F102+G102+H102+I102+J102)/10,2))</f>
        <v/>
      </c>
      <c r="F102" s="33">
        <f>IF(COUNT(K102:AG102)=0,"",(K102*10+L102*8+M102*7+N102*5)/3)</f>
        <v/>
      </c>
      <c r="G102" s="33">
        <f>IF(COUNT(K102:AG102)=0,"",(P102*8+Q102*7+R102*5+S102*5)/3)</f>
        <v/>
      </c>
      <c r="H102" s="33">
        <f>IF(COUNT(K102:AG102)=0,"",(U102*6+V102*6+W102*4+X102*3+Y102*3+Z102*3)/3)</f>
        <v/>
      </c>
      <c r="I102" s="33">
        <f>IF(COUNT(K102:AG102)=0,"",AB102*3+AC102*2+AD102*2+AE102*1)</f>
        <v/>
      </c>
      <c r="J102" s="33">
        <f>IF(COUNT(K102:AG102)=0,"",(AF102*5+AG102*5)/3)</f>
        <v/>
      </c>
      <c r="K102" s="52" t="n"/>
      <c r="L102" s="52" t="n"/>
      <c r="M102" s="52" t="n"/>
      <c r="N102" s="52" t="n"/>
      <c r="O102" s="53" t="n"/>
      <c r="P102" s="52" t="n"/>
      <c r="Q102" s="52" t="n"/>
      <c r="R102" s="52" t="n"/>
      <c r="S102" s="52" t="n"/>
      <c r="T102" s="53" t="n"/>
      <c r="U102" s="52" t="n"/>
      <c r="V102" s="52" t="n"/>
      <c r="W102" s="52" t="n"/>
      <c r="X102" s="52" t="n"/>
      <c r="Y102" s="52" t="n"/>
      <c r="Z102" s="52" t="n"/>
      <c r="AA102" s="53" t="n"/>
      <c r="AB102" s="52" t="n"/>
      <c r="AC102" s="52" t="n"/>
      <c r="AD102" s="52" t="n"/>
      <c r="AE102" s="52" t="n"/>
      <c r="AF102" s="52" t="n"/>
      <c r="AG102" s="52" t="n"/>
      <c r="AH102" s="53" t="n"/>
      <c r="AI102" s="53" t="n"/>
    </row>
    <row r="103" ht="14.25" customHeight="1" s="65">
      <c r="A103" s="53" t="n"/>
      <c r="B103" s="53" t="n"/>
      <c r="C103" s="53" t="n"/>
      <c r="D103" s="53" t="n"/>
      <c r="E103" s="32">
        <f>IF(COUNT(K103:AG103)=0,"",ROUND((F103+G103+H103+I103+J103)/10,2))</f>
        <v/>
      </c>
      <c r="F103" s="33">
        <f>IF(COUNT(K103:AG103)=0,"",(K103*10+L103*8+M103*7+N103*5)/3)</f>
        <v/>
      </c>
      <c r="G103" s="33">
        <f>IF(COUNT(K103:AG103)=0,"",(P103*8+Q103*7+R103*5+S103*5)/3)</f>
        <v/>
      </c>
      <c r="H103" s="33">
        <f>IF(COUNT(K103:AG103)=0,"",(U103*6+V103*6+W103*4+X103*3+Y103*3+Z103*3)/3)</f>
        <v/>
      </c>
      <c r="I103" s="33">
        <f>IF(COUNT(K103:AG103)=0,"",AB103*3+AC103*2+AD103*2+AE103*1)</f>
        <v/>
      </c>
      <c r="J103" s="33">
        <f>IF(COUNT(K103:AG103)=0,"",(AF103*5+AG103*5)/3)</f>
        <v/>
      </c>
      <c r="K103" s="52" t="n"/>
      <c r="L103" s="52" t="n"/>
      <c r="M103" s="52" t="n"/>
      <c r="N103" s="52" t="n"/>
      <c r="O103" s="53" t="n"/>
      <c r="P103" s="52" t="n"/>
      <c r="Q103" s="52" t="n"/>
      <c r="R103" s="52" t="n"/>
      <c r="S103" s="52" t="n"/>
      <c r="T103" s="53" t="n"/>
      <c r="U103" s="52" t="n"/>
      <c r="V103" s="52" t="n"/>
      <c r="W103" s="52" t="n"/>
      <c r="X103" s="52" t="n"/>
      <c r="Y103" s="52" t="n"/>
      <c r="Z103" s="52" t="n"/>
      <c r="AA103" s="53" t="n"/>
      <c r="AB103" s="52" t="n"/>
      <c r="AC103" s="52" t="n"/>
      <c r="AD103" s="52" t="n"/>
      <c r="AE103" s="52" t="n"/>
      <c r="AF103" s="52" t="n"/>
      <c r="AG103" s="52" t="n"/>
      <c r="AH103" s="53" t="n"/>
      <c r="AI103" s="53" t="n"/>
    </row>
    <row r="104" ht="14.25" customHeight="1" s="65">
      <c r="A104" s="53" t="n"/>
      <c r="B104" s="53" t="n"/>
      <c r="C104" s="53" t="n"/>
      <c r="D104" s="53" t="n"/>
      <c r="E104" s="32">
        <f>IF(COUNT(K104:AG104)=0,"",ROUND((F104+G104+H104+I104+J104)/10,2))</f>
        <v/>
      </c>
      <c r="F104" s="33">
        <f>IF(COUNT(K104:AG104)=0,"",(K104*10+L104*8+M104*7+N104*5)/3)</f>
        <v/>
      </c>
      <c r="G104" s="33">
        <f>IF(COUNT(K104:AG104)=0,"",(P104*8+Q104*7+R104*5+S104*5)/3)</f>
        <v/>
      </c>
      <c r="H104" s="33">
        <f>IF(COUNT(K104:AG104)=0,"",(U104*6+V104*6+W104*4+X104*3+Y104*3+Z104*3)/3)</f>
        <v/>
      </c>
      <c r="I104" s="33">
        <f>IF(COUNT(K104:AG104)=0,"",AB104*3+AC104*2+AD104*2+AE104*1)</f>
        <v/>
      </c>
      <c r="J104" s="33">
        <f>IF(COUNT(K104:AG104)=0,"",(AF104*5+AG104*5)/3)</f>
        <v/>
      </c>
      <c r="K104" s="52" t="n"/>
      <c r="L104" s="52" t="n"/>
      <c r="M104" s="52" t="n"/>
      <c r="N104" s="52" t="n"/>
      <c r="O104" s="53" t="n"/>
      <c r="P104" s="52" t="n"/>
      <c r="Q104" s="52" t="n"/>
      <c r="R104" s="52" t="n"/>
      <c r="S104" s="52" t="n"/>
      <c r="T104" s="53" t="n"/>
      <c r="U104" s="52" t="n"/>
      <c r="V104" s="52" t="n"/>
      <c r="W104" s="52" t="n"/>
      <c r="X104" s="52" t="n"/>
      <c r="Y104" s="52" t="n"/>
      <c r="Z104" s="52" t="n"/>
      <c r="AA104" s="53" t="n"/>
      <c r="AB104" s="52" t="n"/>
      <c r="AC104" s="52" t="n"/>
      <c r="AD104" s="52" t="n"/>
      <c r="AE104" s="52" t="n"/>
      <c r="AF104" s="52" t="n"/>
      <c r="AG104" s="52" t="n"/>
      <c r="AH104" s="53" t="n"/>
      <c r="AI104" s="53" t="n"/>
    </row>
    <row r="105" ht="14.25" customHeight="1" s="65">
      <c r="A105" s="53" t="n"/>
      <c r="B105" s="53" t="n"/>
      <c r="C105" s="53" t="n"/>
      <c r="D105" s="53" t="n"/>
      <c r="E105" s="32">
        <f>IF(COUNT(K105:AG105)=0,"",ROUND((F105+G105+H105+I105+J105)/10,2))</f>
        <v/>
      </c>
      <c r="F105" s="33">
        <f>IF(COUNT(K105:AG105)=0,"",(K105*10+L105*8+M105*7+N105*5)/3)</f>
        <v/>
      </c>
      <c r="G105" s="33">
        <f>IF(COUNT(K105:AG105)=0,"",(P105*8+Q105*7+R105*5+S105*5)/3)</f>
        <v/>
      </c>
      <c r="H105" s="33">
        <f>IF(COUNT(K105:AG105)=0,"",(U105*6+V105*6+W105*4+X105*3+Y105*3+Z105*3)/3)</f>
        <v/>
      </c>
      <c r="I105" s="33">
        <f>IF(COUNT(K105:AG105)=0,"",AB105*3+AC105*2+AD105*2+AE105*1)</f>
        <v/>
      </c>
      <c r="J105" s="33">
        <f>IF(COUNT(K105:AG105)=0,"",(AF105*5+AG105*5)/3)</f>
        <v/>
      </c>
      <c r="K105" s="52" t="n"/>
      <c r="L105" s="52" t="n"/>
      <c r="M105" s="52" t="n"/>
      <c r="N105" s="52" t="n"/>
      <c r="O105" s="53" t="n"/>
      <c r="P105" s="52" t="n"/>
      <c r="Q105" s="52" t="n"/>
      <c r="R105" s="52" t="n"/>
      <c r="S105" s="52" t="n"/>
      <c r="T105" s="53" t="n"/>
      <c r="U105" s="52" t="n"/>
      <c r="V105" s="52" t="n"/>
      <c r="W105" s="52" t="n"/>
      <c r="X105" s="52" t="n"/>
      <c r="Y105" s="52" t="n"/>
      <c r="Z105" s="52" t="n"/>
      <c r="AA105" s="53" t="n"/>
      <c r="AB105" s="52" t="n"/>
      <c r="AC105" s="52" t="n"/>
      <c r="AD105" s="52" t="n"/>
      <c r="AE105" s="52" t="n"/>
      <c r="AF105" s="52" t="n"/>
      <c r="AG105" s="52" t="n"/>
      <c r="AH105" s="53" t="n"/>
      <c r="AI105" s="53" t="n"/>
    </row>
    <row r="106" ht="14.25" customHeight="1" s="65">
      <c r="A106" s="53" t="n"/>
      <c r="B106" s="53" t="n"/>
      <c r="C106" s="53" t="n"/>
      <c r="D106" s="53" t="n"/>
      <c r="E106" s="32">
        <f>IF(COUNT(K106:AG106)=0,"",ROUND((F106+G106+H106+I106+J106)/10,2))</f>
        <v/>
      </c>
      <c r="F106" s="33">
        <f>IF(COUNT(K106:AG106)=0,"",(K106*10+L106*8+M106*7+N106*5)/3)</f>
        <v/>
      </c>
      <c r="G106" s="33">
        <f>IF(COUNT(K106:AG106)=0,"",(P106*8+Q106*7+R106*5+S106*5)/3)</f>
        <v/>
      </c>
      <c r="H106" s="33">
        <f>IF(COUNT(K106:AG106)=0,"",(U106*6+V106*6+W106*4+X106*3+Y106*3+Z106*3)/3)</f>
        <v/>
      </c>
      <c r="I106" s="33">
        <f>IF(COUNT(K106:AG106)=0,"",AB106*3+AC106*2+AD106*2+AE106*1)</f>
        <v/>
      </c>
      <c r="J106" s="33">
        <f>IF(COUNT(K106:AG106)=0,"",(AF106*5+AG106*5)/3)</f>
        <v/>
      </c>
      <c r="K106" s="52" t="n"/>
      <c r="L106" s="52" t="n"/>
      <c r="M106" s="52" t="n"/>
      <c r="N106" s="52" t="n"/>
      <c r="O106" s="53" t="n"/>
      <c r="P106" s="52" t="n"/>
      <c r="Q106" s="52" t="n"/>
      <c r="R106" s="52" t="n"/>
      <c r="S106" s="52" t="n"/>
      <c r="T106" s="53" t="n"/>
      <c r="U106" s="52" t="n"/>
      <c r="V106" s="52" t="n"/>
      <c r="W106" s="52" t="n"/>
      <c r="X106" s="52" t="n"/>
      <c r="Y106" s="52" t="n"/>
      <c r="Z106" s="52" t="n"/>
      <c r="AA106" s="53" t="n"/>
      <c r="AB106" s="52" t="n"/>
      <c r="AC106" s="52" t="n"/>
      <c r="AD106" s="52" t="n"/>
      <c r="AE106" s="52" t="n"/>
      <c r="AF106" s="52" t="n"/>
      <c r="AG106" s="52" t="n"/>
      <c r="AH106" s="53" t="n"/>
      <c r="AI106" s="53" t="n"/>
    </row>
    <row r="107" ht="14.25" customHeight="1" s="65">
      <c r="A107" s="53" t="n"/>
      <c r="B107" s="53" t="n"/>
      <c r="C107" s="53" t="n"/>
      <c r="D107" s="53" t="n"/>
      <c r="E107" s="32">
        <f>IF(COUNT(K107:AG107)=0,"",ROUND((F107+G107+H107+I107+J107)/10,2))</f>
        <v/>
      </c>
      <c r="F107" s="33">
        <f>IF(COUNT(K107:AG107)=0,"",(K107*10+L107*8+M107*7+N107*5)/3)</f>
        <v/>
      </c>
      <c r="G107" s="33">
        <f>IF(COUNT(K107:AG107)=0,"",(P107*8+Q107*7+R107*5+S107*5)/3)</f>
        <v/>
      </c>
      <c r="H107" s="33">
        <f>IF(COUNT(K107:AG107)=0,"",(U107*6+V107*6+W107*4+X107*3+Y107*3+Z107*3)/3)</f>
        <v/>
      </c>
      <c r="I107" s="33">
        <f>IF(COUNT(K107:AG107)=0,"",AB107*3+AC107*2+AD107*2+AE107*1)</f>
        <v/>
      </c>
      <c r="J107" s="33">
        <f>IF(COUNT(K107:AG107)=0,"",(AF107*5+AG107*5)/3)</f>
        <v/>
      </c>
      <c r="K107" s="52" t="n"/>
      <c r="L107" s="52" t="n"/>
      <c r="M107" s="52" t="n"/>
      <c r="N107" s="52" t="n"/>
      <c r="O107" s="53" t="n"/>
      <c r="P107" s="52" t="n"/>
      <c r="Q107" s="52" t="n"/>
      <c r="R107" s="52" t="n"/>
      <c r="S107" s="52" t="n"/>
      <c r="T107" s="53" t="n"/>
      <c r="U107" s="52" t="n"/>
      <c r="V107" s="52" t="n"/>
      <c r="W107" s="52" t="n"/>
      <c r="X107" s="52" t="n"/>
      <c r="Y107" s="52" t="n"/>
      <c r="Z107" s="52" t="n"/>
      <c r="AA107" s="53" t="n"/>
      <c r="AB107" s="52" t="n"/>
      <c r="AC107" s="52" t="n"/>
      <c r="AD107" s="52" t="n"/>
      <c r="AE107" s="52" t="n"/>
      <c r="AF107" s="52" t="n"/>
      <c r="AG107" s="52" t="n"/>
      <c r="AH107" s="53" t="n"/>
      <c r="AI107" s="53" t="n"/>
    </row>
    <row r="108" ht="14.25" customHeight="1" s="65">
      <c r="A108" s="53" t="n"/>
      <c r="B108" s="53" t="n"/>
      <c r="C108" s="53" t="n"/>
      <c r="D108" s="53" t="n"/>
      <c r="E108" s="32">
        <f>IF(COUNT(K108:AG108)=0,"",ROUND((F108+G108+H108+I108+J108)/10,2))</f>
        <v/>
      </c>
      <c r="F108" s="33">
        <f>IF(COUNT(K108:AG108)=0,"",(K108*10+L108*8+M108*7+N108*5)/3)</f>
        <v/>
      </c>
      <c r="G108" s="33">
        <f>IF(COUNT(K108:AG108)=0,"",(P108*8+Q108*7+R108*5+S108*5)/3)</f>
        <v/>
      </c>
      <c r="H108" s="33">
        <f>IF(COUNT(K108:AG108)=0,"",(U108*6+V108*6+W108*4+X108*3+Y108*3+Z108*3)/3)</f>
        <v/>
      </c>
      <c r="I108" s="33">
        <f>IF(COUNT(K108:AG108)=0,"",AB108*3+AC108*2+AD108*2+AE108*1)</f>
        <v/>
      </c>
      <c r="J108" s="33">
        <f>IF(COUNT(K108:AG108)=0,"",(AF108*5+AG108*5)/3)</f>
        <v/>
      </c>
      <c r="K108" s="52" t="n"/>
      <c r="L108" s="52" t="n"/>
      <c r="M108" s="52" t="n"/>
      <c r="N108" s="52" t="n"/>
      <c r="O108" s="53" t="n"/>
      <c r="P108" s="52" t="n"/>
      <c r="Q108" s="52" t="n"/>
      <c r="R108" s="52" t="n"/>
      <c r="S108" s="52" t="n"/>
      <c r="T108" s="53" t="n"/>
      <c r="U108" s="52" t="n"/>
      <c r="V108" s="52" t="n"/>
      <c r="W108" s="52" t="n"/>
      <c r="X108" s="52" t="n"/>
      <c r="Y108" s="52" t="n"/>
      <c r="Z108" s="52" t="n"/>
      <c r="AA108" s="53" t="n"/>
      <c r="AB108" s="52" t="n"/>
      <c r="AC108" s="52" t="n"/>
      <c r="AD108" s="52" t="n"/>
      <c r="AE108" s="52" t="n"/>
      <c r="AF108" s="52" t="n"/>
      <c r="AG108" s="52" t="n"/>
      <c r="AH108" s="53" t="n"/>
      <c r="AI108" s="53" t="n"/>
    </row>
    <row r="109" ht="14.25" customHeight="1" s="65">
      <c r="A109" s="53" t="n"/>
      <c r="B109" s="53" t="n"/>
      <c r="C109" s="53" t="n"/>
      <c r="D109" s="53" t="n"/>
      <c r="E109" s="32">
        <f>IF(COUNT(K109:AG109)=0,"",ROUND((F109+G109+H109+I109+J109)/10,2))</f>
        <v/>
      </c>
      <c r="F109" s="33">
        <f>IF(COUNT(K109:AG109)=0,"",(K109*10+L109*8+M109*7+N109*5)/3)</f>
        <v/>
      </c>
      <c r="G109" s="33">
        <f>IF(COUNT(K109:AG109)=0,"",(P109*8+Q109*7+R109*5+S109*5)/3)</f>
        <v/>
      </c>
      <c r="H109" s="33">
        <f>IF(COUNT(K109:AG109)=0,"",(U109*6+V109*6+W109*4+X109*3+Y109*3+Z109*3)/3)</f>
        <v/>
      </c>
      <c r="I109" s="33">
        <f>IF(COUNT(K109:AG109)=0,"",AB109*3+AC109*2+AD109*2+AE109*1)</f>
        <v/>
      </c>
      <c r="J109" s="33">
        <f>IF(COUNT(K109:AG109)=0,"",(AF109*5+AG109*5)/3)</f>
        <v/>
      </c>
      <c r="K109" s="52" t="n"/>
      <c r="L109" s="52" t="n"/>
      <c r="M109" s="52" t="n"/>
      <c r="N109" s="52" t="n"/>
      <c r="O109" s="53" t="n"/>
      <c r="P109" s="52" t="n"/>
      <c r="Q109" s="52" t="n"/>
      <c r="R109" s="52" t="n"/>
      <c r="S109" s="52" t="n"/>
      <c r="T109" s="53" t="n"/>
      <c r="U109" s="52" t="n"/>
      <c r="V109" s="52" t="n"/>
      <c r="W109" s="52" t="n"/>
      <c r="X109" s="52" t="n"/>
      <c r="Y109" s="52" t="n"/>
      <c r="Z109" s="52" t="n"/>
      <c r="AA109" s="53" t="n"/>
      <c r="AB109" s="52" t="n"/>
      <c r="AC109" s="52" t="n"/>
      <c r="AD109" s="52" t="n"/>
      <c r="AE109" s="52" t="n"/>
      <c r="AF109" s="52" t="n"/>
      <c r="AG109" s="52" t="n"/>
      <c r="AH109" s="53" t="n"/>
      <c r="AI109" s="53" t="n"/>
    </row>
    <row r="110" ht="14.25" customHeight="1" s="65">
      <c r="A110" s="53" t="n"/>
      <c r="B110" s="53" t="n"/>
      <c r="C110" s="53" t="n"/>
      <c r="D110" s="53" t="n"/>
      <c r="E110" s="32">
        <f>IF(COUNT(K110:AG110)=0,"",ROUND((F110+G110+H110+I110+J110)/10,2))</f>
        <v/>
      </c>
      <c r="F110" s="33">
        <f>IF(COUNT(K110:AG110)=0,"",(K110*10+L110*8+M110*7+N110*5)/3)</f>
        <v/>
      </c>
      <c r="G110" s="33">
        <f>IF(COUNT(K110:AG110)=0,"",(P110*8+Q110*7+R110*5+S110*5)/3)</f>
        <v/>
      </c>
      <c r="H110" s="33">
        <f>IF(COUNT(K110:AG110)=0,"",(U110*6+V110*6+W110*4+X110*3+Y110*3+Z110*3)/3)</f>
        <v/>
      </c>
      <c r="I110" s="33">
        <f>IF(COUNT(K110:AG110)=0,"",AB110*3+AC110*2+AD110*2+AE110*1)</f>
        <v/>
      </c>
      <c r="J110" s="33">
        <f>IF(COUNT(K110:AG110)=0,"",(AF110*5+AG110*5)/3)</f>
        <v/>
      </c>
      <c r="K110" s="52" t="n"/>
      <c r="L110" s="52" t="n"/>
      <c r="M110" s="52" t="n"/>
      <c r="N110" s="52" t="n"/>
      <c r="O110" s="53" t="n"/>
      <c r="P110" s="52" t="n"/>
      <c r="Q110" s="52" t="n"/>
      <c r="R110" s="52" t="n"/>
      <c r="S110" s="52" t="n"/>
      <c r="T110" s="53" t="n"/>
      <c r="U110" s="52" t="n"/>
      <c r="V110" s="52" t="n"/>
      <c r="W110" s="52" t="n"/>
      <c r="X110" s="52" t="n"/>
      <c r="Y110" s="52" t="n"/>
      <c r="Z110" s="52" t="n"/>
      <c r="AA110" s="53" t="n"/>
      <c r="AB110" s="52" t="n"/>
      <c r="AC110" s="52" t="n"/>
      <c r="AD110" s="52" t="n"/>
      <c r="AE110" s="52" t="n"/>
      <c r="AF110" s="52" t="n"/>
      <c r="AG110" s="52" t="n"/>
      <c r="AH110" s="53" t="n"/>
      <c r="AI110" s="53" t="n"/>
    </row>
    <row r="111" ht="14.25" customHeight="1" s="65">
      <c r="A111" s="53" t="n"/>
      <c r="B111" s="53" t="n"/>
      <c r="C111" s="53" t="n"/>
      <c r="D111" s="53" t="n"/>
      <c r="E111" s="32">
        <f>IF(COUNT(K111:AG111)=0,"",ROUND((F111+G111+H111+I111+J111)/10,2))</f>
        <v/>
      </c>
      <c r="F111" s="33">
        <f>IF(COUNT(K111:AG111)=0,"",(K111*10+L111*8+M111*7+N111*5)/3)</f>
        <v/>
      </c>
      <c r="G111" s="33">
        <f>IF(COUNT(K111:AG111)=0,"",(P111*8+Q111*7+R111*5+S111*5)/3)</f>
        <v/>
      </c>
      <c r="H111" s="33">
        <f>IF(COUNT(K111:AG111)=0,"",(U111*6+V111*6+W111*4+X111*3+Y111*3+Z111*3)/3)</f>
        <v/>
      </c>
      <c r="I111" s="33">
        <f>IF(COUNT(K111:AG111)=0,"",AB111*3+AC111*2+AD111*2+AE111*1)</f>
        <v/>
      </c>
      <c r="J111" s="33">
        <f>IF(COUNT(K111:AG111)=0,"",(AF111*5+AG111*5)/3)</f>
        <v/>
      </c>
      <c r="K111" s="52" t="n"/>
      <c r="L111" s="52" t="n"/>
      <c r="M111" s="52" t="n"/>
      <c r="N111" s="52" t="n"/>
      <c r="O111" s="53" t="n"/>
      <c r="P111" s="52" t="n"/>
      <c r="Q111" s="52" t="n"/>
      <c r="R111" s="52" t="n"/>
      <c r="S111" s="52" t="n"/>
      <c r="T111" s="53" t="n"/>
      <c r="U111" s="52" t="n"/>
      <c r="V111" s="52" t="n"/>
      <c r="W111" s="52" t="n"/>
      <c r="X111" s="52" t="n"/>
      <c r="Y111" s="52" t="n"/>
      <c r="Z111" s="52" t="n"/>
      <c r="AA111" s="53" t="n"/>
      <c r="AB111" s="52" t="n"/>
      <c r="AC111" s="52" t="n"/>
      <c r="AD111" s="52" t="n"/>
      <c r="AE111" s="52" t="n"/>
      <c r="AF111" s="52" t="n"/>
      <c r="AG111" s="52" t="n"/>
      <c r="AH111" s="53" t="n"/>
      <c r="AI111" s="53" t="n"/>
    </row>
    <row r="112" ht="14.25" customHeight="1" s="65">
      <c r="A112" s="53" t="n"/>
      <c r="B112" s="53" t="n"/>
      <c r="C112" s="53" t="n"/>
      <c r="D112" s="53" t="n"/>
      <c r="E112" s="32">
        <f>IF(COUNT(K112:AG112)=0,"",ROUND((F112+G112+H112+I112+J112)/10,2))</f>
        <v/>
      </c>
      <c r="F112" s="33">
        <f>IF(COUNT(K112:AG112)=0,"",(K112*10+L112*8+M112*7+N112*5)/3)</f>
        <v/>
      </c>
      <c r="G112" s="33">
        <f>IF(COUNT(K112:AG112)=0,"",(P112*8+Q112*7+R112*5+S112*5)/3)</f>
        <v/>
      </c>
      <c r="H112" s="33">
        <f>IF(COUNT(K112:AG112)=0,"",(U112*6+V112*6+W112*4+X112*3+Y112*3+Z112*3)/3)</f>
        <v/>
      </c>
      <c r="I112" s="33">
        <f>IF(COUNT(K112:AG112)=0,"",AB112*3+AC112*2+AD112*2+AE112*1)</f>
        <v/>
      </c>
      <c r="J112" s="33">
        <f>IF(COUNT(K112:AG112)=0,"",(AF112*5+AG112*5)/3)</f>
        <v/>
      </c>
      <c r="K112" s="52" t="n"/>
      <c r="L112" s="52" t="n"/>
      <c r="M112" s="52" t="n"/>
      <c r="N112" s="52" t="n"/>
      <c r="O112" s="53" t="n"/>
      <c r="P112" s="52" t="n"/>
      <c r="Q112" s="52" t="n"/>
      <c r="R112" s="52" t="n"/>
      <c r="S112" s="52" t="n"/>
      <c r="T112" s="53" t="n"/>
      <c r="U112" s="52" t="n"/>
      <c r="V112" s="52" t="n"/>
      <c r="W112" s="52" t="n"/>
      <c r="X112" s="52" t="n"/>
      <c r="Y112" s="52" t="n"/>
      <c r="Z112" s="52" t="n"/>
      <c r="AA112" s="53" t="n"/>
      <c r="AB112" s="52" t="n"/>
      <c r="AC112" s="52" t="n"/>
      <c r="AD112" s="52" t="n"/>
      <c r="AE112" s="52" t="n"/>
      <c r="AF112" s="52" t="n"/>
      <c r="AG112" s="52" t="n"/>
      <c r="AH112" s="53" t="n"/>
      <c r="AI112" s="53" t="n"/>
    </row>
    <row r="113" ht="14.25" customHeight="1" s="65">
      <c r="A113" s="53" t="n"/>
      <c r="B113" s="53" t="n"/>
      <c r="C113" s="53" t="n"/>
      <c r="D113" s="53" t="n"/>
      <c r="E113" s="32">
        <f>IF(COUNT(K113:AG113)=0,"",ROUND((F113+G113+H113+I113+J113)/10,2))</f>
        <v/>
      </c>
      <c r="F113" s="33">
        <f>IF(COUNT(K113:AG113)=0,"",(K113*10+L113*8+M113*7+N113*5)/3)</f>
        <v/>
      </c>
      <c r="G113" s="33">
        <f>IF(COUNT(K113:AG113)=0,"",(P113*8+Q113*7+R113*5+S113*5)/3)</f>
        <v/>
      </c>
      <c r="H113" s="33">
        <f>IF(COUNT(K113:AG113)=0,"",(U113*6+V113*6+W113*4+X113*3+Y113*3+Z113*3)/3)</f>
        <v/>
      </c>
      <c r="I113" s="33">
        <f>IF(COUNT(K113:AG113)=0,"",AB113*3+AC113*2+AD113*2+AE113*1)</f>
        <v/>
      </c>
      <c r="J113" s="33">
        <f>IF(COUNT(K113:AG113)=0,"",(AF113*5+AG113*5)/3)</f>
        <v/>
      </c>
      <c r="K113" s="52" t="n"/>
      <c r="L113" s="52" t="n"/>
      <c r="M113" s="52" t="n"/>
      <c r="N113" s="52" t="n"/>
      <c r="O113" s="53" t="n"/>
      <c r="P113" s="52" t="n"/>
      <c r="Q113" s="52" t="n"/>
      <c r="R113" s="52" t="n"/>
      <c r="S113" s="52" t="n"/>
      <c r="T113" s="53" t="n"/>
      <c r="U113" s="52" t="n"/>
      <c r="V113" s="52" t="n"/>
      <c r="W113" s="52" t="n"/>
      <c r="X113" s="52" t="n"/>
      <c r="Y113" s="52" t="n"/>
      <c r="Z113" s="52" t="n"/>
      <c r="AA113" s="53" t="n"/>
      <c r="AB113" s="52" t="n"/>
      <c r="AC113" s="52" t="n"/>
      <c r="AD113" s="52" t="n"/>
      <c r="AE113" s="52" t="n"/>
      <c r="AF113" s="52" t="n"/>
      <c r="AG113" s="52" t="n"/>
      <c r="AH113" s="53" t="n"/>
      <c r="AI113" s="53" t="n"/>
    </row>
    <row r="114" ht="14.25" customHeight="1" s="65">
      <c r="A114" s="53" t="n"/>
      <c r="B114" s="53" t="n"/>
      <c r="C114" s="53" t="n"/>
      <c r="D114" s="53" t="n"/>
      <c r="E114" s="32">
        <f>IF(COUNT(K114:AG114)=0,"",ROUND((F114+G114+H114+I114+J114)/10,2))</f>
        <v/>
      </c>
      <c r="F114" s="33">
        <f>IF(COUNT(K114:AG114)=0,"",(K114*10+L114*8+M114*7+N114*5)/3)</f>
        <v/>
      </c>
      <c r="G114" s="33">
        <f>IF(COUNT(K114:AG114)=0,"",(P114*8+Q114*7+R114*5+S114*5)/3)</f>
        <v/>
      </c>
      <c r="H114" s="33">
        <f>IF(COUNT(K114:AG114)=0,"",(U114*6+V114*6+W114*4+X114*3+Y114*3+Z114*3)/3)</f>
        <v/>
      </c>
      <c r="I114" s="33">
        <f>IF(COUNT(K114:AG114)=0,"",AB114*3+AC114*2+AD114*2+AE114*1)</f>
        <v/>
      </c>
      <c r="J114" s="33">
        <f>IF(COUNT(K114:AG114)=0,"",(AF114*5+AG114*5)/3)</f>
        <v/>
      </c>
      <c r="K114" s="52" t="n"/>
      <c r="L114" s="52" t="n"/>
      <c r="M114" s="52" t="n"/>
      <c r="N114" s="52" t="n"/>
      <c r="O114" s="53" t="n"/>
      <c r="P114" s="52" t="n"/>
      <c r="Q114" s="52" t="n"/>
      <c r="R114" s="52" t="n"/>
      <c r="S114" s="52" t="n"/>
      <c r="T114" s="53" t="n"/>
      <c r="U114" s="52" t="n"/>
      <c r="V114" s="52" t="n"/>
      <c r="W114" s="52" t="n"/>
      <c r="X114" s="52" t="n"/>
      <c r="Y114" s="52" t="n"/>
      <c r="Z114" s="52" t="n"/>
      <c r="AA114" s="53" t="n"/>
      <c r="AB114" s="52" t="n"/>
      <c r="AC114" s="52" t="n"/>
      <c r="AD114" s="52" t="n"/>
      <c r="AE114" s="52" t="n"/>
      <c r="AF114" s="52" t="n"/>
      <c r="AG114" s="52" t="n"/>
      <c r="AH114" s="53" t="n"/>
      <c r="AI114" s="53" t="n"/>
    </row>
    <row r="115" ht="14.25" customHeight="1" s="65">
      <c r="A115" s="53" t="n"/>
      <c r="B115" s="53" t="n"/>
      <c r="C115" s="53" t="n"/>
      <c r="D115" s="53" t="n"/>
      <c r="E115" s="32">
        <f>IF(COUNT(K115:AG115)=0,"",ROUND((F115+G115+H115+I115+J115)/10,2))</f>
        <v/>
      </c>
      <c r="F115" s="33">
        <f>IF(COUNT(K115:AG115)=0,"",(K115*10+L115*8+M115*7+N115*5)/3)</f>
        <v/>
      </c>
      <c r="G115" s="33">
        <f>IF(COUNT(K115:AG115)=0,"",(P115*8+Q115*7+R115*5+S115*5)/3)</f>
        <v/>
      </c>
      <c r="H115" s="33">
        <f>IF(COUNT(K115:AG115)=0,"",(U115*6+V115*6+W115*4+X115*3+Y115*3+Z115*3)/3)</f>
        <v/>
      </c>
      <c r="I115" s="33">
        <f>IF(COUNT(K115:AG115)=0,"",AB115*3+AC115*2+AD115*2+AE115*1)</f>
        <v/>
      </c>
      <c r="J115" s="33">
        <f>IF(COUNT(K115:AG115)=0,"",(AF115*5+AG115*5)/3)</f>
        <v/>
      </c>
      <c r="K115" s="52" t="n"/>
      <c r="L115" s="52" t="n"/>
      <c r="M115" s="52" t="n"/>
      <c r="N115" s="52" t="n"/>
      <c r="O115" s="53" t="n"/>
      <c r="P115" s="52" t="n"/>
      <c r="Q115" s="52" t="n"/>
      <c r="R115" s="52" t="n"/>
      <c r="S115" s="52" t="n"/>
      <c r="T115" s="53" t="n"/>
      <c r="U115" s="52" t="n"/>
      <c r="V115" s="52" t="n"/>
      <c r="W115" s="52" t="n"/>
      <c r="X115" s="52" t="n"/>
      <c r="Y115" s="52" t="n"/>
      <c r="Z115" s="52" t="n"/>
      <c r="AA115" s="53" t="n"/>
      <c r="AB115" s="52" t="n"/>
      <c r="AC115" s="52" t="n"/>
      <c r="AD115" s="52" t="n"/>
      <c r="AE115" s="52" t="n"/>
      <c r="AF115" s="52" t="n"/>
      <c r="AG115" s="52" t="n"/>
      <c r="AH115" s="53" t="n"/>
      <c r="AI115" s="53" t="n"/>
    </row>
    <row r="116" ht="14.25" customHeight="1" s="65">
      <c r="A116" s="53" t="n"/>
      <c r="B116" s="53" t="n"/>
      <c r="C116" s="53" t="n"/>
      <c r="D116" s="53" t="n"/>
      <c r="E116" s="32">
        <f>IF(COUNT(K116:AG116)=0,"",ROUND((F116+G116+H116+I116+J116)/10,2))</f>
        <v/>
      </c>
      <c r="F116" s="33">
        <f>IF(COUNT(K116:AG116)=0,"",(K116*10+L116*8+M116*7+N116*5)/3)</f>
        <v/>
      </c>
      <c r="G116" s="33">
        <f>IF(COUNT(K116:AG116)=0,"",(P116*8+Q116*7+R116*5+S116*5)/3)</f>
        <v/>
      </c>
      <c r="H116" s="33">
        <f>IF(COUNT(K116:AG116)=0,"",(U116*6+V116*6+W116*4+X116*3+Y116*3+Z116*3)/3)</f>
        <v/>
      </c>
      <c r="I116" s="33">
        <f>IF(COUNT(K116:AG116)=0,"",AB116*3+AC116*2+AD116*2+AE116*1)</f>
        <v/>
      </c>
      <c r="J116" s="33">
        <f>IF(COUNT(K116:AG116)=0,"",(AF116*5+AG116*5)/3)</f>
        <v/>
      </c>
      <c r="K116" s="52" t="n"/>
      <c r="L116" s="52" t="n"/>
      <c r="M116" s="52" t="n"/>
      <c r="N116" s="52" t="n"/>
      <c r="O116" s="53" t="n"/>
      <c r="P116" s="52" t="n"/>
      <c r="Q116" s="52" t="n"/>
      <c r="R116" s="52" t="n"/>
      <c r="S116" s="52" t="n"/>
      <c r="T116" s="53" t="n"/>
      <c r="U116" s="52" t="n"/>
      <c r="V116" s="52" t="n"/>
      <c r="W116" s="52" t="n"/>
      <c r="X116" s="52" t="n"/>
      <c r="Y116" s="52" t="n"/>
      <c r="Z116" s="52" t="n"/>
      <c r="AA116" s="53" t="n"/>
      <c r="AB116" s="52" t="n"/>
      <c r="AC116" s="52" t="n"/>
      <c r="AD116" s="52" t="n"/>
      <c r="AE116" s="52" t="n"/>
      <c r="AF116" s="52" t="n"/>
      <c r="AG116" s="52" t="n"/>
      <c r="AH116" s="53" t="n"/>
      <c r="AI116" s="53" t="n"/>
    </row>
    <row r="117" ht="14.25" customHeight="1" s="65">
      <c r="A117" s="53" t="n"/>
      <c r="B117" s="53" t="n"/>
      <c r="C117" s="53" t="n"/>
      <c r="D117" s="53" t="n"/>
      <c r="E117" s="32">
        <f>IF(COUNT(K117:AG117)=0,"",ROUND((F117+G117+H117+I117+J117)/10,2))</f>
        <v/>
      </c>
      <c r="F117" s="33">
        <f>IF(COUNT(K117:AG117)=0,"",(K117*10+L117*8+M117*7+N117*5)/3)</f>
        <v/>
      </c>
      <c r="G117" s="33">
        <f>IF(COUNT(K117:AG117)=0,"",(P117*8+Q117*7+R117*5+S117*5)/3)</f>
        <v/>
      </c>
      <c r="H117" s="33">
        <f>IF(COUNT(K117:AG117)=0,"",(U117*6+V117*6+W117*4+X117*3+Y117*3+Z117*3)/3)</f>
        <v/>
      </c>
      <c r="I117" s="33">
        <f>IF(COUNT(K117:AG117)=0,"",AB117*3+AC117*2+AD117*2+AE117*1)</f>
        <v/>
      </c>
      <c r="J117" s="33">
        <f>IF(COUNT(K117:AG117)=0,"",(AF117*5+AG117*5)/3)</f>
        <v/>
      </c>
      <c r="K117" s="52" t="n"/>
      <c r="L117" s="52" t="n"/>
      <c r="M117" s="52" t="n"/>
      <c r="N117" s="52" t="n"/>
      <c r="O117" s="53" t="n"/>
      <c r="P117" s="52" t="n"/>
      <c r="Q117" s="52" t="n"/>
      <c r="R117" s="52" t="n"/>
      <c r="S117" s="52" t="n"/>
      <c r="T117" s="53" t="n"/>
      <c r="U117" s="52" t="n"/>
      <c r="V117" s="52" t="n"/>
      <c r="W117" s="52" t="n"/>
      <c r="X117" s="52" t="n"/>
      <c r="Y117" s="52" t="n"/>
      <c r="Z117" s="52" t="n"/>
      <c r="AA117" s="53" t="n"/>
      <c r="AB117" s="52" t="n"/>
      <c r="AC117" s="52" t="n"/>
      <c r="AD117" s="52" t="n"/>
      <c r="AE117" s="52" t="n"/>
      <c r="AF117" s="52" t="n"/>
      <c r="AG117" s="52" t="n"/>
      <c r="AH117" s="53" t="n"/>
      <c r="AI117" s="53" t="n"/>
    </row>
    <row r="118" ht="14.25" customHeight="1" s="65">
      <c r="A118" s="53" t="n"/>
      <c r="B118" s="53" t="n"/>
      <c r="C118" s="53" t="n"/>
      <c r="D118" s="53" t="n"/>
      <c r="E118" s="32">
        <f>IF(COUNT(K118:AG118)=0,"",ROUND((F118+G118+H118+I118+J118)/10,2))</f>
        <v/>
      </c>
      <c r="F118" s="33">
        <f>IF(COUNT(K118:AG118)=0,"",(K118*10+L118*8+M118*7+N118*5)/3)</f>
        <v/>
      </c>
      <c r="G118" s="33">
        <f>IF(COUNT(K118:AG118)=0,"",(P118*8+Q118*7+R118*5+S118*5)/3)</f>
        <v/>
      </c>
      <c r="H118" s="33">
        <f>IF(COUNT(K118:AG118)=0,"",(U118*6+V118*6+W118*4+X118*3+Y118*3+Z118*3)/3)</f>
        <v/>
      </c>
      <c r="I118" s="33">
        <f>IF(COUNT(K118:AG118)=0,"",AB118*3+AC118*2+AD118*2+AE118*1)</f>
        <v/>
      </c>
      <c r="J118" s="33">
        <f>IF(COUNT(K118:AG118)=0,"",(AF118*5+AG118*5)/3)</f>
        <v/>
      </c>
      <c r="K118" s="52" t="n"/>
      <c r="L118" s="52" t="n"/>
      <c r="M118" s="52" t="n"/>
      <c r="N118" s="52" t="n"/>
      <c r="O118" s="53" t="n"/>
      <c r="P118" s="52" t="n"/>
      <c r="Q118" s="52" t="n"/>
      <c r="R118" s="52" t="n"/>
      <c r="S118" s="52" t="n"/>
      <c r="T118" s="53" t="n"/>
      <c r="U118" s="52" t="n"/>
      <c r="V118" s="52" t="n"/>
      <c r="W118" s="52" t="n"/>
      <c r="X118" s="52" t="n"/>
      <c r="Y118" s="52" t="n"/>
      <c r="Z118" s="52" t="n"/>
      <c r="AA118" s="53" t="n"/>
      <c r="AB118" s="52" t="n"/>
      <c r="AC118" s="52" t="n"/>
      <c r="AD118" s="52" t="n"/>
      <c r="AE118" s="52" t="n"/>
      <c r="AF118" s="52" t="n"/>
      <c r="AG118" s="52" t="n"/>
      <c r="AH118" s="53" t="n"/>
      <c r="AI118" s="53" t="n"/>
    </row>
    <row r="119" ht="14.25" customHeight="1" s="65">
      <c r="A119" s="53" t="n"/>
      <c r="B119" s="53" t="n"/>
      <c r="C119" s="53" t="n"/>
      <c r="D119" s="53" t="n"/>
      <c r="E119" s="32">
        <f>IF(COUNT(K119:AG119)=0,"",ROUND((F119+G119+H119+I119+J119)/10,2))</f>
        <v/>
      </c>
      <c r="F119" s="33">
        <f>IF(COUNT(K119:AG119)=0,"",(K119*10+L119*8+M119*7+N119*5)/3)</f>
        <v/>
      </c>
      <c r="G119" s="33">
        <f>IF(COUNT(K119:AG119)=0,"",(P119*8+Q119*7+R119*5+S119*5)/3)</f>
        <v/>
      </c>
      <c r="H119" s="33">
        <f>IF(COUNT(K119:AG119)=0,"",(U119*6+V119*6+W119*4+X119*3+Y119*3+Z119*3)/3)</f>
        <v/>
      </c>
      <c r="I119" s="33">
        <f>IF(COUNT(K119:AG119)=0,"",AB119*3+AC119*2+AD119*2+AE119*1)</f>
        <v/>
      </c>
      <c r="J119" s="33">
        <f>IF(COUNT(K119:AG119)=0,"",(AF119*5+AG119*5)/3)</f>
        <v/>
      </c>
      <c r="K119" s="52" t="n"/>
      <c r="L119" s="52" t="n"/>
      <c r="M119" s="52" t="n"/>
      <c r="N119" s="52" t="n"/>
      <c r="O119" s="53" t="n"/>
      <c r="P119" s="52" t="n"/>
      <c r="Q119" s="52" t="n"/>
      <c r="R119" s="52" t="n"/>
      <c r="S119" s="52" t="n"/>
      <c r="T119" s="53" t="n"/>
      <c r="U119" s="52" t="n"/>
      <c r="V119" s="52" t="n"/>
      <c r="W119" s="52" t="n"/>
      <c r="X119" s="52" t="n"/>
      <c r="Y119" s="52" t="n"/>
      <c r="Z119" s="52" t="n"/>
      <c r="AA119" s="53" t="n"/>
      <c r="AB119" s="52" t="n"/>
      <c r="AC119" s="52" t="n"/>
      <c r="AD119" s="52" t="n"/>
      <c r="AE119" s="52" t="n"/>
      <c r="AF119" s="52" t="n"/>
      <c r="AG119" s="52" t="n"/>
      <c r="AH119" s="53" t="n"/>
      <c r="AI119" s="53" t="n"/>
    </row>
    <row r="120" ht="14.25" customHeight="1" s="65">
      <c r="A120" s="53" t="n"/>
      <c r="B120" s="53" t="n"/>
      <c r="C120" s="53" t="n"/>
      <c r="D120" s="53" t="n"/>
      <c r="E120" s="32">
        <f>IF(COUNT(K120:AG120)=0,"",ROUND((F120+G120+H120+I120+J120)/10,2))</f>
        <v/>
      </c>
      <c r="F120" s="33">
        <f>IF(COUNT(K120:AG120)=0,"",(K120*10+L120*8+M120*7+N120*5)/3)</f>
        <v/>
      </c>
      <c r="G120" s="33">
        <f>IF(COUNT(K120:AG120)=0,"",(P120*8+Q120*7+R120*5+S120*5)/3)</f>
        <v/>
      </c>
      <c r="H120" s="33">
        <f>IF(COUNT(K120:AG120)=0,"",(U120*6+V120*6+W120*4+X120*3+Y120*3+Z120*3)/3)</f>
        <v/>
      </c>
      <c r="I120" s="33">
        <f>IF(COUNT(K120:AG120)=0,"",AB120*3+AC120*2+AD120*2+AE120*1)</f>
        <v/>
      </c>
      <c r="J120" s="33">
        <f>IF(COUNT(K120:AG120)=0,"",(AF120*5+AG120*5)/3)</f>
        <v/>
      </c>
      <c r="K120" s="52" t="n"/>
      <c r="L120" s="52" t="n"/>
      <c r="M120" s="52" t="n"/>
      <c r="N120" s="52" t="n"/>
      <c r="O120" s="53" t="n"/>
      <c r="P120" s="52" t="n"/>
      <c r="Q120" s="52" t="n"/>
      <c r="R120" s="52" t="n"/>
      <c r="S120" s="52" t="n"/>
      <c r="T120" s="53" t="n"/>
      <c r="U120" s="52" t="n"/>
      <c r="V120" s="52" t="n"/>
      <c r="W120" s="52" t="n"/>
      <c r="X120" s="52" t="n"/>
      <c r="Y120" s="52" t="n"/>
      <c r="Z120" s="52" t="n"/>
      <c r="AA120" s="53" t="n"/>
      <c r="AB120" s="52" t="n"/>
      <c r="AC120" s="52" t="n"/>
      <c r="AD120" s="52" t="n"/>
      <c r="AE120" s="52" t="n"/>
      <c r="AF120" s="52" t="n"/>
      <c r="AG120" s="52" t="n"/>
      <c r="AH120" s="53" t="n"/>
      <c r="AI120" s="53" t="n"/>
    </row>
    <row r="121" ht="14.25" customHeight="1" s="65">
      <c r="A121" s="53" t="n"/>
      <c r="B121" s="53" t="n"/>
      <c r="C121" s="53" t="n"/>
      <c r="D121" s="53" t="n"/>
      <c r="E121" s="32">
        <f>IF(COUNT(K121:AG121)=0,"",ROUND((F121+G121+H121+I121+J121)/10,2))</f>
        <v/>
      </c>
      <c r="F121" s="33">
        <f>IF(COUNT(K121:AG121)=0,"",(K121*10+L121*8+M121*7+N121*5)/3)</f>
        <v/>
      </c>
      <c r="G121" s="33">
        <f>IF(COUNT(K121:AG121)=0,"",(P121*8+Q121*7+R121*5+S121*5)/3)</f>
        <v/>
      </c>
      <c r="H121" s="33">
        <f>IF(COUNT(K121:AG121)=0,"",(U121*6+V121*6+W121*4+X121*3+Y121*3+Z121*3)/3)</f>
        <v/>
      </c>
      <c r="I121" s="33">
        <f>IF(COUNT(K121:AG121)=0,"",AB121*3+AC121*2+AD121*2+AE121*1)</f>
        <v/>
      </c>
      <c r="J121" s="33">
        <f>IF(COUNT(K121:AG121)=0,"",(AF121*5+AG121*5)/3)</f>
        <v/>
      </c>
      <c r="K121" s="52" t="n"/>
      <c r="L121" s="52" t="n"/>
      <c r="M121" s="52" t="n"/>
      <c r="N121" s="52" t="n"/>
      <c r="O121" s="53" t="n"/>
      <c r="P121" s="52" t="n"/>
      <c r="Q121" s="52" t="n"/>
      <c r="R121" s="52" t="n"/>
      <c r="S121" s="52" t="n"/>
      <c r="T121" s="53" t="n"/>
      <c r="U121" s="52" t="n"/>
      <c r="V121" s="52" t="n"/>
      <c r="W121" s="52" t="n"/>
      <c r="X121" s="52" t="n"/>
      <c r="Y121" s="52" t="n"/>
      <c r="Z121" s="52" t="n"/>
      <c r="AA121" s="53" t="n"/>
      <c r="AB121" s="52" t="n"/>
      <c r="AC121" s="52" t="n"/>
      <c r="AD121" s="52" t="n"/>
      <c r="AE121" s="52" t="n"/>
      <c r="AF121" s="52" t="n"/>
      <c r="AG121" s="52" t="n"/>
      <c r="AH121" s="53" t="n"/>
      <c r="AI121" s="53" t="n"/>
    </row>
    <row r="122" ht="14.25" customHeight="1" s="65">
      <c r="A122" s="53" t="n"/>
      <c r="B122" s="53" t="n"/>
      <c r="C122" s="53" t="n"/>
      <c r="D122" s="53" t="n"/>
      <c r="E122" s="32">
        <f>IF(COUNT(K122:AG122)=0,"",ROUND((F122+G122+H122+I122+J122)/10,2))</f>
        <v/>
      </c>
      <c r="F122" s="33">
        <f>IF(COUNT(K122:AG122)=0,"",(K122*10+L122*8+M122*7+N122*5)/3)</f>
        <v/>
      </c>
      <c r="G122" s="33">
        <f>IF(COUNT(K122:AG122)=0,"",(P122*8+Q122*7+R122*5+S122*5)/3)</f>
        <v/>
      </c>
      <c r="H122" s="33">
        <f>IF(COUNT(K122:AG122)=0,"",(U122*6+V122*6+W122*4+X122*3+Y122*3+Z122*3)/3)</f>
        <v/>
      </c>
      <c r="I122" s="33">
        <f>IF(COUNT(K122:AG122)=0,"",AB122*3+AC122*2+AD122*2+AE122*1)</f>
        <v/>
      </c>
      <c r="J122" s="33">
        <f>IF(COUNT(K122:AG122)=0,"",(AF122*5+AG122*5)/3)</f>
        <v/>
      </c>
      <c r="K122" s="52" t="n"/>
      <c r="L122" s="52" t="n"/>
      <c r="M122" s="52" t="n"/>
      <c r="N122" s="52" t="n"/>
      <c r="O122" s="53" t="n"/>
      <c r="P122" s="52" t="n"/>
      <c r="Q122" s="52" t="n"/>
      <c r="R122" s="52" t="n"/>
      <c r="S122" s="52" t="n"/>
      <c r="T122" s="53" t="n"/>
      <c r="U122" s="52" t="n"/>
      <c r="V122" s="52" t="n"/>
      <c r="W122" s="52" t="n"/>
      <c r="X122" s="52" t="n"/>
      <c r="Y122" s="52" t="n"/>
      <c r="Z122" s="52" t="n"/>
      <c r="AA122" s="53" t="n"/>
      <c r="AB122" s="52" t="n"/>
      <c r="AC122" s="52" t="n"/>
      <c r="AD122" s="52" t="n"/>
      <c r="AE122" s="52" t="n"/>
      <c r="AF122" s="52" t="n"/>
      <c r="AG122" s="52" t="n"/>
      <c r="AH122" s="53" t="n"/>
      <c r="AI122" s="53" t="n"/>
    </row>
    <row r="123" ht="14.25" customHeight="1" s="65">
      <c r="A123" s="53" t="n"/>
      <c r="B123" s="53" t="n"/>
      <c r="C123" s="53" t="n"/>
      <c r="D123" s="53" t="n"/>
      <c r="E123" s="32">
        <f>IF(COUNT(K123:AG123)=0,"",ROUND((F123+G123+H123+I123+J123)/10,2))</f>
        <v/>
      </c>
      <c r="F123" s="33">
        <f>IF(COUNT(K123:AG123)=0,"",(K123*10+L123*8+M123*7+N123*5)/3)</f>
        <v/>
      </c>
      <c r="G123" s="33">
        <f>IF(COUNT(K123:AG123)=0,"",(P123*8+Q123*7+R123*5+S123*5)/3)</f>
        <v/>
      </c>
      <c r="H123" s="33">
        <f>IF(COUNT(K123:AG123)=0,"",(U123*6+V123*6+W123*4+X123*3+Y123*3+Z123*3)/3)</f>
        <v/>
      </c>
      <c r="I123" s="33">
        <f>IF(COUNT(K123:AG123)=0,"",AB123*3+AC123*2+AD123*2+AE123*1)</f>
        <v/>
      </c>
      <c r="J123" s="33">
        <f>IF(COUNT(K123:AG123)=0,"",(AF123*5+AG123*5)/3)</f>
        <v/>
      </c>
      <c r="K123" s="52" t="n"/>
      <c r="L123" s="52" t="n"/>
      <c r="M123" s="52" t="n"/>
      <c r="N123" s="52" t="n"/>
      <c r="O123" s="53" t="n"/>
      <c r="P123" s="52" t="n"/>
      <c r="Q123" s="52" t="n"/>
      <c r="R123" s="52" t="n"/>
      <c r="S123" s="52" t="n"/>
      <c r="T123" s="53" t="n"/>
      <c r="U123" s="52" t="n"/>
      <c r="V123" s="52" t="n"/>
      <c r="W123" s="52" t="n"/>
      <c r="X123" s="52" t="n"/>
      <c r="Y123" s="52" t="n"/>
      <c r="Z123" s="52" t="n"/>
      <c r="AA123" s="53" t="n"/>
      <c r="AB123" s="52" t="n"/>
      <c r="AC123" s="52" t="n"/>
      <c r="AD123" s="52" t="n"/>
      <c r="AE123" s="52" t="n"/>
      <c r="AF123" s="52" t="n"/>
      <c r="AG123" s="52" t="n"/>
      <c r="AH123" s="53" t="n"/>
      <c r="AI123" s="53" t="n"/>
    </row>
    <row r="124" ht="14.25" customHeight="1" s="65">
      <c r="A124" s="53" t="n"/>
      <c r="B124" s="53" t="n"/>
      <c r="C124" s="53" t="n"/>
      <c r="D124" s="53" t="n"/>
      <c r="E124" s="32">
        <f>IF(COUNT(K124:AG124)=0,"",ROUND((F124+G124+H124+I124+J124)/10,2))</f>
        <v/>
      </c>
      <c r="F124" s="33">
        <f>IF(COUNT(K124:AG124)=0,"",(K124*10+L124*8+M124*7+N124*5)/3)</f>
        <v/>
      </c>
      <c r="G124" s="33">
        <f>IF(COUNT(K124:AG124)=0,"",(P124*8+Q124*7+R124*5+S124*5)/3)</f>
        <v/>
      </c>
      <c r="H124" s="33">
        <f>IF(COUNT(K124:AG124)=0,"",(U124*6+V124*6+W124*4+X124*3+Y124*3+Z124*3)/3)</f>
        <v/>
      </c>
      <c r="I124" s="33">
        <f>IF(COUNT(K124:AG124)=0,"",AB124*3+AC124*2+AD124*2+AE124*1)</f>
        <v/>
      </c>
      <c r="J124" s="33">
        <f>IF(COUNT(K124:AG124)=0,"",(AF124*5+AG124*5)/3)</f>
        <v/>
      </c>
      <c r="K124" s="52" t="n"/>
      <c r="L124" s="52" t="n"/>
      <c r="M124" s="52" t="n"/>
      <c r="N124" s="52" t="n"/>
      <c r="O124" s="53" t="n"/>
      <c r="P124" s="52" t="n"/>
      <c r="Q124" s="52" t="n"/>
      <c r="R124" s="52" t="n"/>
      <c r="S124" s="52" t="n"/>
      <c r="T124" s="53" t="n"/>
      <c r="U124" s="52" t="n"/>
      <c r="V124" s="52" t="n"/>
      <c r="W124" s="52" t="n"/>
      <c r="X124" s="52" t="n"/>
      <c r="Y124" s="52" t="n"/>
      <c r="Z124" s="52" t="n"/>
      <c r="AA124" s="53" t="n"/>
      <c r="AB124" s="52" t="n"/>
      <c r="AC124" s="52" t="n"/>
      <c r="AD124" s="52" t="n"/>
      <c r="AE124" s="52" t="n"/>
      <c r="AF124" s="52" t="n"/>
      <c r="AG124" s="52" t="n"/>
      <c r="AH124" s="53" t="n"/>
      <c r="AI124" s="53" t="n"/>
    </row>
    <row r="125" ht="14.25" customHeight="1" s="65">
      <c r="A125" s="53" t="n"/>
      <c r="B125" s="53" t="n"/>
      <c r="C125" s="53" t="n"/>
      <c r="D125" s="53" t="n"/>
      <c r="E125" s="32">
        <f>IF(COUNT(K125:AG125)=0,"",ROUND((F125+G125+H125+I125+J125)/10,2))</f>
        <v/>
      </c>
      <c r="F125" s="33">
        <f>IF(COUNT(K125:AG125)=0,"",(K125*10+L125*8+M125*7+N125*5)/3)</f>
        <v/>
      </c>
      <c r="G125" s="33">
        <f>IF(COUNT(K125:AG125)=0,"",(P125*8+Q125*7+R125*5+S125*5)/3)</f>
        <v/>
      </c>
      <c r="H125" s="33">
        <f>IF(COUNT(K125:AG125)=0,"",(U125*6+V125*6+W125*4+X125*3+Y125*3+Z125*3)/3)</f>
        <v/>
      </c>
      <c r="I125" s="33">
        <f>IF(COUNT(K125:AG125)=0,"",AB125*3+AC125*2+AD125*2+AE125*1)</f>
        <v/>
      </c>
      <c r="J125" s="33">
        <f>IF(COUNT(K125:AG125)=0,"",(AF125*5+AG125*5)/3)</f>
        <v/>
      </c>
      <c r="K125" s="52" t="n"/>
      <c r="L125" s="52" t="n"/>
      <c r="M125" s="52" t="n"/>
      <c r="N125" s="52" t="n"/>
      <c r="O125" s="53" t="n"/>
      <c r="P125" s="52" t="n"/>
      <c r="Q125" s="52" t="n"/>
      <c r="R125" s="52" t="n"/>
      <c r="S125" s="52" t="n"/>
      <c r="T125" s="53" t="n"/>
      <c r="U125" s="52" t="n"/>
      <c r="V125" s="52" t="n"/>
      <c r="W125" s="52" t="n"/>
      <c r="X125" s="52" t="n"/>
      <c r="Y125" s="52" t="n"/>
      <c r="Z125" s="52" t="n"/>
      <c r="AA125" s="53" t="n"/>
      <c r="AB125" s="52" t="n"/>
      <c r="AC125" s="52" t="n"/>
      <c r="AD125" s="52" t="n"/>
      <c r="AE125" s="52" t="n"/>
      <c r="AF125" s="52" t="n"/>
      <c r="AG125" s="52" t="n"/>
      <c r="AH125" s="53" t="n"/>
      <c r="AI125" s="53" t="n"/>
    </row>
    <row r="126" ht="14.25" customHeight="1" s="65">
      <c r="A126" s="53" t="n"/>
      <c r="B126" s="53" t="n"/>
      <c r="C126" s="53" t="n"/>
      <c r="D126" s="53" t="n"/>
      <c r="E126" s="32">
        <f>IF(COUNT(K126:AG126)=0,"",ROUND((F126+G126+H126+I126+J126)/10,2))</f>
        <v/>
      </c>
      <c r="F126" s="33">
        <f>IF(COUNT(K126:AG126)=0,"",(K126*10+L126*8+M126*7+N126*5)/3)</f>
        <v/>
      </c>
      <c r="G126" s="33">
        <f>IF(COUNT(K126:AG126)=0,"",(P126*8+Q126*7+R126*5+S126*5)/3)</f>
        <v/>
      </c>
      <c r="H126" s="33">
        <f>IF(COUNT(K126:AG126)=0,"",(U126*6+V126*6+W126*4+X126*3+Y126*3+Z126*3)/3)</f>
        <v/>
      </c>
      <c r="I126" s="33">
        <f>IF(COUNT(K126:AG126)=0,"",AB126*3+AC126*2+AD126*2+AE126*1)</f>
        <v/>
      </c>
      <c r="J126" s="33">
        <f>IF(COUNT(K126:AG126)=0,"",(AF126*5+AG126*5)/3)</f>
        <v/>
      </c>
      <c r="K126" s="52" t="n"/>
      <c r="L126" s="52" t="n"/>
      <c r="M126" s="52" t="n"/>
      <c r="N126" s="52" t="n"/>
      <c r="O126" s="53" t="n"/>
      <c r="P126" s="52" t="n"/>
      <c r="Q126" s="52" t="n"/>
      <c r="R126" s="52" t="n"/>
      <c r="S126" s="52" t="n"/>
      <c r="T126" s="53" t="n"/>
      <c r="U126" s="52" t="n"/>
      <c r="V126" s="52" t="n"/>
      <c r="W126" s="52" t="n"/>
      <c r="X126" s="52" t="n"/>
      <c r="Y126" s="52" t="n"/>
      <c r="Z126" s="52" t="n"/>
      <c r="AA126" s="53" t="n"/>
      <c r="AB126" s="52" t="n"/>
      <c r="AC126" s="52" t="n"/>
      <c r="AD126" s="52" t="n"/>
      <c r="AE126" s="52" t="n"/>
      <c r="AF126" s="52" t="n"/>
      <c r="AG126" s="52" t="n"/>
      <c r="AH126" s="53" t="n"/>
      <c r="AI126" s="53" t="n"/>
    </row>
    <row r="127" ht="14.25" customHeight="1" s="65">
      <c r="A127" s="53" t="n"/>
      <c r="B127" s="53" t="n"/>
      <c r="C127" s="53" t="n"/>
      <c r="D127" s="53" t="n"/>
      <c r="E127" s="32">
        <f>IF(COUNT(K127:AG127)=0,"",ROUND((F127+G127+H127+I127+J127)/10,2))</f>
        <v/>
      </c>
      <c r="F127" s="33">
        <f>IF(COUNT(K127:AG127)=0,"",(K127*10+L127*8+M127*7+N127*5)/3)</f>
        <v/>
      </c>
      <c r="G127" s="33">
        <f>IF(COUNT(K127:AG127)=0,"",(P127*8+Q127*7+R127*5+S127*5)/3)</f>
        <v/>
      </c>
      <c r="H127" s="33">
        <f>IF(COUNT(K127:AG127)=0,"",(U127*6+V127*6+W127*4+X127*3+Y127*3+Z127*3)/3)</f>
        <v/>
      </c>
      <c r="I127" s="33">
        <f>IF(COUNT(K127:AG127)=0,"",AB127*3+AC127*2+AD127*2+AE127*1)</f>
        <v/>
      </c>
      <c r="J127" s="33">
        <f>IF(COUNT(K127:AG127)=0,"",(AF127*5+AG127*5)/3)</f>
        <v/>
      </c>
      <c r="K127" s="52" t="n"/>
      <c r="L127" s="52" t="n"/>
      <c r="M127" s="52" t="n"/>
      <c r="N127" s="52" t="n"/>
      <c r="O127" s="53" t="n"/>
      <c r="P127" s="52" t="n"/>
      <c r="Q127" s="52" t="n"/>
      <c r="R127" s="52" t="n"/>
      <c r="S127" s="52" t="n"/>
      <c r="T127" s="53" t="n"/>
      <c r="U127" s="52" t="n"/>
      <c r="V127" s="52" t="n"/>
      <c r="W127" s="52" t="n"/>
      <c r="X127" s="52" t="n"/>
      <c r="Y127" s="52" t="n"/>
      <c r="Z127" s="52" t="n"/>
      <c r="AA127" s="53" t="n"/>
      <c r="AB127" s="52" t="n"/>
      <c r="AC127" s="52" t="n"/>
      <c r="AD127" s="52" t="n"/>
      <c r="AE127" s="52" t="n"/>
      <c r="AF127" s="52" t="n"/>
      <c r="AG127" s="52" t="n"/>
      <c r="AH127" s="53" t="n"/>
      <c r="AI127" s="53" t="n"/>
    </row>
    <row r="128" ht="14.25" customHeight="1" s="65">
      <c r="A128" s="53" t="n"/>
      <c r="B128" s="53" t="n"/>
      <c r="C128" s="53" t="n"/>
      <c r="D128" s="53" t="n"/>
      <c r="E128" s="32">
        <f>IF(COUNT(K128:AG128)=0,"",ROUND((F128+G128+H128+I128+J128)/10,2))</f>
        <v/>
      </c>
      <c r="F128" s="33">
        <f>IF(COUNT(K128:AG128)=0,"",(K128*10+L128*8+M128*7+N128*5)/3)</f>
        <v/>
      </c>
      <c r="G128" s="33">
        <f>IF(COUNT(K128:AG128)=0,"",(P128*8+Q128*7+R128*5+S128*5)/3)</f>
        <v/>
      </c>
      <c r="H128" s="33">
        <f>IF(COUNT(K128:AG128)=0,"",(U128*6+V128*6+W128*4+X128*3+Y128*3+Z128*3)/3)</f>
        <v/>
      </c>
      <c r="I128" s="33">
        <f>IF(COUNT(K128:AG128)=0,"",AB128*3+AC128*2+AD128*2+AE128*1)</f>
        <v/>
      </c>
      <c r="J128" s="33">
        <f>IF(COUNT(K128:AG128)=0,"",(AF128*5+AG128*5)/3)</f>
        <v/>
      </c>
      <c r="K128" s="52" t="n"/>
      <c r="L128" s="52" t="n"/>
      <c r="M128" s="52" t="n"/>
      <c r="N128" s="52" t="n"/>
      <c r="O128" s="53" t="n"/>
      <c r="P128" s="52" t="n"/>
      <c r="Q128" s="52" t="n"/>
      <c r="R128" s="52" t="n"/>
      <c r="S128" s="52" t="n"/>
      <c r="T128" s="53" t="n"/>
      <c r="U128" s="52" t="n"/>
      <c r="V128" s="52" t="n"/>
      <c r="W128" s="52" t="n"/>
      <c r="X128" s="52" t="n"/>
      <c r="Y128" s="52" t="n"/>
      <c r="Z128" s="52" t="n"/>
      <c r="AA128" s="53" t="n"/>
      <c r="AB128" s="52" t="n"/>
      <c r="AC128" s="52" t="n"/>
      <c r="AD128" s="52" t="n"/>
      <c r="AE128" s="52" t="n"/>
      <c r="AF128" s="52" t="n"/>
      <c r="AG128" s="52" t="n"/>
      <c r="AH128" s="53" t="n"/>
      <c r="AI128" s="53" t="n"/>
    </row>
    <row r="129" ht="14.25" customHeight="1" s="65">
      <c r="A129" s="53" t="n"/>
      <c r="B129" s="53" t="n"/>
      <c r="C129" s="53" t="n"/>
      <c r="D129" s="53" t="n"/>
      <c r="E129" s="32">
        <f>IF(COUNT(K129:AG129)=0,"",ROUND((F129+G129+H129+I129+J129)/10,2))</f>
        <v/>
      </c>
      <c r="F129" s="33">
        <f>IF(COUNT(K129:AG129)=0,"",(K129*10+L129*8+M129*7+N129*5)/3)</f>
        <v/>
      </c>
      <c r="G129" s="33">
        <f>IF(COUNT(K129:AG129)=0,"",(P129*8+Q129*7+R129*5+S129*5)/3)</f>
        <v/>
      </c>
      <c r="H129" s="33">
        <f>IF(COUNT(K129:AG129)=0,"",(U129*6+V129*6+W129*4+X129*3+Y129*3+Z129*3)/3)</f>
        <v/>
      </c>
      <c r="I129" s="33">
        <f>IF(COUNT(K129:AG129)=0,"",AB129*3+AC129*2+AD129*2+AE129*1)</f>
        <v/>
      </c>
      <c r="J129" s="33">
        <f>IF(COUNT(K129:AG129)=0,"",(AF129*5+AG129*5)/3)</f>
        <v/>
      </c>
      <c r="K129" s="52" t="n"/>
      <c r="L129" s="52" t="n"/>
      <c r="M129" s="52" t="n"/>
      <c r="N129" s="52" t="n"/>
      <c r="O129" s="53" t="n"/>
      <c r="P129" s="52" t="n"/>
      <c r="Q129" s="52" t="n"/>
      <c r="R129" s="52" t="n"/>
      <c r="S129" s="52" t="n"/>
      <c r="T129" s="53" t="n"/>
      <c r="U129" s="52" t="n"/>
      <c r="V129" s="52" t="n"/>
      <c r="W129" s="52" t="n"/>
      <c r="X129" s="52" t="n"/>
      <c r="Y129" s="52" t="n"/>
      <c r="Z129" s="52" t="n"/>
      <c r="AA129" s="53" t="n"/>
      <c r="AB129" s="52" t="n"/>
      <c r="AC129" s="52" t="n"/>
      <c r="AD129" s="52" t="n"/>
      <c r="AE129" s="52" t="n"/>
      <c r="AF129" s="52" t="n"/>
      <c r="AG129" s="52" t="n"/>
      <c r="AH129" s="53" t="n"/>
      <c r="AI129" s="53" t="n"/>
    </row>
    <row r="130" ht="14.25" customHeight="1" s="65">
      <c r="A130" s="53" t="n"/>
      <c r="B130" s="53" t="n"/>
      <c r="C130" s="53" t="n"/>
      <c r="D130" s="53" t="n"/>
      <c r="E130" s="32">
        <f>IF(COUNT(K130:AG130)=0,"",ROUND((F130+G130+H130+I130+J130)/10,2))</f>
        <v/>
      </c>
      <c r="F130" s="33">
        <f>IF(COUNT(K130:AG130)=0,"",(K130*10+L130*8+M130*7+N130*5)/3)</f>
        <v/>
      </c>
      <c r="G130" s="33">
        <f>IF(COUNT(K130:AG130)=0,"",(P130*8+Q130*7+R130*5+S130*5)/3)</f>
        <v/>
      </c>
      <c r="H130" s="33">
        <f>IF(COUNT(K130:AG130)=0,"",(U130*6+V130*6+W130*4+X130*3+Y130*3+Z130*3)/3)</f>
        <v/>
      </c>
      <c r="I130" s="33">
        <f>IF(COUNT(K130:AG130)=0,"",AB130*3+AC130*2+AD130*2+AE130*1)</f>
        <v/>
      </c>
      <c r="J130" s="33">
        <f>IF(COUNT(K130:AG130)=0,"",(AF130*5+AG130*5)/3)</f>
        <v/>
      </c>
      <c r="K130" s="52" t="n"/>
      <c r="L130" s="52" t="n"/>
      <c r="M130" s="52" t="n"/>
      <c r="N130" s="52" t="n"/>
      <c r="O130" s="53" t="n"/>
      <c r="P130" s="52" t="n"/>
      <c r="Q130" s="52" t="n"/>
      <c r="R130" s="52" t="n"/>
      <c r="S130" s="52" t="n"/>
      <c r="T130" s="53" t="n"/>
      <c r="U130" s="52" t="n"/>
      <c r="V130" s="52" t="n"/>
      <c r="W130" s="52" t="n"/>
      <c r="X130" s="52" t="n"/>
      <c r="Y130" s="52" t="n"/>
      <c r="Z130" s="52" t="n"/>
      <c r="AA130" s="53" t="n"/>
      <c r="AB130" s="52" t="n"/>
      <c r="AC130" s="52" t="n"/>
      <c r="AD130" s="52" t="n"/>
      <c r="AE130" s="52" t="n"/>
      <c r="AF130" s="52" t="n"/>
      <c r="AG130" s="52" t="n"/>
      <c r="AH130" s="53" t="n"/>
      <c r="AI130" s="53" t="n"/>
    </row>
    <row r="131" ht="14.25" customHeight="1" s="65">
      <c r="A131" s="53" t="n"/>
      <c r="B131" s="53" t="n"/>
      <c r="C131" s="53" t="n"/>
      <c r="D131" s="53" t="n"/>
      <c r="E131" s="32">
        <f>IF(COUNT(K131:AG131)=0,"",ROUND((F131+G131+H131+I131+J131)/10,2))</f>
        <v/>
      </c>
      <c r="F131" s="33">
        <f>IF(COUNT(K131:AG131)=0,"",(K131*10+L131*8+M131*7+N131*5)/3)</f>
        <v/>
      </c>
      <c r="G131" s="33">
        <f>IF(COUNT(K131:AG131)=0,"",(P131*8+Q131*7+R131*5+S131*5)/3)</f>
        <v/>
      </c>
      <c r="H131" s="33">
        <f>IF(COUNT(K131:AG131)=0,"",(U131*6+V131*6+W131*4+X131*3+Y131*3+Z131*3)/3)</f>
        <v/>
      </c>
      <c r="I131" s="33">
        <f>IF(COUNT(K131:AG131)=0,"",AB131*3+AC131*2+AD131*2+AE131*1)</f>
        <v/>
      </c>
      <c r="J131" s="33">
        <f>IF(COUNT(K131:AG131)=0,"",(AF131*5+AG131*5)/3)</f>
        <v/>
      </c>
      <c r="K131" s="52" t="n"/>
      <c r="L131" s="52" t="n"/>
      <c r="M131" s="52" t="n"/>
      <c r="N131" s="52" t="n"/>
      <c r="O131" s="53" t="n"/>
      <c r="P131" s="52" t="n"/>
      <c r="Q131" s="52" t="n"/>
      <c r="R131" s="52" t="n"/>
      <c r="S131" s="52" t="n"/>
      <c r="T131" s="53" t="n"/>
      <c r="U131" s="52" t="n"/>
      <c r="V131" s="52" t="n"/>
      <c r="W131" s="52" t="n"/>
      <c r="X131" s="52" t="n"/>
      <c r="Y131" s="52" t="n"/>
      <c r="Z131" s="52" t="n"/>
      <c r="AA131" s="53" t="n"/>
      <c r="AB131" s="52" t="n"/>
      <c r="AC131" s="52" t="n"/>
      <c r="AD131" s="52" t="n"/>
      <c r="AE131" s="52" t="n"/>
      <c r="AF131" s="52" t="n"/>
      <c r="AG131" s="52" t="n"/>
      <c r="AH131" s="53" t="n"/>
      <c r="AI131" s="53" t="n"/>
    </row>
    <row r="132" ht="14.25" customHeight="1" s="65">
      <c r="A132" s="53" t="n"/>
      <c r="B132" s="53" t="n"/>
      <c r="C132" s="53" t="n"/>
      <c r="D132" s="53" t="n"/>
      <c r="E132" s="32">
        <f>IF(COUNT(K132:AG132)=0,"",ROUND((F132+G132+H132+I132+J132)/10,2))</f>
        <v/>
      </c>
      <c r="F132" s="33">
        <f>IF(COUNT(K132:AG132)=0,"",(K132*10+L132*8+M132*7+N132*5)/3)</f>
        <v/>
      </c>
      <c r="G132" s="33">
        <f>IF(COUNT(K132:AG132)=0,"",(P132*8+Q132*7+R132*5+S132*5)/3)</f>
        <v/>
      </c>
      <c r="H132" s="33">
        <f>IF(COUNT(K132:AG132)=0,"",(U132*6+V132*6+W132*4+X132*3+Y132*3+Z132*3)/3)</f>
        <v/>
      </c>
      <c r="I132" s="33">
        <f>IF(COUNT(K132:AG132)=0,"",AB132*3+AC132*2+AD132*2+AE132*1)</f>
        <v/>
      </c>
      <c r="J132" s="33">
        <f>IF(COUNT(K132:AG132)=0,"",(AF132*5+AG132*5)/3)</f>
        <v/>
      </c>
      <c r="K132" s="52" t="n"/>
      <c r="L132" s="52" t="n"/>
      <c r="M132" s="52" t="n"/>
      <c r="N132" s="52" t="n"/>
      <c r="O132" s="53" t="n"/>
      <c r="P132" s="52" t="n"/>
      <c r="Q132" s="52" t="n"/>
      <c r="R132" s="52" t="n"/>
      <c r="S132" s="52" t="n"/>
      <c r="T132" s="53" t="n"/>
      <c r="U132" s="52" t="n"/>
      <c r="V132" s="52" t="n"/>
      <c r="W132" s="52" t="n"/>
      <c r="X132" s="52" t="n"/>
      <c r="Y132" s="52" t="n"/>
      <c r="Z132" s="52" t="n"/>
      <c r="AA132" s="53" t="n"/>
      <c r="AB132" s="52" t="n"/>
      <c r="AC132" s="52" t="n"/>
      <c r="AD132" s="52" t="n"/>
      <c r="AE132" s="52" t="n"/>
      <c r="AF132" s="52" t="n"/>
      <c r="AG132" s="52" t="n"/>
      <c r="AH132" s="53" t="n"/>
      <c r="AI132" s="53" t="n"/>
    </row>
    <row r="133" ht="14.25" customHeight="1" s="65">
      <c r="A133" s="53" t="n"/>
      <c r="B133" s="53" t="n"/>
      <c r="C133" s="53" t="n"/>
      <c r="D133" s="53" t="n"/>
      <c r="E133" s="32">
        <f>IF(COUNT(K133:AG133)=0,"",ROUND((F133+G133+H133+I133+J133)/10,2))</f>
        <v/>
      </c>
      <c r="F133" s="33">
        <f>IF(COUNT(K133:AG133)=0,"",(K133*10+L133*8+M133*7+N133*5)/3)</f>
        <v/>
      </c>
      <c r="G133" s="33">
        <f>IF(COUNT(K133:AG133)=0,"",(P133*8+Q133*7+R133*5+S133*5)/3)</f>
        <v/>
      </c>
      <c r="H133" s="33">
        <f>IF(COUNT(K133:AG133)=0,"",(U133*6+V133*6+W133*4+X133*3+Y133*3+Z133*3)/3)</f>
        <v/>
      </c>
      <c r="I133" s="33">
        <f>IF(COUNT(K133:AG133)=0,"",AB133*3+AC133*2+AD133*2+AE133*1)</f>
        <v/>
      </c>
      <c r="J133" s="33">
        <f>IF(COUNT(K133:AG133)=0,"",(AF133*5+AG133*5)/3)</f>
        <v/>
      </c>
      <c r="K133" s="52" t="n"/>
      <c r="L133" s="52" t="n"/>
      <c r="M133" s="52" t="n"/>
      <c r="N133" s="52" t="n"/>
      <c r="O133" s="53" t="n"/>
      <c r="P133" s="52" t="n"/>
      <c r="Q133" s="52" t="n"/>
      <c r="R133" s="52" t="n"/>
      <c r="S133" s="52" t="n"/>
      <c r="T133" s="53" t="n"/>
      <c r="U133" s="52" t="n"/>
      <c r="V133" s="52" t="n"/>
      <c r="W133" s="52" t="n"/>
      <c r="X133" s="52" t="n"/>
      <c r="Y133" s="52" t="n"/>
      <c r="Z133" s="52" t="n"/>
      <c r="AA133" s="53" t="n"/>
      <c r="AB133" s="52" t="n"/>
      <c r="AC133" s="52" t="n"/>
      <c r="AD133" s="52" t="n"/>
      <c r="AE133" s="52" t="n"/>
      <c r="AF133" s="52" t="n"/>
      <c r="AG133" s="52" t="n"/>
      <c r="AH133" s="53" t="n"/>
      <c r="AI133" s="53" t="n"/>
    </row>
    <row r="134" ht="14.25" customHeight="1" s="65">
      <c r="A134" s="53" t="n"/>
      <c r="B134" s="53" t="n"/>
      <c r="C134" s="53" t="n"/>
      <c r="D134" s="53" t="n"/>
      <c r="E134" s="32">
        <f>IF(COUNT(K134:AG134)=0,"",ROUND((F134+G134+H134+I134+J134)/10,2))</f>
        <v/>
      </c>
      <c r="F134" s="33">
        <f>IF(COUNT(K134:AG134)=0,"",(K134*10+L134*8+M134*7+N134*5)/3)</f>
        <v/>
      </c>
      <c r="G134" s="33">
        <f>IF(COUNT(K134:AG134)=0,"",(P134*8+Q134*7+R134*5+S134*5)/3)</f>
        <v/>
      </c>
      <c r="H134" s="33">
        <f>IF(COUNT(K134:AG134)=0,"",(U134*6+V134*6+W134*4+X134*3+Y134*3+Z134*3)/3)</f>
        <v/>
      </c>
      <c r="I134" s="33">
        <f>IF(COUNT(K134:AG134)=0,"",AB134*3+AC134*2+AD134*2+AE134*1)</f>
        <v/>
      </c>
      <c r="J134" s="33">
        <f>IF(COUNT(K134:AG134)=0,"",(AF134*5+AG134*5)/3)</f>
        <v/>
      </c>
      <c r="K134" s="52" t="n"/>
      <c r="L134" s="52" t="n"/>
      <c r="M134" s="52" t="n"/>
      <c r="N134" s="52" t="n"/>
      <c r="O134" s="53" t="n"/>
      <c r="P134" s="52" t="n"/>
      <c r="Q134" s="52" t="n"/>
      <c r="R134" s="52" t="n"/>
      <c r="S134" s="52" t="n"/>
      <c r="T134" s="53" t="n"/>
      <c r="U134" s="52" t="n"/>
      <c r="V134" s="52" t="n"/>
      <c r="W134" s="52" t="n"/>
      <c r="X134" s="52" t="n"/>
      <c r="Y134" s="52" t="n"/>
      <c r="Z134" s="52" t="n"/>
      <c r="AA134" s="53" t="n"/>
      <c r="AB134" s="52" t="n"/>
      <c r="AC134" s="52" t="n"/>
      <c r="AD134" s="52" t="n"/>
      <c r="AE134" s="52" t="n"/>
      <c r="AF134" s="52" t="n"/>
      <c r="AG134" s="52" t="n"/>
      <c r="AH134" s="53" t="n"/>
      <c r="AI134" s="53" t="n"/>
    </row>
    <row r="135" ht="14.25" customHeight="1" s="65">
      <c r="A135" s="53" t="n"/>
      <c r="B135" s="53" t="n"/>
      <c r="C135" s="53" t="n"/>
      <c r="D135" s="53" t="n"/>
      <c r="E135" s="32">
        <f>IF(COUNT(K135:AG135)=0,"",ROUND((F135+G135+H135+I135+J135)/10,2))</f>
        <v/>
      </c>
      <c r="F135" s="33">
        <f>IF(COUNT(K135:AG135)=0,"",(K135*10+L135*8+M135*7+N135*5)/3)</f>
        <v/>
      </c>
      <c r="G135" s="33">
        <f>IF(COUNT(K135:AG135)=0,"",(P135*8+Q135*7+R135*5+S135*5)/3)</f>
        <v/>
      </c>
      <c r="H135" s="33">
        <f>IF(COUNT(K135:AG135)=0,"",(U135*6+V135*6+W135*4+X135*3+Y135*3+Z135*3)/3)</f>
        <v/>
      </c>
      <c r="I135" s="33">
        <f>IF(COUNT(K135:AG135)=0,"",AB135*3+AC135*2+AD135*2+AE135*1)</f>
        <v/>
      </c>
      <c r="J135" s="33">
        <f>IF(COUNT(K135:AG135)=0,"",(AF135*5+AG135*5)/3)</f>
        <v/>
      </c>
      <c r="K135" s="52" t="n"/>
      <c r="L135" s="52" t="n"/>
      <c r="M135" s="52" t="n"/>
      <c r="N135" s="52" t="n"/>
      <c r="O135" s="53" t="n"/>
      <c r="P135" s="52" t="n"/>
      <c r="Q135" s="52" t="n"/>
      <c r="R135" s="52" t="n"/>
      <c r="S135" s="52" t="n"/>
      <c r="T135" s="53" t="n"/>
      <c r="U135" s="52" t="n"/>
      <c r="V135" s="52" t="n"/>
      <c r="W135" s="52" t="n"/>
      <c r="X135" s="52" t="n"/>
      <c r="Y135" s="52" t="n"/>
      <c r="Z135" s="52" t="n"/>
      <c r="AA135" s="53" t="n"/>
      <c r="AB135" s="52" t="n"/>
      <c r="AC135" s="52" t="n"/>
      <c r="AD135" s="52" t="n"/>
      <c r="AE135" s="52" t="n"/>
      <c r="AF135" s="52" t="n"/>
      <c r="AG135" s="52" t="n"/>
      <c r="AH135" s="53" t="n"/>
      <c r="AI135" s="53" t="n"/>
    </row>
    <row r="136" ht="14.25" customHeight="1" s="65">
      <c r="A136" s="53" t="n"/>
      <c r="B136" s="53" t="n"/>
      <c r="C136" s="53" t="n"/>
      <c r="D136" s="53" t="n"/>
      <c r="E136" s="32">
        <f>IF(COUNT(K136:AG136)=0,"",ROUND((F136+G136+H136+I136+J136)/10,2))</f>
        <v/>
      </c>
      <c r="F136" s="33">
        <f>IF(COUNT(K136:AG136)=0,"",(K136*10+L136*8+M136*7+N136*5)/3)</f>
        <v/>
      </c>
      <c r="G136" s="33">
        <f>IF(COUNT(K136:AG136)=0,"",(P136*8+Q136*7+R136*5+S136*5)/3)</f>
        <v/>
      </c>
      <c r="H136" s="33">
        <f>IF(COUNT(K136:AG136)=0,"",(U136*6+V136*6+W136*4+X136*3+Y136*3+Z136*3)/3)</f>
        <v/>
      </c>
      <c r="I136" s="33">
        <f>IF(COUNT(K136:AG136)=0,"",AB136*3+AC136*2+AD136*2+AE136*1)</f>
        <v/>
      </c>
      <c r="J136" s="33">
        <f>IF(COUNT(K136:AG136)=0,"",(AF136*5+AG136*5)/3)</f>
        <v/>
      </c>
      <c r="K136" s="52" t="n"/>
      <c r="L136" s="52" t="n"/>
      <c r="M136" s="52" t="n"/>
      <c r="N136" s="52" t="n"/>
      <c r="O136" s="53" t="n"/>
      <c r="P136" s="52" t="n"/>
      <c r="Q136" s="52" t="n"/>
      <c r="R136" s="52" t="n"/>
      <c r="S136" s="52" t="n"/>
      <c r="T136" s="53" t="n"/>
      <c r="U136" s="52" t="n"/>
      <c r="V136" s="52" t="n"/>
      <c r="W136" s="52" t="n"/>
      <c r="X136" s="52" t="n"/>
      <c r="Y136" s="52" t="n"/>
      <c r="Z136" s="52" t="n"/>
      <c r="AA136" s="53" t="n"/>
      <c r="AB136" s="52" t="n"/>
      <c r="AC136" s="52" t="n"/>
      <c r="AD136" s="52" t="n"/>
      <c r="AE136" s="52" t="n"/>
      <c r="AF136" s="52" t="n"/>
      <c r="AG136" s="52" t="n"/>
      <c r="AH136" s="53" t="n"/>
      <c r="AI136" s="53" t="n"/>
    </row>
    <row r="137" ht="14.25" customHeight="1" s="65">
      <c r="A137" s="53" t="n"/>
      <c r="B137" s="53" t="n"/>
      <c r="C137" s="53" t="n"/>
      <c r="D137" s="53" t="n"/>
      <c r="E137" s="32">
        <f>IF(COUNT(K137:AG137)=0,"",ROUND((F137+G137+H137+I137+J137)/10,2))</f>
        <v/>
      </c>
      <c r="F137" s="33">
        <f>IF(COUNT(K137:AG137)=0,"",(K137*10+L137*8+M137*7+N137*5)/3)</f>
        <v/>
      </c>
      <c r="G137" s="33">
        <f>IF(COUNT(K137:AG137)=0,"",(P137*8+Q137*7+R137*5+S137*5)/3)</f>
        <v/>
      </c>
      <c r="H137" s="33">
        <f>IF(COUNT(K137:AG137)=0,"",(U137*6+V137*6+W137*4+X137*3+Y137*3+Z137*3)/3)</f>
        <v/>
      </c>
      <c r="I137" s="33">
        <f>IF(COUNT(K137:AG137)=0,"",AB137*3+AC137*2+AD137*2+AE137*1)</f>
        <v/>
      </c>
      <c r="J137" s="33">
        <f>IF(COUNT(K137:AG137)=0,"",(AF137*5+AG137*5)/3)</f>
        <v/>
      </c>
      <c r="K137" s="52" t="n"/>
      <c r="L137" s="52" t="n"/>
      <c r="M137" s="52" t="n"/>
      <c r="N137" s="52" t="n"/>
      <c r="O137" s="53" t="n"/>
      <c r="P137" s="52" t="n"/>
      <c r="Q137" s="52" t="n"/>
      <c r="R137" s="52" t="n"/>
      <c r="S137" s="52" t="n"/>
      <c r="T137" s="53" t="n"/>
      <c r="U137" s="52" t="n"/>
      <c r="V137" s="52" t="n"/>
      <c r="W137" s="52" t="n"/>
      <c r="X137" s="52" t="n"/>
      <c r="Y137" s="52" t="n"/>
      <c r="Z137" s="52" t="n"/>
      <c r="AA137" s="53" t="n"/>
      <c r="AB137" s="52" t="n"/>
      <c r="AC137" s="52" t="n"/>
      <c r="AD137" s="52" t="n"/>
      <c r="AE137" s="52" t="n"/>
      <c r="AF137" s="52" t="n"/>
      <c r="AG137" s="52" t="n"/>
      <c r="AH137" s="53" t="n"/>
      <c r="AI137" s="53" t="n"/>
    </row>
    <row r="138" ht="14.25" customHeight="1" s="65">
      <c r="A138" s="53" t="n"/>
      <c r="B138" s="53" t="n"/>
      <c r="C138" s="53" t="n"/>
      <c r="D138" s="53" t="n"/>
      <c r="E138" s="32">
        <f>IF(COUNT(K138:AG138)=0,"",ROUND((F138+G138+H138+I138+J138)/10,2))</f>
        <v/>
      </c>
      <c r="F138" s="33">
        <f>IF(COUNT(K138:AG138)=0,"",(K138*10+L138*8+M138*7+N138*5)/3)</f>
        <v/>
      </c>
      <c r="G138" s="33">
        <f>IF(COUNT(K138:AG138)=0,"",(P138*8+Q138*7+R138*5+S138*5)/3)</f>
        <v/>
      </c>
      <c r="H138" s="33">
        <f>IF(COUNT(K138:AG138)=0,"",(U138*6+V138*6+W138*4+X138*3+Y138*3+Z138*3)/3)</f>
        <v/>
      </c>
      <c r="I138" s="33">
        <f>IF(COUNT(K138:AG138)=0,"",AB138*3+AC138*2+AD138*2+AE138*1)</f>
        <v/>
      </c>
      <c r="J138" s="33">
        <f>IF(COUNT(K138:AG138)=0,"",(AF138*5+AG138*5)/3)</f>
        <v/>
      </c>
      <c r="K138" s="52" t="n"/>
      <c r="L138" s="52" t="n"/>
      <c r="M138" s="52" t="n"/>
      <c r="N138" s="52" t="n"/>
      <c r="O138" s="53" t="n"/>
      <c r="P138" s="52" t="n"/>
      <c r="Q138" s="52" t="n"/>
      <c r="R138" s="52" t="n"/>
      <c r="S138" s="52" t="n"/>
      <c r="T138" s="53" t="n"/>
      <c r="U138" s="52" t="n"/>
      <c r="V138" s="52" t="n"/>
      <c r="W138" s="52" t="n"/>
      <c r="X138" s="52" t="n"/>
      <c r="Y138" s="52" t="n"/>
      <c r="Z138" s="52" t="n"/>
      <c r="AA138" s="53" t="n"/>
      <c r="AB138" s="52" t="n"/>
      <c r="AC138" s="52" t="n"/>
      <c r="AD138" s="52" t="n"/>
      <c r="AE138" s="52" t="n"/>
      <c r="AF138" s="52" t="n"/>
      <c r="AG138" s="52" t="n"/>
      <c r="AH138" s="53" t="n"/>
      <c r="AI138" s="53" t="n"/>
    </row>
    <row r="139" ht="14.25" customHeight="1" s="65">
      <c r="A139" s="53" t="n"/>
      <c r="B139" s="53" t="n"/>
      <c r="C139" s="53" t="n"/>
      <c r="D139" s="53" t="n"/>
      <c r="E139" s="32">
        <f>IF(COUNT(K139:AG139)=0,"",ROUND((F139+G139+H139+I139+J139)/10,2))</f>
        <v/>
      </c>
      <c r="F139" s="33">
        <f>IF(COUNT(K139:AG139)=0,"",(K139*10+L139*8+M139*7+N139*5)/3)</f>
        <v/>
      </c>
      <c r="G139" s="33">
        <f>IF(COUNT(K139:AG139)=0,"",(P139*8+Q139*7+R139*5+S139*5)/3)</f>
        <v/>
      </c>
      <c r="H139" s="33">
        <f>IF(COUNT(K139:AG139)=0,"",(U139*6+V139*6+W139*4+X139*3+Y139*3+Z139*3)/3)</f>
        <v/>
      </c>
      <c r="I139" s="33">
        <f>IF(COUNT(K139:AG139)=0,"",AB139*3+AC139*2+AD139*2+AE139*1)</f>
        <v/>
      </c>
      <c r="J139" s="33">
        <f>IF(COUNT(K139:AG139)=0,"",(AF139*5+AG139*5)/3)</f>
        <v/>
      </c>
      <c r="K139" s="52" t="n"/>
      <c r="L139" s="52" t="n"/>
      <c r="M139" s="52" t="n"/>
      <c r="N139" s="52" t="n"/>
      <c r="O139" s="53" t="n"/>
      <c r="P139" s="52" t="n"/>
      <c r="Q139" s="52" t="n"/>
      <c r="R139" s="52" t="n"/>
      <c r="S139" s="52" t="n"/>
      <c r="T139" s="53" t="n"/>
      <c r="U139" s="52" t="n"/>
      <c r="V139" s="52" t="n"/>
      <c r="W139" s="52" t="n"/>
      <c r="X139" s="52" t="n"/>
      <c r="Y139" s="52" t="n"/>
      <c r="Z139" s="52" t="n"/>
      <c r="AA139" s="53" t="n"/>
      <c r="AB139" s="52" t="n"/>
      <c r="AC139" s="52" t="n"/>
      <c r="AD139" s="52" t="n"/>
      <c r="AE139" s="52" t="n"/>
      <c r="AF139" s="52" t="n"/>
      <c r="AG139" s="52" t="n"/>
      <c r="AH139" s="53" t="n"/>
      <c r="AI139" s="53" t="n"/>
    </row>
    <row r="140" ht="14.25" customHeight="1" s="65">
      <c r="A140" s="53" t="n"/>
      <c r="B140" s="53" t="n"/>
      <c r="C140" s="53" t="n"/>
      <c r="D140" s="53" t="n"/>
      <c r="E140" s="32">
        <f>IF(COUNT(K140:AG140)=0,"",ROUND((F140+G140+H140+I140+J140)/10,2))</f>
        <v/>
      </c>
      <c r="F140" s="33">
        <f>IF(COUNT(K140:AG140)=0,"",(K140*10+L140*8+M140*7+N140*5)/3)</f>
        <v/>
      </c>
      <c r="G140" s="33">
        <f>IF(COUNT(K140:AG140)=0,"",(P140*8+Q140*7+R140*5+S140*5)/3)</f>
        <v/>
      </c>
      <c r="H140" s="33">
        <f>IF(COUNT(K140:AG140)=0,"",(U140*6+V140*6+W140*4+X140*3+Y140*3+Z140*3)/3)</f>
        <v/>
      </c>
      <c r="I140" s="33">
        <f>IF(COUNT(K140:AG140)=0,"",AB140*3+AC140*2+AD140*2+AE140*1)</f>
        <v/>
      </c>
      <c r="J140" s="33">
        <f>IF(COUNT(K140:AG140)=0,"",(AF140*5+AG140*5)/3)</f>
        <v/>
      </c>
      <c r="K140" s="52" t="n"/>
      <c r="L140" s="52" t="n"/>
      <c r="M140" s="52" t="n"/>
      <c r="N140" s="52" t="n"/>
      <c r="O140" s="53" t="n"/>
      <c r="P140" s="52" t="n"/>
      <c r="Q140" s="52" t="n"/>
      <c r="R140" s="52" t="n"/>
      <c r="S140" s="52" t="n"/>
      <c r="T140" s="53" t="n"/>
      <c r="U140" s="52" t="n"/>
      <c r="V140" s="52" t="n"/>
      <c r="W140" s="52" t="n"/>
      <c r="X140" s="52" t="n"/>
      <c r="Y140" s="52" t="n"/>
      <c r="Z140" s="52" t="n"/>
      <c r="AA140" s="53" t="n"/>
      <c r="AB140" s="52" t="n"/>
      <c r="AC140" s="52" t="n"/>
      <c r="AD140" s="52" t="n"/>
      <c r="AE140" s="52" t="n"/>
      <c r="AF140" s="52" t="n"/>
      <c r="AG140" s="52" t="n"/>
      <c r="AH140" s="53" t="n"/>
      <c r="AI140" s="53" t="n"/>
    </row>
    <row r="141" ht="14.25" customHeight="1" s="65">
      <c r="A141" s="53" t="n"/>
      <c r="B141" s="53" t="n"/>
      <c r="C141" s="53" t="n"/>
      <c r="D141" s="53" t="n"/>
      <c r="E141" s="32">
        <f>IF(COUNT(K141:AG141)=0,"",ROUND((F141+G141+H141+I141+J141)/10,2))</f>
        <v/>
      </c>
      <c r="F141" s="33">
        <f>IF(COUNT(K141:AG141)=0,"",(K141*10+L141*8+M141*7+N141*5)/3)</f>
        <v/>
      </c>
      <c r="G141" s="33">
        <f>IF(COUNT(K141:AG141)=0,"",(P141*8+Q141*7+R141*5+S141*5)/3)</f>
        <v/>
      </c>
      <c r="H141" s="33">
        <f>IF(COUNT(K141:AG141)=0,"",(U141*6+V141*6+W141*4+X141*3+Y141*3+Z141*3)/3)</f>
        <v/>
      </c>
      <c r="I141" s="33">
        <f>IF(COUNT(K141:AG141)=0,"",AB141*3+AC141*2+AD141*2+AE141*1)</f>
        <v/>
      </c>
      <c r="J141" s="33">
        <f>IF(COUNT(K141:AG141)=0,"",(AF141*5+AG141*5)/3)</f>
        <v/>
      </c>
      <c r="K141" s="52" t="n"/>
      <c r="L141" s="52" t="n"/>
      <c r="M141" s="52" t="n"/>
      <c r="N141" s="52" t="n"/>
      <c r="O141" s="53" t="n"/>
      <c r="P141" s="52" t="n"/>
      <c r="Q141" s="52" t="n"/>
      <c r="R141" s="52" t="n"/>
      <c r="S141" s="52" t="n"/>
      <c r="T141" s="53" t="n"/>
      <c r="U141" s="52" t="n"/>
      <c r="V141" s="52" t="n"/>
      <c r="W141" s="52" t="n"/>
      <c r="X141" s="52" t="n"/>
      <c r="Y141" s="52" t="n"/>
      <c r="Z141" s="52" t="n"/>
      <c r="AA141" s="53" t="n"/>
      <c r="AB141" s="52" t="n"/>
      <c r="AC141" s="52" t="n"/>
      <c r="AD141" s="52" t="n"/>
      <c r="AE141" s="52" t="n"/>
      <c r="AF141" s="52" t="n"/>
      <c r="AG141" s="52" t="n"/>
      <c r="AH141" s="53" t="n"/>
      <c r="AI141" s="53" t="n"/>
    </row>
    <row r="142" ht="14.25" customHeight="1" s="65">
      <c r="A142" s="53" t="n"/>
      <c r="B142" s="53" t="n"/>
      <c r="C142" s="53" t="n"/>
      <c r="D142" s="53" t="n"/>
      <c r="E142" s="32">
        <f>IF(COUNT(K142:AG142)=0,"",ROUND((F142+G142+H142+I142+J142)/10,2))</f>
        <v/>
      </c>
      <c r="F142" s="33">
        <f>IF(COUNT(K142:AG142)=0,"",(K142*10+L142*8+M142*7+N142*5)/3)</f>
        <v/>
      </c>
      <c r="G142" s="33">
        <f>IF(COUNT(K142:AG142)=0,"",(P142*8+Q142*7+R142*5+S142*5)/3)</f>
        <v/>
      </c>
      <c r="H142" s="33">
        <f>IF(COUNT(K142:AG142)=0,"",(U142*6+V142*6+W142*4+X142*3+Y142*3+Z142*3)/3)</f>
        <v/>
      </c>
      <c r="I142" s="33">
        <f>IF(COUNT(K142:AG142)=0,"",AB142*3+AC142*2+AD142*2+AE142*1)</f>
        <v/>
      </c>
      <c r="J142" s="33">
        <f>IF(COUNT(K142:AG142)=0,"",(AF142*5+AG142*5)/3)</f>
        <v/>
      </c>
      <c r="K142" s="52" t="n"/>
      <c r="L142" s="52" t="n"/>
      <c r="M142" s="52" t="n"/>
      <c r="N142" s="52" t="n"/>
      <c r="O142" s="53" t="n"/>
      <c r="P142" s="52" t="n"/>
      <c r="Q142" s="52" t="n"/>
      <c r="R142" s="52" t="n"/>
      <c r="S142" s="52" t="n"/>
      <c r="T142" s="53" t="n"/>
      <c r="U142" s="52" t="n"/>
      <c r="V142" s="52" t="n"/>
      <c r="W142" s="52" t="n"/>
      <c r="X142" s="52" t="n"/>
      <c r="Y142" s="52" t="n"/>
      <c r="Z142" s="52" t="n"/>
      <c r="AA142" s="53" t="n"/>
      <c r="AB142" s="52" t="n"/>
      <c r="AC142" s="52" t="n"/>
      <c r="AD142" s="52" t="n"/>
      <c r="AE142" s="52" t="n"/>
      <c r="AF142" s="52" t="n"/>
      <c r="AG142" s="52" t="n"/>
      <c r="AH142" s="53" t="n"/>
      <c r="AI142" s="53" t="n"/>
    </row>
    <row r="143" ht="14.25" customHeight="1" s="65">
      <c r="A143" s="53" t="n"/>
      <c r="B143" s="53" t="n"/>
      <c r="C143" s="53" t="n"/>
      <c r="D143" s="53" t="n"/>
      <c r="E143" s="32">
        <f>IF(COUNT(K143:AG143)=0,"",ROUND((F143+G143+H143+I143+J143)/10,2))</f>
        <v/>
      </c>
      <c r="F143" s="33">
        <f>IF(COUNT(K143:AG143)=0,"",(K143*10+L143*8+M143*7+N143*5)/3)</f>
        <v/>
      </c>
      <c r="G143" s="33">
        <f>IF(COUNT(K143:AG143)=0,"",(P143*8+Q143*7+R143*5+S143*5)/3)</f>
        <v/>
      </c>
      <c r="H143" s="33">
        <f>IF(COUNT(K143:AG143)=0,"",(U143*6+V143*6+W143*4+X143*3+Y143*3+Z143*3)/3)</f>
        <v/>
      </c>
      <c r="I143" s="33">
        <f>IF(COUNT(K143:AG143)=0,"",AB143*3+AC143*2+AD143*2+AE143*1)</f>
        <v/>
      </c>
      <c r="J143" s="33">
        <f>IF(COUNT(K143:AG143)=0,"",(AF143*5+AG143*5)/3)</f>
        <v/>
      </c>
      <c r="K143" s="52" t="n"/>
      <c r="L143" s="52" t="n"/>
      <c r="M143" s="52" t="n"/>
      <c r="N143" s="52" t="n"/>
      <c r="O143" s="53" t="n"/>
      <c r="P143" s="52" t="n"/>
      <c r="Q143" s="52" t="n"/>
      <c r="R143" s="52" t="n"/>
      <c r="S143" s="52" t="n"/>
      <c r="T143" s="53" t="n"/>
      <c r="U143" s="52" t="n"/>
      <c r="V143" s="52" t="n"/>
      <c r="W143" s="52" t="n"/>
      <c r="X143" s="52" t="n"/>
      <c r="Y143" s="52" t="n"/>
      <c r="Z143" s="52" t="n"/>
      <c r="AA143" s="53" t="n"/>
      <c r="AB143" s="52" t="n"/>
      <c r="AC143" s="52" t="n"/>
      <c r="AD143" s="52" t="n"/>
      <c r="AE143" s="52" t="n"/>
      <c r="AF143" s="52" t="n"/>
      <c r="AG143" s="52" t="n"/>
      <c r="AH143" s="53" t="n"/>
      <c r="AI143" s="53" t="n"/>
    </row>
    <row r="144" ht="14.25" customHeight="1" s="65">
      <c r="A144" s="53" t="n"/>
      <c r="B144" s="53" t="n"/>
      <c r="C144" s="53" t="n"/>
      <c r="D144" s="53" t="n"/>
      <c r="E144" s="32">
        <f>IF(COUNT(K144:AG144)=0,"",ROUND((F144+G144+H144+I144+J144)/10,2))</f>
        <v/>
      </c>
      <c r="F144" s="33">
        <f>IF(COUNT(K144:AG144)=0,"",(K144*10+L144*8+M144*7+N144*5)/3)</f>
        <v/>
      </c>
      <c r="G144" s="33">
        <f>IF(COUNT(K144:AG144)=0,"",(P144*8+Q144*7+R144*5+S144*5)/3)</f>
        <v/>
      </c>
      <c r="H144" s="33">
        <f>IF(COUNT(K144:AG144)=0,"",(U144*6+V144*6+W144*4+X144*3+Y144*3+Z144*3)/3)</f>
        <v/>
      </c>
      <c r="I144" s="33">
        <f>IF(COUNT(K144:AG144)=0,"",AB144*3+AC144*2+AD144*2+AE144*1)</f>
        <v/>
      </c>
      <c r="J144" s="33">
        <f>IF(COUNT(K144:AG144)=0,"",(AF144*5+AG144*5)/3)</f>
        <v/>
      </c>
      <c r="K144" s="52" t="n"/>
      <c r="L144" s="52" t="n"/>
      <c r="M144" s="52" t="n"/>
      <c r="N144" s="52" t="n"/>
      <c r="O144" s="53" t="n"/>
      <c r="P144" s="52" t="n"/>
      <c r="Q144" s="52" t="n"/>
      <c r="R144" s="52" t="n"/>
      <c r="S144" s="52" t="n"/>
      <c r="T144" s="53" t="n"/>
      <c r="U144" s="52" t="n"/>
      <c r="V144" s="52" t="n"/>
      <c r="W144" s="52" t="n"/>
      <c r="X144" s="52" t="n"/>
      <c r="Y144" s="52" t="n"/>
      <c r="Z144" s="52" t="n"/>
      <c r="AA144" s="53" t="n"/>
      <c r="AB144" s="52" t="n"/>
      <c r="AC144" s="52" t="n"/>
      <c r="AD144" s="52" t="n"/>
      <c r="AE144" s="52" t="n"/>
      <c r="AF144" s="52" t="n"/>
      <c r="AG144" s="52" t="n"/>
      <c r="AH144" s="53" t="n"/>
      <c r="AI144" s="53" t="n"/>
    </row>
    <row r="145" ht="14.25" customHeight="1" s="65">
      <c r="A145" s="53" t="n"/>
      <c r="B145" s="53" t="n"/>
      <c r="C145" s="53" t="n"/>
      <c r="D145" s="53" t="n"/>
      <c r="E145" s="32">
        <f>IF(COUNT(K145:AG145)=0,"",ROUND((F145+G145+H145+I145+J145)/10,2))</f>
        <v/>
      </c>
      <c r="F145" s="33">
        <f>IF(COUNT(K145:AG145)=0,"",(K145*10+L145*8+M145*7+N145*5)/3)</f>
        <v/>
      </c>
      <c r="G145" s="33">
        <f>IF(COUNT(K145:AG145)=0,"",(P145*8+Q145*7+R145*5+S145*5)/3)</f>
        <v/>
      </c>
      <c r="H145" s="33">
        <f>IF(COUNT(K145:AG145)=0,"",(U145*6+V145*6+W145*4+X145*3+Y145*3+Z145*3)/3)</f>
        <v/>
      </c>
      <c r="I145" s="33">
        <f>IF(COUNT(K145:AG145)=0,"",AB145*3+AC145*2+AD145*2+AE145*1)</f>
        <v/>
      </c>
      <c r="J145" s="33">
        <f>IF(COUNT(K145:AG145)=0,"",(AF145*5+AG145*5)/3)</f>
        <v/>
      </c>
      <c r="K145" s="52" t="n"/>
      <c r="L145" s="52" t="n"/>
      <c r="M145" s="52" t="n"/>
      <c r="N145" s="52" t="n"/>
      <c r="O145" s="53" t="n"/>
      <c r="P145" s="52" t="n"/>
      <c r="Q145" s="52" t="n"/>
      <c r="R145" s="52" t="n"/>
      <c r="S145" s="52" t="n"/>
      <c r="T145" s="53" t="n"/>
      <c r="U145" s="52" t="n"/>
      <c r="V145" s="52" t="n"/>
      <c r="W145" s="52" t="n"/>
      <c r="X145" s="52" t="n"/>
      <c r="Y145" s="52" t="n"/>
      <c r="Z145" s="52" t="n"/>
      <c r="AA145" s="53" t="n"/>
      <c r="AB145" s="52" t="n"/>
      <c r="AC145" s="52" t="n"/>
      <c r="AD145" s="52" t="n"/>
      <c r="AE145" s="52" t="n"/>
      <c r="AF145" s="52" t="n"/>
      <c r="AG145" s="52" t="n"/>
      <c r="AH145" s="53" t="n"/>
      <c r="AI145" s="53" t="n"/>
    </row>
    <row r="146" ht="14.25" customHeight="1" s="65">
      <c r="A146" s="53" t="n"/>
      <c r="B146" s="53" t="n"/>
      <c r="C146" s="53" t="n"/>
      <c r="D146" s="53" t="n"/>
      <c r="E146" s="32">
        <f>IF(COUNT(K146:AG146)=0,"",ROUND((F146+G146+H146+I146+J146)/10,2))</f>
        <v/>
      </c>
      <c r="F146" s="33">
        <f>IF(COUNT(K146:AG146)=0,"",(K146*10+L146*8+M146*7+N146*5)/3)</f>
        <v/>
      </c>
      <c r="G146" s="33">
        <f>IF(COUNT(K146:AG146)=0,"",(P146*8+Q146*7+R146*5+S146*5)/3)</f>
        <v/>
      </c>
      <c r="H146" s="33">
        <f>IF(COUNT(K146:AG146)=0,"",(U146*6+V146*6+W146*4+X146*3+Y146*3+Z146*3)/3)</f>
        <v/>
      </c>
      <c r="I146" s="33">
        <f>IF(COUNT(K146:AG146)=0,"",AB146*3+AC146*2+AD146*2+AE146*1)</f>
        <v/>
      </c>
      <c r="J146" s="33">
        <f>IF(COUNT(K146:AG146)=0,"",(AF146*5+AG146*5)/3)</f>
        <v/>
      </c>
      <c r="K146" s="52" t="n"/>
      <c r="L146" s="52" t="n"/>
      <c r="M146" s="52" t="n"/>
      <c r="N146" s="52" t="n"/>
      <c r="O146" s="53" t="n"/>
      <c r="P146" s="52" t="n"/>
      <c r="Q146" s="52" t="n"/>
      <c r="R146" s="52" t="n"/>
      <c r="S146" s="52" t="n"/>
      <c r="T146" s="53" t="n"/>
      <c r="U146" s="52" t="n"/>
      <c r="V146" s="52" t="n"/>
      <c r="W146" s="52" t="n"/>
      <c r="X146" s="52" t="n"/>
      <c r="Y146" s="52" t="n"/>
      <c r="Z146" s="52" t="n"/>
      <c r="AA146" s="53" t="n"/>
      <c r="AB146" s="52" t="n"/>
      <c r="AC146" s="52" t="n"/>
      <c r="AD146" s="52" t="n"/>
      <c r="AE146" s="52" t="n"/>
      <c r="AF146" s="52" t="n"/>
      <c r="AG146" s="52" t="n"/>
      <c r="AH146" s="53" t="n"/>
      <c r="AI146" s="53" t="n"/>
    </row>
    <row r="147" ht="14.25" customHeight="1" s="65">
      <c r="A147" s="53" t="n"/>
      <c r="B147" s="53" t="n"/>
      <c r="C147" s="53" t="n"/>
      <c r="D147" s="53" t="n"/>
      <c r="E147" s="32">
        <f>IF(COUNT(K147:AG147)=0,"",ROUND((F147+G147+H147+I147+J147)/10,2))</f>
        <v/>
      </c>
      <c r="F147" s="33">
        <f>IF(COUNT(K147:AG147)=0,"",(K147*10+L147*8+M147*7+N147*5)/3)</f>
        <v/>
      </c>
      <c r="G147" s="33">
        <f>IF(COUNT(K147:AG147)=0,"",(P147*8+Q147*7+R147*5+S147*5)/3)</f>
        <v/>
      </c>
      <c r="H147" s="33">
        <f>IF(COUNT(K147:AG147)=0,"",(U147*6+V147*6+W147*4+X147*3+Y147*3+Z147*3)/3)</f>
        <v/>
      </c>
      <c r="I147" s="33">
        <f>IF(COUNT(K147:AG147)=0,"",AB147*3+AC147*2+AD147*2+AE147*1)</f>
        <v/>
      </c>
      <c r="J147" s="33">
        <f>IF(COUNT(K147:AG147)=0,"",(AF147*5+AG147*5)/3)</f>
        <v/>
      </c>
      <c r="K147" s="52" t="n"/>
      <c r="L147" s="52" t="n"/>
      <c r="M147" s="52" t="n"/>
      <c r="N147" s="52" t="n"/>
      <c r="O147" s="53" t="n"/>
      <c r="P147" s="52" t="n"/>
      <c r="Q147" s="52" t="n"/>
      <c r="R147" s="52" t="n"/>
      <c r="S147" s="52" t="n"/>
      <c r="T147" s="53" t="n"/>
      <c r="U147" s="52" t="n"/>
      <c r="V147" s="52" t="n"/>
      <c r="W147" s="52" t="n"/>
      <c r="X147" s="52" t="n"/>
      <c r="Y147" s="52" t="n"/>
      <c r="Z147" s="52" t="n"/>
      <c r="AA147" s="53" t="n"/>
      <c r="AB147" s="52" t="n"/>
      <c r="AC147" s="52" t="n"/>
      <c r="AD147" s="52" t="n"/>
      <c r="AE147" s="52" t="n"/>
      <c r="AF147" s="52" t="n"/>
      <c r="AG147" s="52" t="n"/>
      <c r="AH147" s="53" t="n"/>
      <c r="AI147" s="53" t="n"/>
    </row>
    <row r="148" ht="14.25" customHeight="1" s="65">
      <c r="A148" s="53" t="n"/>
      <c r="B148" s="53" t="n"/>
      <c r="C148" s="53" t="n"/>
      <c r="D148" s="53" t="n"/>
      <c r="E148" s="32">
        <f>IF(COUNT(K148:AG148)=0,"",ROUND((F148+G148+H148+I148+J148)/10,2))</f>
        <v/>
      </c>
      <c r="F148" s="33">
        <f>IF(COUNT(K148:AG148)=0,"",(K148*10+L148*8+M148*7+N148*5)/3)</f>
        <v/>
      </c>
      <c r="G148" s="33">
        <f>IF(COUNT(K148:AG148)=0,"",(P148*8+Q148*7+R148*5+S148*5)/3)</f>
        <v/>
      </c>
      <c r="H148" s="33">
        <f>IF(COUNT(K148:AG148)=0,"",(U148*6+V148*6+W148*4+X148*3+Y148*3+Z148*3)/3)</f>
        <v/>
      </c>
      <c r="I148" s="33">
        <f>IF(COUNT(K148:AG148)=0,"",AB148*3+AC148*2+AD148*2+AE148*1)</f>
        <v/>
      </c>
      <c r="J148" s="33">
        <f>IF(COUNT(K148:AG148)=0,"",(AF148*5+AG148*5)/3)</f>
        <v/>
      </c>
      <c r="K148" s="52" t="n"/>
      <c r="L148" s="52" t="n"/>
      <c r="M148" s="52" t="n"/>
      <c r="N148" s="52" t="n"/>
      <c r="O148" s="53" t="n"/>
      <c r="P148" s="52" t="n"/>
      <c r="Q148" s="52" t="n"/>
      <c r="R148" s="52" t="n"/>
      <c r="S148" s="52" t="n"/>
      <c r="T148" s="53" t="n"/>
      <c r="U148" s="52" t="n"/>
      <c r="V148" s="52" t="n"/>
      <c r="W148" s="52" t="n"/>
      <c r="X148" s="52" t="n"/>
      <c r="Y148" s="52" t="n"/>
      <c r="Z148" s="52" t="n"/>
      <c r="AA148" s="53" t="n"/>
      <c r="AB148" s="52" t="n"/>
      <c r="AC148" s="52" t="n"/>
      <c r="AD148" s="52" t="n"/>
      <c r="AE148" s="52" t="n"/>
      <c r="AF148" s="52" t="n"/>
      <c r="AG148" s="52" t="n"/>
      <c r="AH148" s="53" t="n"/>
      <c r="AI148" s="53" t="n"/>
    </row>
    <row r="149" ht="14.25" customHeight="1" s="65">
      <c r="A149" s="53" t="n"/>
      <c r="B149" s="53" t="n"/>
      <c r="C149" s="53" t="n"/>
      <c r="D149" s="53" t="n"/>
      <c r="E149" s="32">
        <f>IF(COUNT(K149:AG149)=0,"",ROUND((F149+G149+H149+I149+J149)/10,2))</f>
        <v/>
      </c>
      <c r="F149" s="33">
        <f>IF(COUNT(K149:AG149)=0,"",(K149*10+L149*8+M149*7+N149*5)/3)</f>
        <v/>
      </c>
      <c r="G149" s="33">
        <f>IF(COUNT(K149:AG149)=0,"",(P149*8+Q149*7+R149*5+S149*5)/3)</f>
        <v/>
      </c>
      <c r="H149" s="33">
        <f>IF(COUNT(K149:AG149)=0,"",(U149*6+V149*6+W149*4+X149*3+Y149*3+Z149*3)/3)</f>
        <v/>
      </c>
      <c r="I149" s="33">
        <f>IF(COUNT(K149:AG149)=0,"",AB149*3+AC149*2+AD149*2+AE149*1)</f>
        <v/>
      </c>
      <c r="J149" s="33">
        <f>IF(COUNT(K149:AG149)=0,"",(AF149*5+AG149*5)/3)</f>
        <v/>
      </c>
      <c r="K149" s="52" t="n"/>
      <c r="L149" s="52" t="n"/>
      <c r="M149" s="52" t="n"/>
      <c r="N149" s="52" t="n"/>
      <c r="O149" s="53" t="n"/>
      <c r="P149" s="52" t="n"/>
      <c r="Q149" s="52" t="n"/>
      <c r="R149" s="52" t="n"/>
      <c r="S149" s="52" t="n"/>
      <c r="T149" s="53" t="n"/>
      <c r="U149" s="52" t="n"/>
      <c r="V149" s="52" t="n"/>
      <c r="W149" s="52" t="n"/>
      <c r="X149" s="52" t="n"/>
      <c r="Y149" s="52" t="n"/>
      <c r="Z149" s="52" t="n"/>
      <c r="AA149" s="53" t="n"/>
      <c r="AB149" s="52" t="n"/>
      <c r="AC149" s="52" t="n"/>
      <c r="AD149" s="52" t="n"/>
      <c r="AE149" s="52" t="n"/>
      <c r="AF149" s="52" t="n"/>
      <c r="AG149" s="52" t="n"/>
      <c r="AH149" s="53" t="n"/>
      <c r="AI149" s="53" t="n"/>
    </row>
    <row r="150" ht="14.25" customHeight="1" s="65">
      <c r="A150" s="53" t="n"/>
      <c r="B150" s="53" t="n"/>
      <c r="C150" s="53" t="n"/>
      <c r="D150" s="53" t="n"/>
      <c r="E150" s="32">
        <f>IF(COUNT(K150:AG150)=0,"",ROUND((F150+G150+H150+I150+J150)/10,2))</f>
        <v/>
      </c>
      <c r="F150" s="33">
        <f>IF(COUNT(K150:AG150)=0,"",(K150*10+L150*8+M150*7+N150*5)/3)</f>
        <v/>
      </c>
      <c r="G150" s="33">
        <f>IF(COUNT(K150:AG150)=0,"",(P150*8+Q150*7+R150*5+S150*5)/3)</f>
        <v/>
      </c>
      <c r="H150" s="33">
        <f>IF(COUNT(K150:AG150)=0,"",(U150*6+V150*6+W150*4+X150*3+Y150*3+Z150*3)/3)</f>
        <v/>
      </c>
      <c r="I150" s="33">
        <f>IF(COUNT(K150:AG150)=0,"",AB150*3+AC150*2+AD150*2+AE150*1)</f>
        <v/>
      </c>
      <c r="J150" s="33">
        <f>IF(COUNT(K150:AG150)=0,"",(AF150*5+AG150*5)/3)</f>
        <v/>
      </c>
      <c r="K150" s="52" t="n"/>
      <c r="L150" s="52" t="n"/>
      <c r="M150" s="52" t="n"/>
      <c r="N150" s="52" t="n"/>
      <c r="O150" s="53" t="n"/>
      <c r="P150" s="52" t="n"/>
      <c r="Q150" s="52" t="n"/>
      <c r="R150" s="52" t="n"/>
      <c r="S150" s="52" t="n"/>
      <c r="T150" s="53" t="n"/>
      <c r="U150" s="52" t="n"/>
      <c r="V150" s="52" t="n"/>
      <c r="W150" s="52" t="n"/>
      <c r="X150" s="52" t="n"/>
      <c r="Y150" s="52" t="n"/>
      <c r="Z150" s="52" t="n"/>
      <c r="AA150" s="53" t="n"/>
      <c r="AB150" s="52" t="n"/>
      <c r="AC150" s="52" t="n"/>
      <c r="AD150" s="52" t="n"/>
      <c r="AE150" s="52" t="n"/>
      <c r="AF150" s="52" t="n"/>
      <c r="AG150" s="52" t="n"/>
      <c r="AH150" s="53" t="n"/>
      <c r="AI150" s="53" t="n"/>
    </row>
    <row r="151" ht="14.25" customHeight="1" s="65">
      <c r="A151" s="53" t="n"/>
      <c r="B151" s="53" t="n"/>
      <c r="C151" s="53" t="n"/>
      <c r="D151" s="53" t="n"/>
      <c r="E151" s="32">
        <f>IF(COUNT(K151:AG151)=0,"",ROUND((F151+G151+H151+I151+J151)/10,2))</f>
        <v/>
      </c>
      <c r="F151" s="33">
        <f>IF(COUNT(K151:AG151)=0,"",(K151*10+L151*8+M151*7+N151*5)/3)</f>
        <v/>
      </c>
      <c r="G151" s="33">
        <f>IF(COUNT(K151:AG151)=0,"",(P151*8+Q151*7+R151*5+S151*5)/3)</f>
        <v/>
      </c>
      <c r="H151" s="33">
        <f>IF(COUNT(K151:AG151)=0,"",(U151*6+V151*6+W151*4+X151*3+Y151*3+Z151*3)/3)</f>
        <v/>
      </c>
      <c r="I151" s="33">
        <f>IF(COUNT(K151:AG151)=0,"",AB151*3+AC151*2+AD151*2+AE151*1)</f>
        <v/>
      </c>
      <c r="J151" s="33">
        <f>IF(COUNT(K151:AG151)=0,"",(AF151*5+AG151*5)/3)</f>
        <v/>
      </c>
      <c r="K151" s="52" t="n"/>
      <c r="L151" s="52" t="n"/>
      <c r="M151" s="52" t="n"/>
      <c r="N151" s="52" t="n"/>
      <c r="O151" s="53" t="n"/>
      <c r="P151" s="52" t="n"/>
      <c r="Q151" s="52" t="n"/>
      <c r="R151" s="52" t="n"/>
      <c r="S151" s="52" t="n"/>
      <c r="T151" s="53" t="n"/>
      <c r="U151" s="52" t="n"/>
      <c r="V151" s="52" t="n"/>
      <c r="W151" s="52" t="n"/>
      <c r="X151" s="52" t="n"/>
      <c r="Y151" s="52" t="n"/>
      <c r="Z151" s="52" t="n"/>
      <c r="AA151" s="53" t="n"/>
      <c r="AB151" s="52" t="n"/>
      <c r="AC151" s="52" t="n"/>
      <c r="AD151" s="52" t="n"/>
      <c r="AE151" s="52" t="n"/>
      <c r="AF151" s="52" t="n"/>
      <c r="AG151" s="52" t="n"/>
      <c r="AH151" s="53" t="n"/>
      <c r="AI151" s="53" t="n"/>
    </row>
    <row r="152" ht="14.25" customHeight="1" s="65">
      <c r="A152" s="53" t="n"/>
      <c r="B152" s="53" t="n"/>
      <c r="C152" s="53" t="n"/>
      <c r="D152" s="53" t="n"/>
      <c r="E152" s="32">
        <f>IF(COUNT(K152:AG152)=0,"",ROUND((F152+G152+H152+I152+J152)/10,2))</f>
        <v/>
      </c>
      <c r="F152" s="33">
        <f>IF(COUNT(K152:AG152)=0,"",(K152*10+L152*8+M152*7+N152*5)/3)</f>
        <v/>
      </c>
      <c r="G152" s="33">
        <f>IF(COUNT(K152:AG152)=0,"",(P152*8+Q152*7+R152*5+S152*5)/3)</f>
        <v/>
      </c>
      <c r="H152" s="33">
        <f>IF(COUNT(K152:AG152)=0,"",(U152*6+V152*6+W152*4+X152*3+Y152*3+Z152*3)/3)</f>
        <v/>
      </c>
      <c r="I152" s="33">
        <f>IF(COUNT(K152:AG152)=0,"",AB152*3+AC152*2+AD152*2+AE152*1)</f>
        <v/>
      </c>
      <c r="J152" s="33">
        <f>IF(COUNT(K152:AG152)=0,"",(AF152*5+AG152*5)/3)</f>
        <v/>
      </c>
      <c r="K152" s="52" t="n"/>
      <c r="L152" s="52" t="n"/>
      <c r="M152" s="52" t="n"/>
      <c r="N152" s="52" t="n"/>
      <c r="O152" s="53" t="n"/>
      <c r="P152" s="52" t="n"/>
      <c r="Q152" s="52" t="n"/>
      <c r="R152" s="52" t="n"/>
      <c r="S152" s="52" t="n"/>
      <c r="T152" s="53" t="n"/>
      <c r="U152" s="52" t="n"/>
      <c r="V152" s="52" t="n"/>
      <c r="W152" s="52" t="n"/>
      <c r="X152" s="52" t="n"/>
      <c r="Y152" s="52" t="n"/>
      <c r="Z152" s="52" t="n"/>
      <c r="AA152" s="53" t="n"/>
      <c r="AB152" s="52" t="n"/>
      <c r="AC152" s="52" t="n"/>
      <c r="AD152" s="52" t="n"/>
      <c r="AE152" s="52" t="n"/>
      <c r="AF152" s="52" t="n"/>
      <c r="AG152" s="52" t="n"/>
      <c r="AH152" s="53" t="n"/>
      <c r="AI152" s="53" t="n"/>
    </row>
    <row r="153" ht="14.25" customHeight="1" s="65">
      <c r="A153" s="53" t="n"/>
      <c r="B153" s="53" t="n"/>
      <c r="C153" s="53" t="n"/>
      <c r="D153" s="53" t="n"/>
      <c r="E153" s="32">
        <f>IF(COUNT(K153:AG153)=0,"",ROUND((F153+G153+H153+I153+J153)/10,2))</f>
        <v/>
      </c>
      <c r="F153" s="33">
        <f>IF(COUNT(K153:AG153)=0,"",(K153*10+L153*8+M153*7+N153*5)/3)</f>
        <v/>
      </c>
      <c r="G153" s="33">
        <f>IF(COUNT(K153:AG153)=0,"",(P153*8+Q153*7+R153*5+S153*5)/3)</f>
        <v/>
      </c>
      <c r="H153" s="33">
        <f>IF(COUNT(K153:AG153)=0,"",(U153*6+V153*6+W153*4+X153*3+Y153*3+Z153*3)/3)</f>
        <v/>
      </c>
      <c r="I153" s="33">
        <f>IF(COUNT(K153:AG153)=0,"",AB153*3+AC153*2+AD153*2+AE153*1)</f>
        <v/>
      </c>
      <c r="J153" s="33">
        <f>IF(COUNT(K153:AG153)=0,"",(AF153*5+AG153*5)/3)</f>
        <v/>
      </c>
      <c r="K153" s="52" t="n"/>
      <c r="L153" s="52" t="n"/>
      <c r="M153" s="52" t="n"/>
      <c r="N153" s="52" t="n"/>
      <c r="O153" s="53" t="n"/>
      <c r="P153" s="52" t="n"/>
      <c r="Q153" s="52" t="n"/>
      <c r="R153" s="52" t="n"/>
      <c r="S153" s="52" t="n"/>
      <c r="T153" s="53" t="n"/>
      <c r="U153" s="52" t="n"/>
      <c r="V153" s="52" t="n"/>
      <c r="W153" s="52" t="n"/>
      <c r="X153" s="52" t="n"/>
      <c r="Y153" s="52" t="n"/>
      <c r="Z153" s="52" t="n"/>
      <c r="AA153" s="53" t="n"/>
      <c r="AB153" s="52" t="n"/>
      <c r="AC153" s="52" t="n"/>
      <c r="AD153" s="52" t="n"/>
      <c r="AE153" s="52" t="n"/>
      <c r="AF153" s="52" t="n"/>
      <c r="AG153" s="52" t="n"/>
      <c r="AH153" s="53" t="n"/>
      <c r="AI153" s="53" t="n"/>
    </row>
    <row r="154" ht="14.25" customHeight="1" s="65">
      <c r="A154" s="53" t="n"/>
      <c r="B154" s="53" t="n"/>
      <c r="C154" s="53" t="n"/>
      <c r="D154" s="53" t="n"/>
      <c r="E154" s="32">
        <f>IF(COUNT(K154:AG154)=0,"",ROUND((F154+G154+H154+I154+J154)/10,2))</f>
        <v/>
      </c>
      <c r="F154" s="33">
        <f>IF(COUNT(K154:AG154)=0,"",(K154*10+L154*8+M154*7+N154*5)/3)</f>
        <v/>
      </c>
      <c r="G154" s="33">
        <f>IF(COUNT(K154:AG154)=0,"",(P154*8+Q154*7+R154*5+S154*5)/3)</f>
        <v/>
      </c>
      <c r="H154" s="33">
        <f>IF(COUNT(K154:AG154)=0,"",(U154*6+V154*6+W154*4+X154*3+Y154*3+Z154*3)/3)</f>
        <v/>
      </c>
      <c r="I154" s="33">
        <f>IF(COUNT(K154:AG154)=0,"",AB154*3+AC154*2+AD154*2+AE154*1)</f>
        <v/>
      </c>
      <c r="J154" s="33">
        <f>IF(COUNT(K154:AG154)=0,"",(AF154*5+AG154*5)/3)</f>
        <v/>
      </c>
      <c r="K154" s="52" t="n"/>
      <c r="L154" s="52" t="n"/>
      <c r="M154" s="52" t="n"/>
      <c r="N154" s="52" t="n"/>
      <c r="O154" s="53" t="n"/>
      <c r="P154" s="52" t="n"/>
      <c r="Q154" s="52" t="n"/>
      <c r="R154" s="52" t="n"/>
      <c r="S154" s="52" t="n"/>
      <c r="T154" s="53" t="n"/>
      <c r="U154" s="52" t="n"/>
      <c r="V154" s="52" t="n"/>
      <c r="W154" s="52" t="n"/>
      <c r="X154" s="52" t="n"/>
      <c r="Y154" s="52" t="n"/>
      <c r="Z154" s="52" t="n"/>
      <c r="AA154" s="53" t="n"/>
      <c r="AB154" s="52" t="n"/>
      <c r="AC154" s="52" t="n"/>
      <c r="AD154" s="52" t="n"/>
      <c r="AE154" s="52" t="n"/>
      <c r="AF154" s="52" t="n"/>
      <c r="AG154" s="52" t="n"/>
      <c r="AH154" s="53" t="n"/>
      <c r="AI154" s="53" t="n"/>
    </row>
    <row r="155" ht="14.25" customHeight="1" s="65">
      <c r="A155" s="53" t="n"/>
      <c r="B155" s="53" t="n"/>
      <c r="C155" s="53" t="n"/>
      <c r="D155" s="53" t="n"/>
      <c r="E155" s="32">
        <f>IF(COUNT(K155:AG155)=0,"",ROUND((F155+G155+H155+I155+J155)/10,2))</f>
        <v/>
      </c>
      <c r="F155" s="33">
        <f>IF(COUNT(K155:AG155)=0,"",(K155*10+L155*8+M155*7+N155*5)/3)</f>
        <v/>
      </c>
      <c r="G155" s="33">
        <f>IF(COUNT(K155:AG155)=0,"",(P155*8+Q155*7+R155*5+S155*5)/3)</f>
        <v/>
      </c>
      <c r="H155" s="33">
        <f>IF(COUNT(K155:AG155)=0,"",(U155*6+V155*6+W155*4+X155*3+Y155*3+Z155*3)/3)</f>
        <v/>
      </c>
      <c r="I155" s="33">
        <f>IF(COUNT(K155:AG155)=0,"",AB155*3+AC155*2+AD155*2+AE155*1)</f>
        <v/>
      </c>
      <c r="J155" s="33">
        <f>IF(COUNT(K155:AG155)=0,"",(AF155*5+AG155*5)/3)</f>
        <v/>
      </c>
      <c r="K155" s="52" t="n"/>
      <c r="L155" s="52" t="n"/>
      <c r="M155" s="52" t="n"/>
      <c r="N155" s="52" t="n"/>
      <c r="O155" s="53" t="n"/>
      <c r="P155" s="52" t="n"/>
      <c r="Q155" s="52" t="n"/>
      <c r="R155" s="52" t="n"/>
      <c r="S155" s="52" t="n"/>
      <c r="T155" s="53" t="n"/>
      <c r="U155" s="52" t="n"/>
      <c r="V155" s="52" t="n"/>
      <c r="W155" s="52" t="n"/>
      <c r="X155" s="52" t="n"/>
      <c r="Y155" s="52" t="n"/>
      <c r="Z155" s="52" t="n"/>
      <c r="AA155" s="53" t="n"/>
      <c r="AB155" s="52" t="n"/>
      <c r="AC155" s="52" t="n"/>
      <c r="AD155" s="52" t="n"/>
      <c r="AE155" s="52" t="n"/>
      <c r="AF155" s="52" t="n"/>
      <c r="AG155" s="52" t="n"/>
      <c r="AH155" s="53" t="n"/>
      <c r="AI155" s="53" t="n"/>
    </row>
    <row r="156" ht="14.25" customHeight="1" s="65">
      <c r="A156" s="53" t="n"/>
      <c r="B156" s="53" t="n"/>
      <c r="C156" s="53" t="n"/>
      <c r="D156" s="53" t="n"/>
      <c r="E156" s="32">
        <f>IF(COUNT(K156:AG156)=0,"",ROUND((F156+G156+H156+I156+J156)/10,2))</f>
        <v/>
      </c>
      <c r="F156" s="33">
        <f>IF(COUNT(K156:AG156)=0,"",(K156*10+L156*8+M156*7+N156*5)/3)</f>
        <v/>
      </c>
      <c r="G156" s="33">
        <f>IF(COUNT(K156:AG156)=0,"",(P156*8+Q156*7+R156*5+S156*5)/3)</f>
        <v/>
      </c>
      <c r="H156" s="33">
        <f>IF(COUNT(K156:AG156)=0,"",(U156*6+V156*6+W156*4+X156*3+Y156*3+Z156*3)/3)</f>
        <v/>
      </c>
      <c r="I156" s="33">
        <f>IF(COUNT(K156:AG156)=0,"",AB156*3+AC156*2+AD156*2+AE156*1)</f>
        <v/>
      </c>
      <c r="J156" s="33">
        <f>IF(COUNT(K156:AG156)=0,"",(AF156*5+AG156*5)/3)</f>
        <v/>
      </c>
      <c r="K156" s="52" t="n"/>
      <c r="L156" s="52" t="n"/>
      <c r="M156" s="52" t="n"/>
      <c r="N156" s="52" t="n"/>
      <c r="O156" s="53" t="n"/>
      <c r="P156" s="52" t="n"/>
      <c r="Q156" s="52" t="n"/>
      <c r="R156" s="52" t="n"/>
      <c r="S156" s="52" t="n"/>
      <c r="T156" s="53" t="n"/>
      <c r="U156" s="52" t="n"/>
      <c r="V156" s="52" t="n"/>
      <c r="W156" s="52" t="n"/>
      <c r="X156" s="52" t="n"/>
      <c r="Y156" s="52" t="n"/>
      <c r="Z156" s="52" t="n"/>
      <c r="AA156" s="53" t="n"/>
      <c r="AB156" s="52" t="n"/>
      <c r="AC156" s="52" t="n"/>
      <c r="AD156" s="52" t="n"/>
      <c r="AE156" s="52" t="n"/>
      <c r="AF156" s="52" t="n"/>
      <c r="AG156" s="52" t="n"/>
      <c r="AH156" s="53" t="n"/>
      <c r="AI156" s="53" t="n"/>
    </row>
    <row r="157" ht="14.25" customHeight="1" s="65">
      <c r="A157" s="53" t="n"/>
      <c r="B157" s="53" t="n"/>
      <c r="C157" s="53" t="n"/>
      <c r="D157" s="53" t="n"/>
      <c r="E157" s="32">
        <f>IF(COUNT(K157:AG157)=0,"",ROUND((F157+G157+H157+I157+J157)/10,2))</f>
        <v/>
      </c>
      <c r="F157" s="33">
        <f>IF(COUNT(K157:AG157)=0,"",(K157*10+L157*8+M157*7+N157*5)/3)</f>
        <v/>
      </c>
      <c r="G157" s="33">
        <f>IF(COUNT(K157:AG157)=0,"",(P157*8+Q157*7+R157*5+S157*5)/3)</f>
        <v/>
      </c>
      <c r="H157" s="33">
        <f>IF(COUNT(K157:AG157)=0,"",(U157*6+V157*6+W157*4+X157*3+Y157*3+Z157*3)/3)</f>
        <v/>
      </c>
      <c r="I157" s="33">
        <f>IF(COUNT(K157:AG157)=0,"",AB157*3+AC157*2+AD157*2+AE157*1)</f>
        <v/>
      </c>
      <c r="J157" s="33">
        <f>IF(COUNT(K157:AG157)=0,"",(AF157*5+AG157*5)/3)</f>
        <v/>
      </c>
      <c r="K157" s="52" t="n"/>
      <c r="L157" s="52" t="n"/>
      <c r="M157" s="52" t="n"/>
      <c r="N157" s="52" t="n"/>
      <c r="O157" s="53" t="n"/>
      <c r="P157" s="52" t="n"/>
      <c r="Q157" s="52" t="n"/>
      <c r="R157" s="52" t="n"/>
      <c r="S157" s="52" t="n"/>
      <c r="T157" s="53" t="n"/>
      <c r="U157" s="52" t="n"/>
      <c r="V157" s="52" t="n"/>
      <c r="W157" s="52" t="n"/>
      <c r="X157" s="52" t="n"/>
      <c r="Y157" s="52" t="n"/>
      <c r="Z157" s="52" t="n"/>
      <c r="AA157" s="53" t="n"/>
      <c r="AB157" s="52" t="n"/>
      <c r="AC157" s="52" t="n"/>
      <c r="AD157" s="52" t="n"/>
      <c r="AE157" s="52" t="n"/>
      <c r="AF157" s="52" t="n"/>
      <c r="AG157" s="52" t="n"/>
      <c r="AH157" s="53" t="n"/>
      <c r="AI157" s="53" t="n"/>
    </row>
    <row r="158" ht="14.25" customHeight="1" s="65">
      <c r="A158" s="53" t="n"/>
      <c r="B158" s="53" t="n"/>
      <c r="C158" s="53" t="n"/>
      <c r="D158" s="53" t="n"/>
      <c r="E158" s="32">
        <f>IF(COUNT(K158:AG158)=0,"",ROUND((F158+G158+H158+I158+J158)/10,2))</f>
        <v/>
      </c>
      <c r="F158" s="33">
        <f>IF(COUNT(K158:AG158)=0,"",(K158*10+L158*8+M158*7+N158*5)/3)</f>
        <v/>
      </c>
      <c r="G158" s="33">
        <f>IF(COUNT(K158:AG158)=0,"",(P158*8+Q158*7+R158*5+S158*5)/3)</f>
        <v/>
      </c>
      <c r="H158" s="33">
        <f>IF(COUNT(K158:AG158)=0,"",(U158*6+V158*6+W158*4+X158*3+Y158*3+Z158*3)/3)</f>
        <v/>
      </c>
      <c r="I158" s="33">
        <f>IF(COUNT(K158:AG158)=0,"",AB158*3+AC158*2+AD158*2+AE158*1)</f>
        <v/>
      </c>
      <c r="J158" s="33">
        <f>IF(COUNT(K158:AG158)=0,"",(AF158*5+AG158*5)/3)</f>
        <v/>
      </c>
      <c r="K158" s="52" t="n"/>
      <c r="L158" s="52" t="n"/>
      <c r="M158" s="52" t="n"/>
      <c r="N158" s="52" t="n"/>
      <c r="O158" s="53" t="n"/>
      <c r="P158" s="52" t="n"/>
      <c r="Q158" s="52" t="n"/>
      <c r="R158" s="52" t="n"/>
      <c r="S158" s="52" t="n"/>
      <c r="T158" s="53" t="n"/>
      <c r="U158" s="52" t="n"/>
      <c r="V158" s="52" t="n"/>
      <c r="W158" s="52" t="n"/>
      <c r="X158" s="52" t="n"/>
      <c r="Y158" s="52" t="n"/>
      <c r="Z158" s="52" t="n"/>
      <c r="AA158" s="53" t="n"/>
      <c r="AB158" s="52" t="n"/>
      <c r="AC158" s="52" t="n"/>
      <c r="AD158" s="52" t="n"/>
      <c r="AE158" s="52" t="n"/>
      <c r="AF158" s="52" t="n"/>
      <c r="AG158" s="52" t="n"/>
      <c r="AH158" s="53" t="n"/>
      <c r="AI158" s="53" t="n"/>
    </row>
    <row r="159" ht="14.25" customHeight="1" s="65">
      <c r="A159" s="53" t="n"/>
      <c r="B159" s="53" t="n"/>
      <c r="C159" s="53" t="n"/>
      <c r="D159" s="53" t="n"/>
      <c r="E159" s="32">
        <f>IF(COUNT(K159:AG159)=0,"",ROUND((F159+G159+H159+I159+J159)/10,2))</f>
        <v/>
      </c>
      <c r="F159" s="33">
        <f>IF(COUNT(K159:AG159)=0,"",(K159*10+L159*8+M159*7+N159*5)/3)</f>
        <v/>
      </c>
      <c r="G159" s="33">
        <f>IF(COUNT(K159:AG159)=0,"",(P159*8+Q159*7+R159*5+S159*5)/3)</f>
        <v/>
      </c>
      <c r="H159" s="33">
        <f>IF(COUNT(K159:AG159)=0,"",(U159*6+V159*6+W159*4+X159*3+Y159*3+Z159*3)/3)</f>
        <v/>
      </c>
      <c r="I159" s="33">
        <f>IF(COUNT(K159:AG159)=0,"",AB159*3+AC159*2+AD159*2+AE159*1)</f>
        <v/>
      </c>
      <c r="J159" s="33">
        <f>IF(COUNT(K159:AG159)=0,"",(AF159*5+AG159*5)/3)</f>
        <v/>
      </c>
      <c r="K159" s="52" t="n"/>
      <c r="L159" s="52" t="n"/>
      <c r="M159" s="52" t="n"/>
      <c r="N159" s="52" t="n"/>
      <c r="O159" s="53" t="n"/>
      <c r="P159" s="52" t="n"/>
      <c r="Q159" s="52" t="n"/>
      <c r="R159" s="52" t="n"/>
      <c r="S159" s="52" t="n"/>
      <c r="T159" s="53" t="n"/>
      <c r="U159" s="52" t="n"/>
      <c r="V159" s="52" t="n"/>
      <c r="W159" s="52" t="n"/>
      <c r="X159" s="52" t="n"/>
      <c r="Y159" s="52" t="n"/>
      <c r="Z159" s="52" t="n"/>
      <c r="AA159" s="53" t="n"/>
      <c r="AB159" s="52" t="n"/>
      <c r="AC159" s="52" t="n"/>
      <c r="AD159" s="52" t="n"/>
      <c r="AE159" s="52" t="n"/>
      <c r="AF159" s="52" t="n"/>
      <c r="AG159" s="52" t="n"/>
      <c r="AH159" s="53" t="n"/>
      <c r="AI159" s="53" t="n"/>
    </row>
    <row r="160" ht="14.25" customHeight="1" s="65">
      <c r="A160" s="53" t="n"/>
      <c r="B160" s="53" t="n"/>
      <c r="C160" s="53" t="n"/>
      <c r="D160" s="53" t="n"/>
      <c r="E160" s="32">
        <f>IF(COUNT(K160:AG160)=0,"",ROUND((F160+G160+H160+I160+J160)/10,2))</f>
        <v/>
      </c>
      <c r="F160" s="33">
        <f>IF(COUNT(K160:AG160)=0,"",(K160*10+L160*8+M160*7+N160*5)/3)</f>
        <v/>
      </c>
      <c r="G160" s="33">
        <f>IF(COUNT(K160:AG160)=0,"",(P160*8+Q160*7+R160*5+S160*5)/3)</f>
        <v/>
      </c>
      <c r="H160" s="33">
        <f>IF(COUNT(K160:AG160)=0,"",(U160*6+V160*6+W160*4+X160*3+Y160*3+Z160*3)/3)</f>
        <v/>
      </c>
      <c r="I160" s="33">
        <f>IF(COUNT(K160:AG160)=0,"",AB160*3+AC160*2+AD160*2+AE160*1)</f>
        <v/>
      </c>
      <c r="J160" s="33">
        <f>IF(COUNT(K160:AG160)=0,"",(AF160*5+AG160*5)/3)</f>
        <v/>
      </c>
      <c r="K160" s="52" t="n"/>
      <c r="L160" s="52" t="n"/>
      <c r="M160" s="52" t="n"/>
      <c r="N160" s="52" t="n"/>
      <c r="O160" s="53" t="n"/>
      <c r="P160" s="52" t="n"/>
      <c r="Q160" s="52" t="n"/>
      <c r="R160" s="52" t="n"/>
      <c r="S160" s="52" t="n"/>
      <c r="T160" s="53" t="n"/>
      <c r="U160" s="52" t="n"/>
      <c r="V160" s="52" t="n"/>
      <c r="W160" s="52" t="n"/>
      <c r="X160" s="52" t="n"/>
      <c r="Y160" s="52" t="n"/>
      <c r="Z160" s="52" t="n"/>
      <c r="AA160" s="53" t="n"/>
      <c r="AB160" s="52" t="n"/>
      <c r="AC160" s="52" t="n"/>
      <c r="AD160" s="52" t="n"/>
      <c r="AE160" s="52" t="n"/>
      <c r="AF160" s="52" t="n"/>
      <c r="AG160" s="52" t="n"/>
      <c r="AH160" s="53" t="n"/>
      <c r="AI160" s="53" t="n"/>
    </row>
    <row r="161" ht="14.25" customHeight="1" s="65">
      <c r="A161" s="53" t="n"/>
      <c r="B161" s="53" t="n"/>
      <c r="C161" s="53" t="n"/>
      <c r="D161" s="53" t="n"/>
      <c r="E161" s="32">
        <f>IF(COUNT(K161:AG161)=0,"",ROUND((F161+G161+H161+I161+J161)/10,2))</f>
        <v/>
      </c>
      <c r="F161" s="33">
        <f>IF(COUNT(K161:AG161)=0,"",(K161*10+L161*8+M161*7+N161*5)/3)</f>
        <v/>
      </c>
      <c r="G161" s="33">
        <f>IF(COUNT(K161:AG161)=0,"",(P161*8+Q161*7+R161*5+S161*5)/3)</f>
        <v/>
      </c>
      <c r="H161" s="33">
        <f>IF(COUNT(K161:AG161)=0,"",(U161*6+V161*6+W161*4+X161*3+Y161*3+Z161*3)/3)</f>
        <v/>
      </c>
      <c r="I161" s="33">
        <f>IF(COUNT(K161:AG161)=0,"",AB161*3+AC161*2+AD161*2+AE161*1)</f>
        <v/>
      </c>
      <c r="J161" s="33">
        <f>IF(COUNT(K161:AG161)=0,"",(AF161*5+AG161*5)/3)</f>
        <v/>
      </c>
      <c r="K161" s="52" t="n"/>
      <c r="L161" s="52" t="n"/>
      <c r="M161" s="52" t="n"/>
      <c r="N161" s="52" t="n"/>
      <c r="O161" s="53" t="n"/>
      <c r="P161" s="52" t="n"/>
      <c r="Q161" s="52" t="n"/>
      <c r="R161" s="52" t="n"/>
      <c r="S161" s="52" t="n"/>
      <c r="T161" s="53" t="n"/>
      <c r="U161" s="52" t="n"/>
      <c r="V161" s="52" t="n"/>
      <c r="W161" s="52" t="n"/>
      <c r="X161" s="52" t="n"/>
      <c r="Y161" s="52" t="n"/>
      <c r="Z161" s="52" t="n"/>
      <c r="AA161" s="53" t="n"/>
      <c r="AB161" s="52" t="n"/>
      <c r="AC161" s="52" t="n"/>
      <c r="AD161" s="52" t="n"/>
      <c r="AE161" s="52" t="n"/>
      <c r="AF161" s="52" t="n"/>
      <c r="AG161" s="52" t="n"/>
      <c r="AH161" s="53" t="n"/>
      <c r="AI161" s="53" t="n"/>
    </row>
    <row r="162" ht="14.25" customHeight="1" s="65">
      <c r="A162" s="53" t="n"/>
      <c r="B162" s="53" t="n"/>
      <c r="C162" s="53" t="n"/>
      <c r="D162" s="53" t="n"/>
      <c r="E162" s="32">
        <f>IF(COUNT(K162:AG162)=0,"",ROUND((F162+G162+H162+I162+J162)/10,2))</f>
        <v/>
      </c>
      <c r="F162" s="33">
        <f>IF(COUNT(K162:AG162)=0,"",(K162*10+L162*8+M162*7+N162*5)/3)</f>
        <v/>
      </c>
      <c r="G162" s="33">
        <f>IF(COUNT(K162:AG162)=0,"",(P162*8+Q162*7+R162*5+S162*5)/3)</f>
        <v/>
      </c>
      <c r="H162" s="33">
        <f>IF(COUNT(K162:AG162)=0,"",(U162*6+V162*6+W162*4+X162*3+Y162*3+Z162*3)/3)</f>
        <v/>
      </c>
      <c r="I162" s="33">
        <f>IF(COUNT(K162:AG162)=0,"",AB162*3+AC162*2+AD162*2+AE162*1)</f>
        <v/>
      </c>
      <c r="J162" s="33">
        <f>IF(COUNT(K162:AG162)=0,"",(AF162*5+AG162*5)/3)</f>
        <v/>
      </c>
      <c r="K162" s="52" t="n"/>
      <c r="L162" s="52" t="n"/>
      <c r="M162" s="52" t="n"/>
      <c r="N162" s="52" t="n"/>
      <c r="O162" s="53" t="n"/>
      <c r="P162" s="52" t="n"/>
      <c r="Q162" s="52" t="n"/>
      <c r="R162" s="52" t="n"/>
      <c r="S162" s="52" t="n"/>
      <c r="T162" s="53" t="n"/>
      <c r="U162" s="52" t="n"/>
      <c r="V162" s="52" t="n"/>
      <c r="W162" s="52" t="n"/>
      <c r="X162" s="52" t="n"/>
      <c r="Y162" s="52" t="n"/>
      <c r="Z162" s="52" t="n"/>
      <c r="AA162" s="53" t="n"/>
      <c r="AB162" s="52" t="n"/>
      <c r="AC162" s="52" t="n"/>
      <c r="AD162" s="52" t="n"/>
      <c r="AE162" s="52" t="n"/>
      <c r="AF162" s="52" t="n"/>
      <c r="AG162" s="52" t="n"/>
      <c r="AH162" s="53" t="n"/>
      <c r="AI162" s="53" t="n"/>
    </row>
    <row r="163" ht="14.25" customHeight="1" s="65">
      <c r="A163" s="53" t="n"/>
      <c r="B163" s="53" t="n"/>
      <c r="C163" s="53" t="n"/>
      <c r="D163" s="53" t="n"/>
      <c r="E163" s="32">
        <f>IF(COUNT(K163:AG163)=0,"",ROUND((F163+G163+H163+I163+J163)/10,2))</f>
        <v/>
      </c>
      <c r="F163" s="33">
        <f>IF(COUNT(K163:AG163)=0,"",(K163*10+L163*8+M163*7+N163*5)/3)</f>
        <v/>
      </c>
      <c r="G163" s="33">
        <f>IF(COUNT(K163:AG163)=0,"",(P163*8+Q163*7+R163*5+S163*5)/3)</f>
        <v/>
      </c>
      <c r="H163" s="33">
        <f>IF(COUNT(K163:AG163)=0,"",(U163*6+V163*6+W163*4+X163*3+Y163*3+Z163*3)/3)</f>
        <v/>
      </c>
      <c r="I163" s="33">
        <f>IF(COUNT(K163:AG163)=0,"",AB163*3+AC163*2+AD163*2+AE163*1)</f>
        <v/>
      </c>
      <c r="J163" s="33">
        <f>IF(COUNT(K163:AG163)=0,"",(AF163*5+AG163*5)/3)</f>
        <v/>
      </c>
      <c r="K163" s="52" t="n"/>
      <c r="L163" s="52" t="n"/>
      <c r="M163" s="52" t="n"/>
      <c r="N163" s="52" t="n"/>
      <c r="O163" s="53" t="n"/>
      <c r="P163" s="52" t="n"/>
      <c r="Q163" s="52" t="n"/>
      <c r="R163" s="52" t="n"/>
      <c r="S163" s="52" t="n"/>
      <c r="T163" s="53" t="n"/>
      <c r="U163" s="52" t="n"/>
      <c r="V163" s="52" t="n"/>
      <c r="W163" s="52" t="n"/>
      <c r="X163" s="52" t="n"/>
      <c r="Y163" s="52" t="n"/>
      <c r="Z163" s="52" t="n"/>
      <c r="AA163" s="53" t="n"/>
      <c r="AB163" s="52" t="n"/>
      <c r="AC163" s="52" t="n"/>
      <c r="AD163" s="52" t="n"/>
      <c r="AE163" s="52" t="n"/>
      <c r="AF163" s="52" t="n"/>
      <c r="AG163" s="52" t="n"/>
      <c r="AH163" s="53" t="n"/>
      <c r="AI163" s="53" t="n"/>
    </row>
    <row r="164" ht="14.25" customHeight="1" s="65">
      <c r="A164" s="53" t="n"/>
      <c r="B164" s="53" t="n"/>
      <c r="C164" s="53" t="n"/>
      <c r="D164" s="53" t="n"/>
      <c r="E164" s="32">
        <f>IF(COUNT(K164:AG164)=0,"",ROUND((F164+G164+H164+I164+J164)/10,2))</f>
        <v/>
      </c>
      <c r="F164" s="33">
        <f>IF(COUNT(K164:AG164)=0,"",(K164*10+L164*8+M164*7+N164*5)/3)</f>
        <v/>
      </c>
      <c r="G164" s="33">
        <f>IF(COUNT(K164:AG164)=0,"",(P164*8+Q164*7+R164*5+S164*5)/3)</f>
        <v/>
      </c>
      <c r="H164" s="33">
        <f>IF(COUNT(K164:AG164)=0,"",(U164*6+V164*6+W164*4+X164*3+Y164*3+Z164*3)/3)</f>
        <v/>
      </c>
      <c r="I164" s="33">
        <f>IF(COUNT(K164:AG164)=0,"",AB164*3+AC164*2+AD164*2+AE164*1)</f>
        <v/>
      </c>
      <c r="J164" s="33">
        <f>IF(COUNT(K164:AG164)=0,"",(AF164*5+AG164*5)/3)</f>
        <v/>
      </c>
      <c r="K164" s="52" t="n"/>
      <c r="L164" s="52" t="n"/>
      <c r="M164" s="52" t="n"/>
      <c r="N164" s="52" t="n"/>
      <c r="O164" s="53" t="n"/>
      <c r="P164" s="52" t="n"/>
      <c r="Q164" s="52" t="n"/>
      <c r="R164" s="52" t="n"/>
      <c r="S164" s="52" t="n"/>
      <c r="T164" s="53" t="n"/>
      <c r="U164" s="52" t="n"/>
      <c r="V164" s="52" t="n"/>
      <c r="W164" s="52" t="n"/>
      <c r="X164" s="52" t="n"/>
      <c r="Y164" s="52" t="n"/>
      <c r="Z164" s="52" t="n"/>
      <c r="AA164" s="53" t="n"/>
      <c r="AB164" s="52" t="n"/>
      <c r="AC164" s="52" t="n"/>
      <c r="AD164" s="52" t="n"/>
      <c r="AE164" s="52" t="n"/>
      <c r="AF164" s="52" t="n"/>
      <c r="AG164" s="52" t="n"/>
      <c r="AH164" s="53" t="n"/>
      <c r="AI164" s="53" t="n"/>
    </row>
    <row r="165" ht="14.25" customHeight="1" s="65">
      <c r="A165" s="53" t="n"/>
      <c r="B165" s="53" t="n"/>
      <c r="C165" s="53" t="n"/>
      <c r="D165" s="53" t="n"/>
      <c r="E165" s="32">
        <f>IF(COUNT(K165:AG165)=0,"",ROUND((F165+G165+H165+I165+J165)/10,2))</f>
        <v/>
      </c>
      <c r="F165" s="33">
        <f>IF(COUNT(K165:AG165)=0,"",(K165*10+L165*8+M165*7+N165*5)/3)</f>
        <v/>
      </c>
      <c r="G165" s="33">
        <f>IF(COUNT(K165:AG165)=0,"",(P165*8+Q165*7+R165*5+S165*5)/3)</f>
        <v/>
      </c>
      <c r="H165" s="33">
        <f>IF(COUNT(K165:AG165)=0,"",(U165*6+V165*6+W165*4+X165*3+Y165*3+Z165*3)/3)</f>
        <v/>
      </c>
      <c r="I165" s="33">
        <f>IF(COUNT(K165:AG165)=0,"",AB165*3+AC165*2+AD165*2+AE165*1)</f>
        <v/>
      </c>
      <c r="J165" s="33">
        <f>IF(COUNT(K165:AG165)=0,"",(AF165*5+AG165*5)/3)</f>
        <v/>
      </c>
      <c r="K165" s="52" t="n"/>
      <c r="L165" s="52" t="n"/>
      <c r="M165" s="52" t="n"/>
      <c r="N165" s="52" t="n"/>
      <c r="O165" s="53" t="n"/>
      <c r="P165" s="52" t="n"/>
      <c r="Q165" s="52" t="n"/>
      <c r="R165" s="52" t="n"/>
      <c r="S165" s="52" t="n"/>
      <c r="T165" s="53" t="n"/>
      <c r="U165" s="52" t="n"/>
      <c r="V165" s="52" t="n"/>
      <c r="W165" s="52" t="n"/>
      <c r="X165" s="52" t="n"/>
      <c r="Y165" s="52" t="n"/>
      <c r="Z165" s="52" t="n"/>
      <c r="AA165" s="53" t="n"/>
      <c r="AB165" s="52" t="n"/>
      <c r="AC165" s="52" t="n"/>
      <c r="AD165" s="52" t="n"/>
      <c r="AE165" s="52" t="n"/>
      <c r="AF165" s="52" t="n"/>
      <c r="AG165" s="52" t="n"/>
      <c r="AH165" s="53" t="n"/>
      <c r="AI165" s="53" t="n"/>
    </row>
    <row r="166" ht="14.25" customHeight="1" s="65">
      <c r="A166" s="53" t="n"/>
      <c r="B166" s="53" t="n"/>
      <c r="C166" s="53" t="n"/>
      <c r="D166" s="53" t="n"/>
      <c r="E166" s="32">
        <f>IF(COUNT(K166:AG166)=0,"",ROUND((F166+G166+H166+I166+J166)/10,2))</f>
        <v/>
      </c>
      <c r="F166" s="33">
        <f>IF(COUNT(K166:AG166)=0,"",(K166*10+L166*8+M166*7+N166*5)/3)</f>
        <v/>
      </c>
      <c r="G166" s="33">
        <f>IF(COUNT(K166:AG166)=0,"",(P166*8+Q166*7+R166*5+S166*5)/3)</f>
        <v/>
      </c>
      <c r="H166" s="33">
        <f>IF(COUNT(K166:AG166)=0,"",(U166*6+V166*6+W166*4+X166*3+Y166*3+Z166*3)/3)</f>
        <v/>
      </c>
      <c r="I166" s="33">
        <f>IF(COUNT(K166:AG166)=0,"",AB166*3+AC166*2+AD166*2+AE166*1)</f>
        <v/>
      </c>
      <c r="J166" s="33">
        <f>IF(COUNT(K166:AG166)=0,"",(AF166*5+AG166*5)/3)</f>
        <v/>
      </c>
      <c r="K166" s="52" t="n"/>
      <c r="L166" s="52" t="n"/>
      <c r="M166" s="52" t="n"/>
      <c r="N166" s="52" t="n"/>
      <c r="O166" s="53" t="n"/>
      <c r="P166" s="52" t="n"/>
      <c r="Q166" s="52" t="n"/>
      <c r="R166" s="52" t="n"/>
      <c r="S166" s="52" t="n"/>
      <c r="T166" s="53" t="n"/>
      <c r="U166" s="52" t="n"/>
      <c r="V166" s="52" t="n"/>
      <c r="W166" s="52" t="n"/>
      <c r="X166" s="52" t="n"/>
      <c r="Y166" s="52" t="n"/>
      <c r="Z166" s="52" t="n"/>
      <c r="AA166" s="53" t="n"/>
      <c r="AB166" s="52" t="n"/>
      <c r="AC166" s="52" t="n"/>
      <c r="AD166" s="52" t="n"/>
      <c r="AE166" s="52" t="n"/>
      <c r="AF166" s="52" t="n"/>
      <c r="AG166" s="52" t="n"/>
      <c r="AH166" s="53" t="n"/>
      <c r="AI166" s="53" t="n"/>
    </row>
    <row r="167" ht="14.25" customHeight="1" s="65">
      <c r="A167" s="53" t="n"/>
      <c r="B167" s="53" t="n"/>
      <c r="C167" s="53" t="n"/>
      <c r="D167" s="53" t="n"/>
      <c r="E167" s="32">
        <f>IF(COUNT(K167:AG167)=0,"",ROUND((F167+G167+H167+I167+J167)/10,2))</f>
        <v/>
      </c>
      <c r="F167" s="33">
        <f>IF(COUNT(K167:AG167)=0,"",(K167*10+L167*8+M167*7+N167*5)/3)</f>
        <v/>
      </c>
      <c r="G167" s="33">
        <f>IF(COUNT(K167:AG167)=0,"",(P167*8+Q167*7+R167*5+S167*5)/3)</f>
        <v/>
      </c>
      <c r="H167" s="33">
        <f>IF(COUNT(K167:AG167)=0,"",(U167*6+V167*6+W167*4+X167*3+Y167*3+Z167*3)/3)</f>
        <v/>
      </c>
      <c r="I167" s="33">
        <f>IF(COUNT(K167:AG167)=0,"",AB167*3+AC167*2+AD167*2+AE167*1)</f>
        <v/>
      </c>
      <c r="J167" s="33">
        <f>IF(COUNT(K167:AG167)=0,"",(AF167*5+AG167*5)/3)</f>
        <v/>
      </c>
      <c r="K167" s="52" t="n"/>
      <c r="L167" s="52" t="n"/>
      <c r="M167" s="52" t="n"/>
      <c r="N167" s="52" t="n"/>
      <c r="O167" s="53" t="n"/>
      <c r="P167" s="52" t="n"/>
      <c r="Q167" s="52" t="n"/>
      <c r="R167" s="52" t="n"/>
      <c r="S167" s="52" t="n"/>
      <c r="T167" s="53" t="n"/>
      <c r="U167" s="52" t="n"/>
      <c r="V167" s="52" t="n"/>
      <c r="W167" s="52" t="n"/>
      <c r="X167" s="52" t="n"/>
      <c r="Y167" s="52" t="n"/>
      <c r="Z167" s="52" t="n"/>
      <c r="AA167" s="53" t="n"/>
      <c r="AB167" s="52" t="n"/>
      <c r="AC167" s="52" t="n"/>
      <c r="AD167" s="52" t="n"/>
      <c r="AE167" s="52" t="n"/>
      <c r="AF167" s="52" t="n"/>
      <c r="AG167" s="52" t="n"/>
      <c r="AH167" s="53" t="n"/>
      <c r="AI167" s="53" t="n"/>
    </row>
    <row r="168" ht="14.25" customHeight="1" s="65">
      <c r="A168" s="53" t="n"/>
      <c r="B168" s="53" t="n"/>
      <c r="C168" s="53" t="n"/>
      <c r="D168" s="53" t="n"/>
      <c r="E168" s="32">
        <f>IF(COUNT(K168:AG168)=0,"",ROUND((F168+G168+H168+I168+J168)/10,2))</f>
        <v/>
      </c>
      <c r="F168" s="33">
        <f>IF(COUNT(K168:AG168)=0,"",(K168*10+L168*8+M168*7+N168*5)/3)</f>
        <v/>
      </c>
      <c r="G168" s="33">
        <f>IF(COUNT(K168:AG168)=0,"",(P168*8+Q168*7+R168*5+S168*5)/3)</f>
        <v/>
      </c>
      <c r="H168" s="33">
        <f>IF(COUNT(K168:AG168)=0,"",(U168*6+V168*6+W168*4+X168*3+Y168*3+Z168*3)/3)</f>
        <v/>
      </c>
      <c r="I168" s="33">
        <f>IF(COUNT(K168:AG168)=0,"",AB168*3+AC168*2+AD168*2+AE168*1)</f>
        <v/>
      </c>
      <c r="J168" s="33">
        <f>IF(COUNT(K168:AG168)=0,"",(AF168*5+AG168*5)/3)</f>
        <v/>
      </c>
      <c r="K168" s="52" t="n"/>
      <c r="L168" s="52" t="n"/>
      <c r="M168" s="52" t="n"/>
      <c r="N168" s="52" t="n"/>
      <c r="O168" s="53" t="n"/>
      <c r="P168" s="52" t="n"/>
      <c r="Q168" s="52" t="n"/>
      <c r="R168" s="52" t="n"/>
      <c r="S168" s="52" t="n"/>
      <c r="T168" s="53" t="n"/>
      <c r="U168" s="52" t="n"/>
      <c r="V168" s="52" t="n"/>
      <c r="W168" s="52" t="n"/>
      <c r="X168" s="52" t="n"/>
      <c r="Y168" s="52" t="n"/>
      <c r="Z168" s="52" t="n"/>
      <c r="AA168" s="53" t="n"/>
      <c r="AB168" s="52" t="n"/>
      <c r="AC168" s="52" t="n"/>
      <c r="AD168" s="52" t="n"/>
      <c r="AE168" s="52" t="n"/>
      <c r="AF168" s="52" t="n"/>
      <c r="AG168" s="52" t="n"/>
      <c r="AH168" s="53" t="n"/>
      <c r="AI168" s="53" t="n"/>
    </row>
    <row r="169" ht="14.25" customHeight="1" s="65">
      <c r="A169" s="53" t="n"/>
      <c r="B169" s="53" t="n"/>
      <c r="C169" s="53" t="n"/>
      <c r="D169" s="53" t="n"/>
      <c r="E169" s="32">
        <f>IF(COUNT(K169:AG169)=0,"",ROUND((F169+G169+H169+I169+J169)/10,2))</f>
        <v/>
      </c>
      <c r="F169" s="33">
        <f>IF(COUNT(K169:AG169)=0,"",(K169*10+L169*8+M169*7+N169*5)/3)</f>
        <v/>
      </c>
      <c r="G169" s="33">
        <f>IF(COUNT(K169:AG169)=0,"",(P169*8+Q169*7+R169*5+S169*5)/3)</f>
        <v/>
      </c>
      <c r="H169" s="33">
        <f>IF(COUNT(K169:AG169)=0,"",(U169*6+V169*6+W169*4+X169*3+Y169*3+Z169*3)/3)</f>
        <v/>
      </c>
      <c r="I169" s="33">
        <f>IF(COUNT(K169:AG169)=0,"",AB169*3+AC169*2+AD169*2+AE169*1)</f>
        <v/>
      </c>
      <c r="J169" s="33">
        <f>IF(COUNT(K169:AG169)=0,"",(AF169*5+AG169*5)/3)</f>
        <v/>
      </c>
      <c r="K169" s="52" t="n"/>
      <c r="L169" s="52" t="n"/>
      <c r="M169" s="52" t="n"/>
      <c r="N169" s="52" t="n"/>
      <c r="O169" s="53" t="n"/>
      <c r="P169" s="52" t="n"/>
      <c r="Q169" s="52" t="n"/>
      <c r="R169" s="52" t="n"/>
      <c r="S169" s="52" t="n"/>
      <c r="T169" s="53" t="n"/>
      <c r="U169" s="52" t="n"/>
      <c r="V169" s="52" t="n"/>
      <c r="W169" s="52" t="n"/>
      <c r="X169" s="52" t="n"/>
      <c r="Y169" s="52" t="n"/>
      <c r="Z169" s="52" t="n"/>
      <c r="AA169" s="53" t="n"/>
      <c r="AB169" s="52" t="n"/>
      <c r="AC169" s="52" t="n"/>
      <c r="AD169" s="52" t="n"/>
      <c r="AE169" s="52" t="n"/>
      <c r="AF169" s="52" t="n"/>
      <c r="AG169" s="52" t="n"/>
      <c r="AH169" s="53" t="n"/>
      <c r="AI169" s="53" t="n"/>
    </row>
    <row r="170" ht="14.25" customHeight="1" s="65">
      <c r="A170" s="53" t="n"/>
      <c r="B170" s="53" t="n"/>
      <c r="C170" s="53" t="n"/>
      <c r="D170" s="53" t="n"/>
      <c r="E170" s="32">
        <f>IF(COUNT(K170:AG170)=0,"",ROUND((F170+G170+H170+I170+J170)/10,2))</f>
        <v/>
      </c>
      <c r="F170" s="33">
        <f>IF(COUNT(K170:AG170)=0,"",(K170*10+L170*8+M170*7+N170*5)/3)</f>
        <v/>
      </c>
      <c r="G170" s="33">
        <f>IF(COUNT(K170:AG170)=0,"",(P170*8+Q170*7+R170*5+S170*5)/3)</f>
        <v/>
      </c>
      <c r="H170" s="33">
        <f>IF(COUNT(K170:AG170)=0,"",(U170*6+V170*6+W170*4+X170*3+Y170*3+Z170*3)/3)</f>
        <v/>
      </c>
      <c r="I170" s="33">
        <f>IF(COUNT(K170:AG170)=0,"",AB170*3+AC170*2+AD170*2+AE170*1)</f>
        <v/>
      </c>
      <c r="J170" s="33">
        <f>IF(COUNT(K170:AG170)=0,"",(AF170*5+AG170*5)/3)</f>
        <v/>
      </c>
      <c r="K170" s="52" t="n"/>
      <c r="L170" s="52" t="n"/>
      <c r="M170" s="52" t="n"/>
      <c r="N170" s="52" t="n"/>
      <c r="O170" s="53" t="n"/>
      <c r="P170" s="52" t="n"/>
      <c r="Q170" s="52" t="n"/>
      <c r="R170" s="52" t="n"/>
      <c r="S170" s="52" t="n"/>
      <c r="T170" s="53" t="n"/>
      <c r="U170" s="52" t="n"/>
      <c r="V170" s="52" t="n"/>
      <c r="W170" s="52" t="n"/>
      <c r="X170" s="52" t="n"/>
      <c r="Y170" s="52" t="n"/>
      <c r="Z170" s="52" t="n"/>
      <c r="AA170" s="53" t="n"/>
      <c r="AB170" s="52" t="n"/>
      <c r="AC170" s="52" t="n"/>
      <c r="AD170" s="52" t="n"/>
      <c r="AE170" s="52" t="n"/>
      <c r="AF170" s="52" t="n"/>
      <c r="AG170" s="52" t="n"/>
      <c r="AH170" s="53" t="n"/>
      <c r="AI170" s="53" t="n"/>
    </row>
    <row r="171" ht="14.25" customHeight="1" s="65">
      <c r="A171" s="53" t="n"/>
      <c r="B171" s="53" t="n"/>
      <c r="C171" s="53" t="n"/>
      <c r="D171" s="53" t="n"/>
      <c r="E171" s="32">
        <f>IF(COUNT(K171:AG171)=0,"",ROUND((F171+G171+H171+I171+J171)/10,2))</f>
        <v/>
      </c>
      <c r="F171" s="33">
        <f>IF(COUNT(K171:AG171)=0,"",(K171*10+L171*8+M171*7+N171*5)/3)</f>
        <v/>
      </c>
      <c r="G171" s="33">
        <f>IF(COUNT(K171:AG171)=0,"",(P171*8+Q171*7+R171*5+S171*5)/3)</f>
        <v/>
      </c>
      <c r="H171" s="33">
        <f>IF(COUNT(K171:AG171)=0,"",(U171*6+V171*6+W171*4+X171*3+Y171*3+Z171*3)/3)</f>
        <v/>
      </c>
      <c r="I171" s="33">
        <f>IF(COUNT(K171:AG171)=0,"",AB171*3+AC171*2+AD171*2+AE171*1)</f>
        <v/>
      </c>
      <c r="J171" s="33">
        <f>IF(COUNT(K171:AG171)=0,"",(AF171*5+AG171*5)/3)</f>
        <v/>
      </c>
      <c r="K171" s="52" t="n"/>
      <c r="L171" s="52" t="n"/>
      <c r="M171" s="52" t="n"/>
      <c r="N171" s="52" t="n"/>
      <c r="O171" s="53" t="n"/>
      <c r="P171" s="52" t="n"/>
      <c r="Q171" s="52" t="n"/>
      <c r="R171" s="52" t="n"/>
      <c r="S171" s="52" t="n"/>
      <c r="T171" s="53" t="n"/>
      <c r="U171" s="52" t="n"/>
      <c r="V171" s="52" t="n"/>
      <c r="W171" s="52" t="n"/>
      <c r="X171" s="52" t="n"/>
      <c r="Y171" s="52" t="n"/>
      <c r="Z171" s="52" t="n"/>
      <c r="AA171" s="53" t="n"/>
      <c r="AB171" s="52" t="n"/>
      <c r="AC171" s="52" t="n"/>
      <c r="AD171" s="52" t="n"/>
      <c r="AE171" s="52" t="n"/>
      <c r="AF171" s="52" t="n"/>
      <c r="AG171" s="52" t="n"/>
      <c r="AH171" s="53" t="n"/>
      <c r="AI171" s="53" t="n"/>
    </row>
    <row r="172" ht="14.25" customHeight="1" s="65">
      <c r="A172" s="53" t="n"/>
      <c r="B172" s="53" t="n"/>
      <c r="C172" s="53" t="n"/>
      <c r="D172" s="53" t="n"/>
      <c r="E172" s="32">
        <f>IF(COUNT(K172:AG172)=0,"",ROUND((F172+G172+H172+I172+J172)/10,2))</f>
        <v/>
      </c>
      <c r="F172" s="33">
        <f>IF(COUNT(K172:AG172)=0,"",(K172*10+L172*8+M172*7+N172*5)/3)</f>
        <v/>
      </c>
      <c r="G172" s="33">
        <f>IF(COUNT(K172:AG172)=0,"",(P172*8+Q172*7+R172*5+S172*5)/3)</f>
        <v/>
      </c>
      <c r="H172" s="33">
        <f>IF(COUNT(K172:AG172)=0,"",(U172*6+V172*6+W172*4+X172*3+Y172*3+Z172*3)/3)</f>
        <v/>
      </c>
      <c r="I172" s="33">
        <f>IF(COUNT(K172:AG172)=0,"",AB172*3+AC172*2+AD172*2+AE172*1)</f>
        <v/>
      </c>
      <c r="J172" s="33">
        <f>IF(COUNT(K172:AG172)=0,"",(AF172*5+AG172*5)/3)</f>
        <v/>
      </c>
      <c r="K172" s="52" t="n"/>
      <c r="L172" s="52" t="n"/>
      <c r="M172" s="52" t="n"/>
      <c r="N172" s="52" t="n"/>
      <c r="O172" s="53" t="n"/>
      <c r="P172" s="52" t="n"/>
      <c r="Q172" s="52" t="n"/>
      <c r="R172" s="52" t="n"/>
      <c r="S172" s="52" t="n"/>
      <c r="T172" s="53" t="n"/>
      <c r="U172" s="52" t="n"/>
      <c r="V172" s="52" t="n"/>
      <c r="W172" s="52" t="n"/>
      <c r="X172" s="52" t="n"/>
      <c r="Y172" s="52" t="n"/>
      <c r="Z172" s="52" t="n"/>
      <c r="AA172" s="53" t="n"/>
      <c r="AB172" s="52" t="n"/>
      <c r="AC172" s="52" t="n"/>
      <c r="AD172" s="52" t="n"/>
      <c r="AE172" s="52" t="n"/>
      <c r="AF172" s="52" t="n"/>
      <c r="AG172" s="52" t="n"/>
      <c r="AH172" s="53" t="n"/>
      <c r="AI172" s="53" t="n"/>
    </row>
    <row r="173" ht="14.25" customHeight="1" s="65">
      <c r="A173" s="53" t="n"/>
      <c r="B173" s="53" t="n"/>
      <c r="C173" s="53" t="n"/>
      <c r="D173" s="53" t="n"/>
      <c r="E173" s="32">
        <f>IF(COUNT(K173:AG173)=0,"",ROUND((F173+G173+H173+I173+J173)/10,2))</f>
        <v/>
      </c>
      <c r="F173" s="33">
        <f>IF(COUNT(K173:AG173)=0,"",(K173*10+L173*8+M173*7+N173*5)/3)</f>
        <v/>
      </c>
      <c r="G173" s="33">
        <f>IF(COUNT(K173:AG173)=0,"",(P173*8+Q173*7+R173*5+S173*5)/3)</f>
        <v/>
      </c>
      <c r="H173" s="33">
        <f>IF(COUNT(K173:AG173)=0,"",(U173*6+V173*6+W173*4+X173*3+Y173*3+Z173*3)/3)</f>
        <v/>
      </c>
      <c r="I173" s="33">
        <f>IF(COUNT(K173:AG173)=0,"",AB173*3+AC173*2+AD173*2+AE173*1)</f>
        <v/>
      </c>
      <c r="J173" s="33">
        <f>IF(COUNT(K173:AG173)=0,"",(AF173*5+AG173*5)/3)</f>
        <v/>
      </c>
      <c r="K173" s="52" t="n"/>
      <c r="L173" s="52" t="n"/>
      <c r="M173" s="52" t="n"/>
      <c r="N173" s="52" t="n"/>
      <c r="O173" s="53" t="n"/>
      <c r="P173" s="52" t="n"/>
      <c r="Q173" s="52" t="n"/>
      <c r="R173" s="52" t="n"/>
      <c r="S173" s="52" t="n"/>
      <c r="T173" s="53" t="n"/>
      <c r="U173" s="52" t="n"/>
      <c r="V173" s="52" t="n"/>
      <c r="W173" s="52" t="n"/>
      <c r="X173" s="52" t="n"/>
      <c r="Y173" s="52" t="n"/>
      <c r="Z173" s="52" t="n"/>
      <c r="AA173" s="53" t="n"/>
      <c r="AB173" s="52" t="n"/>
      <c r="AC173" s="52" t="n"/>
      <c r="AD173" s="52" t="n"/>
      <c r="AE173" s="52" t="n"/>
      <c r="AF173" s="52" t="n"/>
      <c r="AG173" s="52" t="n"/>
      <c r="AH173" s="53" t="n"/>
      <c r="AI173" s="53" t="n"/>
    </row>
    <row r="174" ht="14.25" customHeight="1" s="65">
      <c r="A174" s="53" t="n"/>
      <c r="B174" s="53" t="n"/>
      <c r="C174" s="53" t="n"/>
      <c r="D174" s="53" t="n"/>
      <c r="E174" s="32">
        <f>IF(COUNT(K174:AG174)=0,"",ROUND((F174+G174+H174+I174+J174)/10,2))</f>
        <v/>
      </c>
      <c r="F174" s="33">
        <f>IF(COUNT(K174:AG174)=0,"",(K174*10+L174*8+M174*7+N174*5)/3)</f>
        <v/>
      </c>
      <c r="G174" s="33">
        <f>IF(COUNT(K174:AG174)=0,"",(P174*8+Q174*7+R174*5+S174*5)/3)</f>
        <v/>
      </c>
      <c r="H174" s="33">
        <f>IF(COUNT(K174:AG174)=0,"",(U174*6+V174*6+W174*4+X174*3+Y174*3+Z174*3)/3)</f>
        <v/>
      </c>
      <c r="I174" s="33">
        <f>IF(COUNT(K174:AG174)=0,"",AB174*3+AC174*2+AD174*2+AE174*1)</f>
        <v/>
      </c>
      <c r="J174" s="33">
        <f>IF(COUNT(K174:AG174)=0,"",(AF174*5+AG174*5)/3)</f>
        <v/>
      </c>
      <c r="K174" s="52" t="n"/>
      <c r="L174" s="52" t="n"/>
      <c r="M174" s="52" t="n"/>
      <c r="N174" s="52" t="n"/>
      <c r="O174" s="53" t="n"/>
      <c r="P174" s="52" t="n"/>
      <c r="Q174" s="52" t="n"/>
      <c r="R174" s="52" t="n"/>
      <c r="S174" s="52" t="n"/>
      <c r="T174" s="53" t="n"/>
      <c r="U174" s="52" t="n"/>
      <c r="V174" s="52" t="n"/>
      <c r="W174" s="52" t="n"/>
      <c r="X174" s="52" t="n"/>
      <c r="Y174" s="52" t="n"/>
      <c r="Z174" s="52" t="n"/>
      <c r="AA174" s="53" t="n"/>
      <c r="AB174" s="52" t="n"/>
      <c r="AC174" s="52" t="n"/>
      <c r="AD174" s="52" t="n"/>
      <c r="AE174" s="52" t="n"/>
      <c r="AF174" s="52" t="n"/>
      <c r="AG174" s="52" t="n"/>
      <c r="AH174" s="53" t="n"/>
      <c r="AI174" s="53" t="n"/>
    </row>
    <row r="175" ht="14.25" customHeight="1" s="65">
      <c r="A175" s="53" t="n"/>
      <c r="B175" s="53" t="n"/>
      <c r="C175" s="53" t="n"/>
      <c r="D175" s="53" t="n"/>
      <c r="E175" s="32">
        <f>IF(COUNT(K175:AG175)=0,"",ROUND((F175+G175+H175+I175+J175)/10,2))</f>
        <v/>
      </c>
      <c r="F175" s="33">
        <f>IF(COUNT(K175:AG175)=0,"",(K175*10+L175*8+M175*7+N175*5)/3)</f>
        <v/>
      </c>
      <c r="G175" s="33">
        <f>IF(COUNT(K175:AG175)=0,"",(P175*8+Q175*7+R175*5+S175*5)/3)</f>
        <v/>
      </c>
      <c r="H175" s="33">
        <f>IF(COUNT(K175:AG175)=0,"",(U175*6+V175*6+W175*4+X175*3+Y175*3+Z175*3)/3)</f>
        <v/>
      </c>
      <c r="I175" s="33">
        <f>IF(COUNT(K175:AG175)=0,"",AB175*3+AC175*2+AD175*2+AE175*1)</f>
        <v/>
      </c>
      <c r="J175" s="33">
        <f>IF(COUNT(K175:AG175)=0,"",(AF175*5+AG175*5)/3)</f>
        <v/>
      </c>
      <c r="K175" s="52" t="n"/>
      <c r="L175" s="52" t="n"/>
      <c r="M175" s="52" t="n"/>
      <c r="N175" s="52" t="n"/>
      <c r="O175" s="53" t="n"/>
      <c r="P175" s="52" t="n"/>
      <c r="Q175" s="52" t="n"/>
      <c r="R175" s="52" t="n"/>
      <c r="S175" s="52" t="n"/>
      <c r="T175" s="53" t="n"/>
      <c r="U175" s="52" t="n"/>
      <c r="V175" s="52" t="n"/>
      <c r="W175" s="52" t="n"/>
      <c r="X175" s="52" t="n"/>
      <c r="Y175" s="52" t="n"/>
      <c r="Z175" s="52" t="n"/>
      <c r="AA175" s="53" t="n"/>
      <c r="AB175" s="52" t="n"/>
      <c r="AC175" s="52" t="n"/>
      <c r="AD175" s="52" t="n"/>
      <c r="AE175" s="52" t="n"/>
      <c r="AF175" s="52" t="n"/>
      <c r="AG175" s="52" t="n"/>
      <c r="AH175" s="53" t="n"/>
      <c r="AI175" s="53" t="n"/>
    </row>
    <row r="176" ht="14.25" customHeight="1" s="65">
      <c r="A176" s="53" t="n"/>
      <c r="B176" s="53" t="n"/>
      <c r="C176" s="53" t="n"/>
      <c r="D176" s="53" t="n"/>
      <c r="E176" s="32">
        <f>IF(COUNT(K176:AG176)=0,"",ROUND((F176+G176+H176+I176+J176)/10,2))</f>
        <v/>
      </c>
      <c r="F176" s="33">
        <f>IF(COUNT(K176:AG176)=0,"",(K176*10+L176*8+M176*7+N176*5)/3)</f>
        <v/>
      </c>
      <c r="G176" s="33">
        <f>IF(COUNT(K176:AG176)=0,"",(P176*8+Q176*7+R176*5+S176*5)/3)</f>
        <v/>
      </c>
      <c r="H176" s="33">
        <f>IF(COUNT(K176:AG176)=0,"",(U176*6+V176*6+W176*4+X176*3+Y176*3+Z176*3)/3)</f>
        <v/>
      </c>
      <c r="I176" s="33">
        <f>IF(COUNT(K176:AG176)=0,"",AB176*3+AC176*2+AD176*2+AE176*1)</f>
        <v/>
      </c>
      <c r="J176" s="33">
        <f>IF(COUNT(K176:AG176)=0,"",(AF176*5+AG176*5)/3)</f>
        <v/>
      </c>
      <c r="K176" s="52" t="n"/>
      <c r="L176" s="52" t="n"/>
      <c r="M176" s="52" t="n"/>
      <c r="N176" s="52" t="n"/>
      <c r="O176" s="53" t="n"/>
      <c r="P176" s="52" t="n"/>
      <c r="Q176" s="52" t="n"/>
      <c r="R176" s="52" t="n"/>
      <c r="S176" s="52" t="n"/>
      <c r="T176" s="53" t="n"/>
      <c r="U176" s="52" t="n"/>
      <c r="V176" s="52" t="n"/>
      <c r="W176" s="52" t="n"/>
      <c r="X176" s="52" t="n"/>
      <c r="Y176" s="52" t="n"/>
      <c r="Z176" s="52" t="n"/>
      <c r="AA176" s="53" t="n"/>
      <c r="AB176" s="52" t="n"/>
      <c r="AC176" s="52" t="n"/>
      <c r="AD176" s="52" t="n"/>
      <c r="AE176" s="52" t="n"/>
      <c r="AF176" s="52" t="n"/>
      <c r="AG176" s="52" t="n"/>
      <c r="AH176" s="53" t="n"/>
      <c r="AI176" s="53" t="n"/>
    </row>
    <row r="177" ht="14.25" customHeight="1" s="65">
      <c r="A177" s="53" t="n"/>
      <c r="B177" s="53" t="n"/>
      <c r="C177" s="53" t="n"/>
      <c r="D177" s="53" t="n"/>
      <c r="E177" s="32">
        <f>IF(COUNT(K177:AG177)=0,"",ROUND((F177+G177+H177+I177+J177)/10,2))</f>
        <v/>
      </c>
      <c r="F177" s="33">
        <f>IF(COUNT(K177:AG177)=0,"",(K177*10+L177*8+M177*7+N177*5)/3)</f>
        <v/>
      </c>
      <c r="G177" s="33">
        <f>IF(COUNT(K177:AG177)=0,"",(P177*8+Q177*7+R177*5+S177*5)/3)</f>
        <v/>
      </c>
      <c r="H177" s="33">
        <f>IF(COUNT(K177:AG177)=0,"",(U177*6+V177*6+W177*4+X177*3+Y177*3+Z177*3)/3)</f>
        <v/>
      </c>
      <c r="I177" s="33">
        <f>IF(COUNT(K177:AG177)=0,"",AB177*3+AC177*2+AD177*2+AE177*1)</f>
        <v/>
      </c>
      <c r="J177" s="33">
        <f>IF(COUNT(K177:AG177)=0,"",(AF177*5+AG177*5)/3)</f>
        <v/>
      </c>
      <c r="K177" s="52" t="n"/>
      <c r="L177" s="52" t="n"/>
      <c r="M177" s="52" t="n"/>
      <c r="N177" s="52" t="n"/>
      <c r="O177" s="53" t="n"/>
      <c r="P177" s="52" t="n"/>
      <c r="Q177" s="52" t="n"/>
      <c r="R177" s="52" t="n"/>
      <c r="S177" s="52" t="n"/>
      <c r="T177" s="53" t="n"/>
      <c r="U177" s="52" t="n"/>
      <c r="V177" s="52" t="n"/>
      <c r="W177" s="52" t="n"/>
      <c r="X177" s="52" t="n"/>
      <c r="Y177" s="52" t="n"/>
      <c r="Z177" s="52" t="n"/>
      <c r="AA177" s="53" t="n"/>
      <c r="AB177" s="52" t="n"/>
      <c r="AC177" s="52" t="n"/>
      <c r="AD177" s="52" t="n"/>
      <c r="AE177" s="52" t="n"/>
      <c r="AF177" s="52" t="n"/>
      <c r="AG177" s="52" t="n"/>
      <c r="AH177" s="53" t="n"/>
      <c r="AI177" s="53" t="n"/>
    </row>
    <row r="178" ht="14.25" customHeight="1" s="65">
      <c r="A178" s="53" t="n"/>
      <c r="B178" s="53" t="n"/>
      <c r="C178" s="53" t="n"/>
      <c r="D178" s="53" t="n"/>
      <c r="E178" s="32">
        <f>IF(COUNT(K178:AG178)=0,"",ROUND((F178+G178+H178+I178+J178)/10,2))</f>
        <v/>
      </c>
      <c r="F178" s="33">
        <f>IF(COUNT(K178:AG178)=0,"",(K178*10+L178*8+M178*7+N178*5)/3)</f>
        <v/>
      </c>
      <c r="G178" s="33">
        <f>IF(COUNT(K178:AG178)=0,"",(P178*8+Q178*7+R178*5+S178*5)/3)</f>
        <v/>
      </c>
      <c r="H178" s="33">
        <f>IF(COUNT(K178:AG178)=0,"",(U178*6+V178*6+W178*4+X178*3+Y178*3+Z178*3)/3)</f>
        <v/>
      </c>
      <c r="I178" s="33">
        <f>IF(COUNT(K178:AG178)=0,"",AB178*3+AC178*2+AD178*2+AE178*1)</f>
        <v/>
      </c>
      <c r="J178" s="33">
        <f>IF(COUNT(K178:AG178)=0,"",(AF178*5+AG178*5)/3)</f>
        <v/>
      </c>
      <c r="K178" s="52" t="n"/>
      <c r="L178" s="52" t="n"/>
      <c r="M178" s="52" t="n"/>
      <c r="N178" s="52" t="n"/>
      <c r="O178" s="53" t="n"/>
      <c r="P178" s="52" t="n"/>
      <c r="Q178" s="52" t="n"/>
      <c r="R178" s="52" t="n"/>
      <c r="S178" s="52" t="n"/>
      <c r="T178" s="53" t="n"/>
      <c r="U178" s="52" t="n"/>
      <c r="V178" s="52" t="n"/>
      <c r="W178" s="52" t="n"/>
      <c r="X178" s="52" t="n"/>
      <c r="Y178" s="52" t="n"/>
      <c r="Z178" s="52" t="n"/>
      <c r="AA178" s="53" t="n"/>
      <c r="AB178" s="52" t="n"/>
      <c r="AC178" s="52" t="n"/>
      <c r="AD178" s="52" t="n"/>
      <c r="AE178" s="52" t="n"/>
      <c r="AF178" s="52" t="n"/>
      <c r="AG178" s="52" t="n"/>
      <c r="AH178" s="53" t="n"/>
      <c r="AI178" s="53" t="n"/>
    </row>
    <row r="179" ht="14.25" customHeight="1" s="65">
      <c r="A179" s="53" t="n"/>
      <c r="B179" s="53" t="n"/>
      <c r="C179" s="53" t="n"/>
      <c r="D179" s="53" t="n"/>
      <c r="E179" s="32">
        <f>IF(COUNT(K179:AG179)=0,"",ROUND((F179+G179+H179+I179+J179)/10,2))</f>
        <v/>
      </c>
      <c r="F179" s="33">
        <f>IF(COUNT(K179:AG179)=0,"",(K179*10+L179*8+M179*7+N179*5)/3)</f>
        <v/>
      </c>
      <c r="G179" s="33">
        <f>IF(COUNT(K179:AG179)=0,"",(P179*8+Q179*7+R179*5+S179*5)/3)</f>
        <v/>
      </c>
      <c r="H179" s="33">
        <f>IF(COUNT(K179:AG179)=0,"",(U179*6+V179*6+W179*4+X179*3+Y179*3+Z179*3)/3)</f>
        <v/>
      </c>
      <c r="I179" s="33">
        <f>IF(COUNT(K179:AG179)=0,"",AB179*3+AC179*2+AD179*2+AE179*1)</f>
        <v/>
      </c>
      <c r="J179" s="33">
        <f>IF(COUNT(K179:AG179)=0,"",(AF179*5+AG179*5)/3)</f>
        <v/>
      </c>
      <c r="K179" s="52" t="n"/>
      <c r="L179" s="52" t="n"/>
      <c r="M179" s="52" t="n"/>
      <c r="N179" s="52" t="n"/>
      <c r="O179" s="53" t="n"/>
      <c r="P179" s="52" t="n"/>
      <c r="Q179" s="52" t="n"/>
      <c r="R179" s="52" t="n"/>
      <c r="S179" s="52" t="n"/>
      <c r="T179" s="53" t="n"/>
      <c r="U179" s="52" t="n"/>
      <c r="V179" s="52" t="n"/>
      <c r="W179" s="52" t="n"/>
      <c r="X179" s="52" t="n"/>
      <c r="Y179" s="52" t="n"/>
      <c r="Z179" s="52" t="n"/>
      <c r="AA179" s="53" t="n"/>
      <c r="AB179" s="52" t="n"/>
      <c r="AC179" s="52" t="n"/>
      <c r="AD179" s="52" t="n"/>
      <c r="AE179" s="52" t="n"/>
      <c r="AF179" s="52" t="n"/>
      <c r="AG179" s="52" t="n"/>
      <c r="AH179" s="53" t="n"/>
      <c r="AI179" s="53" t="n"/>
    </row>
    <row r="180" ht="14.25" customHeight="1" s="65">
      <c r="A180" s="53" t="n"/>
      <c r="B180" s="53" t="n"/>
      <c r="C180" s="53" t="n"/>
      <c r="D180" s="53" t="n"/>
      <c r="E180" s="32">
        <f>IF(COUNT(K180:AG180)=0,"",ROUND((F180+G180+H180+I180+J180)/10,2))</f>
        <v/>
      </c>
      <c r="F180" s="33">
        <f>IF(COUNT(K180:AG180)=0,"",(K180*10+L180*8+M180*7+N180*5)/3)</f>
        <v/>
      </c>
      <c r="G180" s="33">
        <f>IF(COUNT(K180:AG180)=0,"",(P180*8+Q180*7+R180*5+S180*5)/3)</f>
        <v/>
      </c>
      <c r="H180" s="33">
        <f>IF(COUNT(K180:AG180)=0,"",(U180*6+V180*6+W180*4+X180*3+Y180*3+Z180*3)/3)</f>
        <v/>
      </c>
      <c r="I180" s="33">
        <f>IF(COUNT(K180:AG180)=0,"",AB180*3+AC180*2+AD180*2+AE180*1)</f>
        <v/>
      </c>
      <c r="J180" s="33">
        <f>IF(COUNT(K180:AG180)=0,"",(AF180*5+AG180*5)/3)</f>
        <v/>
      </c>
      <c r="K180" s="52" t="n"/>
      <c r="L180" s="52" t="n"/>
      <c r="M180" s="52" t="n"/>
      <c r="N180" s="52" t="n"/>
      <c r="O180" s="53" t="n"/>
      <c r="P180" s="52" t="n"/>
      <c r="Q180" s="52" t="n"/>
      <c r="R180" s="52" t="n"/>
      <c r="S180" s="52" t="n"/>
      <c r="T180" s="53" t="n"/>
      <c r="U180" s="52" t="n"/>
      <c r="V180" s="52" t="n"/>
      <c r="W180" s="52" t="n"/>
      <c r="X180" s="52" t="n"/>
      <c r="Y180" s="52" t="n"/>
      <c r="Z180" s="52" t="n"/>
      <c r="AA180" s="53" t="n"/>
      <c r="AB180" s="52" t="n"/>
      <c r="AC180" s="52" t="n"/>
      <c r="AD180" s="52" t="n"/>
      <c r="AE180" s="52" t="n"/>
      <c r="AF180" s="52" t="n"/>
      <c r="AG180" s="52" t="n"/>
      <c r="AH180" s="53" t="n"/>
      <c r="AI180" s="53" t="n"/>
    </row>
    <row r="181" ht="14.25" customHeight="1" s="65">
      <c r="A181" s="53" t="n"/>
      <c r="B181" s="53" t="n"/>
      <c r="C181" s="53" t="n"/>
      <c r="D181" s="53" t="n"/>
      <c r="E181" s="32">
        <f>IF(COUNT(K181:AG181)=0,"",ROUND((F181+G181+H181+I181+J181)/10,2))</f>
        <v/>
      </c>
      <c r="F181" s="33">
        <f>IF(COUNT(K181:AG181)=0,"",(K181*10+L181*8+M181*7+N181*5)/3)</f>
        <v/>
      </c>
      <c r="G181" s="33">
        <f>IF(COUNT(K181:AG181)=0,"",(P181*8+Q181*7+R181*5+S181*5)/3)</f>
        <v/>
      </c>
      <c r="H181" s="33">
        <f>IF(COUNT(K181:AG181)=0,"",(U181*6+V181*6+W181*4+X181*3+Y181*3+Z181*3)/3)</f>
        <v/>
      </c>
      <c r="I181" s="33">
        <f>IF(COUNT(K181:AG181)=0,"",AB181*3+AC181*2+AD181*2+AE181*1)</f>
        <v/>
      </c>
      <c r="J181" s="33">
        <f>IF(COUNT(K181:AG181)=0,"",(AF181*5+AG181*5)/3)</f>
        <v/>
      </c>
      <c r="K181" s="52" t="n"/>
      <c r="L181" s="52" t="n"/>
      <c r="M181" s="52" t="n"/>
      <c r="N181" s="52" t="n"/>
      <c r="O181" s="53" t="n"/>
      <c r="P181" s="52" t="n"/>
      <c r="Q181" s="52" t="n"/>
      <c r="R181" s="52" t="n"/>
      <c r="S181" s="52" t="n"/>
      <c r="T181" s="53" t="n"/>
      <c r="U181" s="52" t="n"/>
      <c r="V181" s="52" t="n"/>
      <c r="W181" s="52" t="n"/>
      <c r="X181" s="52" t="n"/>
      <c r="Y181" s="52" t="n"/>
      <c r="Z181" s="52" t="n"/>
      <c r="AA181" s="53" t="n"/>
      <c r="AB181" s="52" t="n"/>
      <c r="AC181" s="52" t="n"/>
      <c r="AD181" s="52" t="n"/>
      <c r="AE181" s="52" t="n"/>
      <c r="AF181" s="52" t="n"/>
      <c r="AG181" s="52" t="n"/>
      <c r="AH181" s="53" t="n"/>
      <c r="AI181" s="53" t="n"/>
    </row>
    <row r="182" ht="14.25" customHeight="1" s="65">
      <c r="A182" s="53" t="n"/>
      <c r="B182" s="53" t="n"/>
      <c r="C182" s="53" t="n"/>
      <c r="D182" s="53" t="n"/>
      <c r="E182" s="32">
        <f>IF(COUNT(K182:AG182)=0,"",ROUND((F182+G182+H182+I182+J182)/10,2))</f>
        <v/>
      </c>
      <c r="F182" s="33">
        <f>IF(COUNT(K182:AG182)=0,"",(K182*10+L182*8+M182*7+N182*5)/3)</f>
        <v/>
      </c>
      <c r="G182" s="33">
        <f>IF(COUNT(K182:AG182)=0,"",(P182*8+Q182*7+R182*5+S182*5)/3)</f>
        <v/>
      </c>
      <c r="H182" s="33">
        <f>IF(COUNT(K182:AG182)=0,"",(U182*6+V182*6+W182*4+X182*3+Y182*3+Z182*3)/3)</f>
        <v/>
      </c>
      <c r="I182" s="33">
        <f>IF(COUNT(K182:AG182)=0,"",AB182*3+AC182*2+AD182*2+AE182*1)</f>
        <v/>
      </c>
      <c r="J182" s="33">
        <f>IF(COUNT(K182:AG182)=0,"",(AF182*5+AG182*5)/3)</f>
        <v/>
      </c>
      <c r="K182" s="52" t="n"/>
      <c r="L182" s="52" t="n"/>
      <c r="M182" s="52" t="n"/>
      <c r="N182" s="52" t="n"/>
      <c r="O182" s="53" t="n"/>
      <c r="P182" s="52" t="n"/>
      <c r="Q182" s="52" t="n"/>
      <c r="R182" s="52" t="n"/>
      <c r="S182" s="52" t="n"/>
      <c r="T182" s="53" t="n"/>
      <c r="U182" s="52" t="n"/>
      <c r="V182" s="52" t="n"/>
      <c r="W182" s="52" t="n"/>
      <c r="X182" s="52" t="n"/>
      <c r="Y182" s="52" t="n"/>
      <c r="Z182" s="52" t="n"/>
      <c r="AA182" s="53" t="n"/>
      <c r="AB182" s="52" t="n"/>
      <c r="AC182" s="52" t="n"/>
      <c r="AD182" s="52" t="n"/>
      <c r="AE182" s="52" t="n"/>
      <c r="AF182" s="52" t="n"/>
      <c r="AG182" s="52" t="n"/>
      <c r="AH182" s="53" t="n"/>
      <c r="AI182" s="53" t="n"/>
    </row>
    <row r="183" ht="14.25" customHeight="1" s="65">
      <c r="A183" s="53" t="n"/>
      <c r="B183" s="53" t="n"/>
      <c r="C183" s="53" t="n"/>
      <c r="D183" s="53" t="n"/>
      <c r="E183" s="32">
        <f>IF(COUNT(K183:AG183)=0,"",ROUND((F183+G183+H183+I183+J183)/10,2))</f>
        <v/>
      </c>
      <c r="F183" s="33">
        <f>IF(COUNT(K183:AG183)=0,"",(K183*10+L183*8+M183*7+N183*5)/3)</f>
        <v/>
      </c>
      <c r="G183" s="33">
        <f>IF(COUNT(K183:AG183)=0,"",(P183*8+Q183*7+R183*5+S183*5)/3)</f>
        <v/>
      </c>
      <c r="H183" s="33">
        <f>IF(COUNT(K183:AG183)=0,"",(U183*6+V183*6+W183*4+X183*3+Y183*3+Z183*3)/3)</f>
        <v/>
      </c>
      <c r="I183" s="33">
        <f>IF(COUNT(K183:AG183)=0,"",AB183*3+AC183*2+AD183*2+AE183*1)</f>
        <v/>
      </c>
      <c r="J183" s="33">
        <f>IF(COUNT(K183:AG183)=0,"",(AF183*5+AG183*5)/3)</f>
        <v/>
      </c>
      <c r="K183" s="52" t="n"/>
      <c r="L183" s="52" t="n"/>
      <c r="M183" s="52" t="n"/>
      <c r="N183" s="52" t="n"/>
      <c r="O183" s="53" t="n"/>
      <c r="P183" s="52" t="n"/>
      <c r="Q183" s="52" t="n"/>
      <c r="R183" s="52" t="n"/>
      <c r="S183" s="52" t="n"/>
      <c r="T183" s="53" t="n"/>
      <c r="U183" s="52" t="n"/>
      <c r="V183" s="52" t="n"/>
      <c r="W183" s="52" t="n"/>
      <c r="X183" s="52" t="n"/>
      <c r="Y183" s="52" t="n"/>
      <c r="Z183" s="52" t="n"/>
      <c r="AA183" s="53" t="n"/>
      <c r="AB183" s="52" t="n"/>
      <c r="AC183" s="52" t="n"/>
      <c r="AD183" s="52" t="n"/>
      <c r="AE183" s="52" t="n"/>
      <c r="AF183" s="52" t="n"/>
      <c r="AG183" s="52" t="n"/>
      <c r="AH183" s="53" t="n"/>
      <c r="AI183" s="53" t="n"/>
    </row>
    <row r="184" ht="14.25" customHeight="1" s="65">
      <c r="A184" s="53" t="n"/>
      <c r="B184" s="53" t="n"/>
      <c r="C184" s="53" t="n"/>
      <c r="D184" s="53" t="n"/>
      <c r="E184" s="32">
        <f>IF(COUNT(K184:AG184)=0,"",ROUND((F184+G184+H184+I184+J184)/10,2))</f>
        <v/>
      </c>
      <c r="F184" s="33">
        <f>IF(COUNT(K184:AG184)=0,"",(K184*10+L184*8+M184*7+N184*5)/3)</f>
        <v/>
      </c>
      <c r="G184" s="33">
        <f>IF(COUNT(K184:AG184)=0,"",(P184*8+Q184*7+R184*5+S184*5)/3)</f>
        <v/>
      </c>
      <c r="H184" s="33">
        <f>IF(COUNT(K184:AG184)=0,"",(U184*6+V184*6+W184*4+X184*3+Y184*3+Z184*3)/3)</f>
        <v/>
      </c>
      <c r="I184" s="33">
        <f>IF(COUNT(K184:AG184)=0,"",AB184*3+AC184*2+AD184*2+AE184*1)</f>
        <v/>
      </c>
      <c r="J184" s="33">
        <f>IF(COUNT(K184:AG184)=0,"",(AF184*5+AG184*5)/3)</f>
        <v/>
      </c>
      <c r="K184" s="52" t="n"/>
      <c r="L184" s="52" t="n"/>
      <c r="M184" s="52" t="n"/>
      <c r="N184" s="52" t="n"/>
      <c r="O184" s="53" t="n"/>
      <c r="P184" s="52" t="n"/>
      <c r="Q184" s="52" t="n"/>
      <c r="R184" s="52" t="n"/>
      <c r="S184" s="52" t="n"/>
      <c r="T184" s="53" t="n"/>
      <c r="U184" s="52" t="n"/>
      <c r="V184" s="52" t="n"/>
      <c r="W184" s="52" t="n"/>
      <c r="X184" s="52" t="n"/>
      <c r="Y184" s="52" t="n"/>
      <c r="Z184" s="52" t="n"/>
      <c r="AA184" s="53" t="n"/>
      <c r="AB184" s="52" t="n"/>
      <c r="AC184" s="52" t="n"/>
      <c r="AD184" s="52" t="n"/>
      <c r="AE184" s="52" t="n"/>
      <c r="AF184" s="52" t="n"/>
      <c r="AG184" s="52" t="n"/>
      <c r="AH184" s="53" t="n"/>
      <c r="AI184" s="53" t="n"/>
    </row>
    <row r="185" ht="14.25" customHeight="1" s="65">
      <c r="A185" s="53" t="n"/>
      <c r="B185" s="53" t="n"/>
      <c r="C185" s="53" t="n"/>
      <c r="D185" s="53" t="n"/>
      <c r="E185" s="32">
        <f>IF(COUNT(K185:AG185)=0,"",ROUND((F185+G185+H185+I185+J185)/10,2))</f>
        <v/>
      </c>
      <c r="F185" s="33">
        <f>IF(COUNT(K185:AG185)=0,"",(K185*10+L185*8+M185*7+N185*5)/3)</f>
        <v/>
      </c>
      <c r="G185" s="33">
        <f>IF(COUNT(K185:AG185)=0,"",(P185*8+Q185*7+R185*5+S185*5)/3)</f>
        <v/>
      </c>
      <c r="H185" s="33">
        <f>IF(COUNT(K185:AG185)=0,"",(U185*6+V185*6+W185*4+X185*3+Y185*3+Z185*3)/3)</f>
        <v/>
      </c>
      <c r="I185" s="33">
        <f>IF(COUNT(K185:AG185)=0,"",AB185*3+AC185*2+AD185*2+AE185*1)</f>
        <v/>
      </c>
      <c r="J185" s="33">
        <f>IF(COUNT(K185:AG185)=0,"",(AF185*5+AG185*5)/3)</f>
        <v/>
      </c>
      <c r="K185" s="52" t="n"/>
      <c r="L185" s="52" t="n"/>
      <c r="M185" s="52" t="n"/>
      <c r="N185" s="52" t="n"/>
      <c r="O185" s="53" t="n"/>
      <c r="P185" s="52" t="n"/>
      <c r="Q185" s="52" t="n"/>
      <c r="R185" s="52" t="n"/>
      <c r="S185" s="52" t="n"/>
      <c r="T185" s="53" t="n"/>
      <c r="U185" s="52" t="n"/>
      <c r="V185" s="52" t="n"/>
      <c r="W185" s="52" t="n"/>
      <c r="X185" s="52" t="n"/>
      <c r="Y185" s="52" t="n"/>
      <c r="Z185" s="52" t="n"/>
      <c r="AA185" s="53" t="n"/>
      <c r="AB185" s="52" t="n"/>
      <c r="AC185" s="52" t="n"/>
      <c r="AD185" s="52" t="n"/>
      <c r="AE185" s="52" t="n"/>
      <c r="AF185" s="52" t="n"/>
      <c r="AG185" s="52" t="n"/>
      <c r="AH185" s="53" t="n"/>
      <c r="AI185" s="53" t="n"/>
    </row>
    <row r="186" ht="14.25" customHeight="1" s="65">
      <c r="A186" s="53" t="n"/>
      <c r="B186" s="53" t="n"/>
      <c r="C186" s="53" t="n"/>
      <c r="D186" s="53" t="n"/>
      <c r="E186" s="32">
        <f>IF(COUNT(K186:AG186)=0,"",ROUND((F186+G186+H186+I186+J186)/10,2))</f>
        <v/>
      </c>
      <c r="F186" s="33">
        <f>IF(COUNT(K186:AG186)=0,"",(K186*10+L186*8+M186*7+N186*5)/3)</f>
        <v/>
      </c>
      <c r="G186" s="33">
        <f>IF(COUNT(K186:AG186)=0,"",(P186*8+Q186*7+R186*5+S186*5)/3)</f>
        <v/>
      </c>
      <c r="H186" s="33">
        <f>IF(COUNT(K186:AG186)=0,"",(U186*6+V186*6+W186*4+X186*3+Y186*3+Z186*3)/3)</f>
        <v/>
      </c>
      <c r="I186" s="33">
        <f>IF(COUNT(K186:AG186)=0,"",AB186*3+AC186*2+AD186*2+AE186*1)</f>
        <v/>
      </c>
      <c r="J186" s="33">
        <f>IF(COUNT(K186:AG186)=0,"",(AF186*5+AG186*5)/3)</f>
        <v/>
      </c>
      <c r="K186" s="52" t="n"/>
      <c r="L186" s="52" t="n"/>
      <c r="M186" s="52" t="n"/>
      <c r="N186" s="52" t="n"/>
      <c r="O186" s="53" t="n"/>
      <c r="P186" s="52" t="n"/>
      <c r="Q186" s="52" t="n"/>
      <c r="R186" s="52" t="n"/>
      <c r="S186" s="52" t="n"/>
      <c r="T186" s="53" t="n"/>
      <c r="U186" s="52" t="n"/>
      <c r="V186" s="52" t="n"/>
      <c r="W186" s="52" t="n"/>
      <c r="X186" s="52" t="n"/>
      <c r="Y186" s="52" t="n"/>
      <c r="Z186" s="52" t="n"/>
      <c r="AA186" s="53" t="n"/>
      <c r="AB186" s="52" t="n"/>
      <c r="AC186" s="52" t="n"/>
      <c r="AD186" s="52" t="n"/>
      <c r="AE186" s="52" t="n"/>
      <c r="AF186" s="52" t="n"/>
      <c r="AG186" s="52" t="n"/>
      <c r="AH186" s="53" t="n"/>
      <c r="AI186" s="53" t="n"/>
    </row>
    <row r="187" ht="14.25" customHeight="1" s="65">
      <c r="A187" s="53" t="n"/>
      <c r="B187" s="53" t="n"/>
      <c r="C187" s="53" t="n"/>
      <c r="D187" s="53" t="n"/>
      <c r="E187" s="32">
        <f>IF(COUNT(K187:AG187)=0,"",ROUND((F187+G187+H187+I187+J187)/10,2))</f>
        <v/>
      </c>
      <c r="F187" s="33">
        <f>IF(COUNT(K187:AG187)=0,"",(K187*10+L187*8+M187*7+N187*5)/3)</f>
        <v/>
      </c>
      <c r="G187" s="33">
        <f>IF(COUNT(K187:AG187)=0,"",(P187*8+Q187*7+R187*5+S187*5)/3)</f>
        <v/>
      </c>
      <c r="H187" s="33">
        <f>IF(COUNT(K187:AG187)=0,"",(U187*6+V187*6+W187*4+X187*3+Y187*3+Z187*3)/3)</f>
        <v/>
      </c>
      <c r="I187" s="33">
        <f>IF(COUNT(K187:AG187)=0,"",AB187*3+AC187*2+AD187*2+AE187*1)</f>
        <v/>
      </c>
      <c r="J187" s="33">
        <f>IF(COUNT(K187:AG187)=0,"",(AF187*5+AG187*5)/3)</f>
        <v/>
      </c>
      <c r="K187" s="52" t="n"/>
      <c r="L187" s="52" t="n"/>
      <c r="M187" s="52" t="n"/>
      <c r="N187" s="52" t="n"/>
      <c r="O187" s="53" t="n"/>
      <c r="P187" s="52" t="n"/>
      <c r="Q187" s="52" t="n"/>
      <c r="R187" s="52" t="n"/>
      <c r="S187" s="52" t="n"/>
      <c r="T187" s="53" t="n"/>
      <c r="U187" s="52" t="n"/>
      <c r="V187" s="52" t="n"/>
      <c r="W187" s="52" t="n"/>
      <c r="X187" s="52" t="n"/>
      <c r="Y187" s="52" t="n"/>
      <c r="Z187" s="52" t="n"/>
      <c r="AA187" s="53" t="n"/>
      <c r="AB187" s="52" t="n"/>
      <c r="AC187" s="52" t="n"/>
      <c r="AD187" s="52" t="n"/>
      <c r="AE187" s="52" t="n"/>
      <c r="AF187" s="52" t="n"/>
      <c r="AG187" s="52" t="n"/>
      <c r="AH187" s="53" t="n"/>
      <c r="AI187" s="53" t="n"/>
    </row>
    <row r="188" ht="14.25" customHeight="1" s="65">
      <c r="A188" s="53" t="n"/>
      <c r="B188" s="53" t="n"/>
      <c r="C188" s="53" t="n"/>
      <c r="D188" s="53" t="n"/>
      <c r="E188" s="32">
        <f>IF(COUNT(K188:AG188)=0,"",ROUND((F188+G188+H188+I188+J188)/10,2))</f>
        <v/>
      </c>
      <c r="F188" s="33">
        <f>IF(COUNT(K188:AG188)=0,"",(K188*10+L188*8+M188*7+N188*5)/3)</f>
        <v/>
      </c>
      <c r="G188" s="33">
        <f>IF(COUNT(K188:AG188)=0,"",(P188*8+Q188*7+R188*5+S188*5)/3)</f>
        <v/>
      </c>
      <c r="H188" s="33">
        <f>IF(COUNT(K188:AG188)=0,"",(U188*6+V188*6+W188*4+X188*3+Y188*3+Z188*3)/3)</f>
        <v/>
      </c>
      <c r="I188" s="33">
        <f>IF(COUNT(K188:AG188)=0,"",AB188*3+AC188*2+AD188*2+AE188*1)</f>
        <v/>
      </c>
      <c r="J188" s="33">
        <f>IF(COUNT(K188:AG188)=0,"",(AF188*5+AG188*5)/3)</f>
        <v/>
      </c>
      <c r="K188" s="52" t="n"/>
      <c r="L188" s="52" t="n"/>
      <c r="M188" s="52" t="n"/>
      <c r="N188" s="52" t="n"/>
      <c r="O188" s="53" t="n"/>
      <c r="P188" s="52" t="n"/>
      <c r="Q188" s="52" t="n"/>
      <c r="R188" s="52" t="n"/>
      <c r="S188" s="52" t="n"/>
      <c r="T188" s="53" t="n"/>
      <c r="U188" s="52" t="n"/>
      <c r="V188" s="52" t="n"/>
      <c r="W188" s="52" t="n"/>
      <c r="X188" s="52" t="n"/>
      <c r="Y188" s="52" t="n"/>
      <c r="Z188" s="52" t="n"/>
      <c r="AA188" s="53" t="n"/>
      <c r="AB188" s="52" t="n"/>
      <c r="AC188" s="52" t="n"/>
      <c r="AD188" s="52" t="n"/>
      <c r="AE188" s="52" t="n"/>
      <c r="AF188" s="52" t="n"/>
      <c r="AG188" s="52" t="n"/>
      <c r="AH188" s="53" t="n"/>
      <c r="AI188" s="53" t="n"/>
    </row>
    <row r="189" ht="14.25" customHeight="1" s="65">
      <c r="A189" s="53" t="n"/>
      <c r="B189" s="53" t="n"/>
      <c r="C189" s="53" t="n"/>
      <c r="D189" s="53" t="n"/>
      <c r="E189" s="32">
        <f>IF(COUNT(K189:AG189)=0,"",ROUND((F189+G189+H189+I189+J189)/10,2))</f>
        <v/>
      </c>
      <c r="F189" s="33">
        <f>IF(COUNT(K189:AG189)=0,"",(K189*10+L189*8+M189*7+N189*5)/3)</f>
        <v/>
      </c>
      <c r="G189" s="33">
        <f>IF(COUNT(K189:AG189)=0,"",(P189*8+Q189*7+R189*5+S189*5)/3)</f>
        <v/>
      </c>
      <c r="H189" s="33">
        <f>IF(COUNT(K189:AG189)=0,"",(U189*6+V189*6+W189*4+X189*3+Y189*3+Z189*3)/3)</f>
        <v/>
      </c>
      <c r="I189" s="33">
        <f>IF(COUNT(K189:AG189)=0,"",AB189*3+AC189*2+AD189*2+AE189*1)</f>
        <v/>
      </c>
      <c r="J189" s="33">
        <f>IF(COUNT(K189:AG189)=0,"",(AF189*5+AG189*5)/3)</f>
        <v/>
      </c>
      <c r="K189" s="52" t="n"/>
      <c r="L189" s="52" t="n"/>
      <c r="M189" s="52" t="n"/>
      <c r="N189" s="52" t="n"/>
      <c r="O189" s="53" t="n"/>
      <c r="P189" s="52" t="n"/>
      <c r="Q189" s="52" t="n"/>
      <c r="R189" s="52" t="n"/>
      <c r="S189" s="52" t="n"/>
      <c r="T189" s="53" t="n"/>
      <c r="U189" s="52" t="n"/>
      <c r="V189" s="52" t="n"/>
      <c r="W189" s="52" t="n"/>
      <c r="X189" s="52" t="n"/>
      <c r="Y189" s="52" t="n"/>
      <c r="Z189" s="52" t="n"/>
      <c r="AA189" s="53" t="n"/>
      <c r="AB189" s="52" t="n"/>
      <c r="AC189" s="52" t="n"/>
      <c r="AD189" s="52" t="n"/>
      <c r="AE189" s="52" t="n"/>
      <c r="AF189" s="52" t="n"/>
      <c r="AG189" s="52" t="n"/>
      <c r="AH189" s="53" t="n"/>
      <c r="AI189" s="53" t="n"/>
    </row>
    <row r="190" ht="14.25" customHeight="1" s="65">
      <c r="A190" s="53" t="n"/>
      <c r="B190" s="53" t="n"/>
      <c r="C190" s="53" t="n"/>
      <c r="D190" s="53" t="n"/>
      <c r="E190" s="32">
        <f>IF(COUNT(K190:AG190)=0,"",ROUND((F190+G190+H190+I190+J190)/10,2))</f>
        <v/>
      </c>
      <c r="F190" s="33">
        <f>IF(COUNT(K190:AG190)=0,"",(K190*10+L190*8+M190*7+N190*5)/3)</f>
        <v/>
      </c>
      <c r="G190" s="33">
        <f>IF(COUNT(K190:AG190)=0,"",(P190*8+Q190*7+R190*5+S190*5)/3)</f>
        <v/>
      </c>
      <c r="H190" s="33">
        <f>IF(COUNT(K190:AG190)=0,"",(U190*6+V190*6+W190*4+X190*3+Y190*3+Z190*3)/3)</f>
        <v/>
      </c>
      <c r="I190" s="33">
        <f>IF(COUNT(K190:AG190)=0,"",AB190*3+AC190*2+AD190*2+AE190*1)</f>
        <v/>
      </c>
      <c r="J190" s="33">
        <f>IF(COUNT(K190:AG190)=0,"",(AF190*5+AG190*5)/3)</f>
        <v/>
      </c>
      <c r="K190" s="52" t="n"/>
      <c r="L190" s="52" t="n"/>
      <c r="M190" s="52" t="n"/>
      <c r="N190" s="52" t="n"/>
      <c r="O190" s="53" t="n"/>
      <c r="P190" s="52" t="n"/>
      <c r="Q190" s="52" t="n"/>
      <c r="R190" s="52" t="n"/>
      <c r="S190" s="52" t="n"/>
      <c r="T190" s="53" t="n"/>
      <c r="U190" s="52" t="n"/>
      <c r="V190" s="52" t="n"/>
      <c r="W190" s="52" t="n"/>
      <c r="X190" s="52" t="n"/>
      <c r="Y190" s="52" t="n"/>
      <c r="Z190" s="52" t="n"/>
      <c r="AA190" s="53" t="n"/>
      <c r="AB190" s="52" t="n"/>
      <c r="AC190" s="52" t="n"/>
      <c r="AD190" s="52" t="n"/>
      <c r="AE190" s="52" t="n"/>
      <c r="AF190" s="52" t="n"/>
      <c r="AG190" s="52" t="n"/>
      <c r="AH190" s="53" t="n"/>
      <c r="AI190" s="53" t="n"/>
    </row>
    <row r="191" ht="14.25" customHeight="1" s="65">
      <c r="A191" s="53" t="n"/>
      <c r="B191" s="53" t="n"/>
      <c r="C191" s="53" t="n"/>
      <c r="D191" s="53" t="n"/>
      <c r="E191" s="32">
        <f>IF(COUNT(K191:AG191)=0,"",ROUND((F191+G191+H191+I191+J191)/10,2))</f>
        <v/>
      </c>
      <c r="F191" s="33">
        <f>IF(COUNT(K191:AG191)=0,"",(K191*10+L191*8+M191*7+N191*5)/3)</f>
        <v/>
      </c>
      <c r="G191" s="33">
        <f>IF(COUNT(K191:AG191)=0,"",(P191*8+Q191*7+R191*5+S191*5)/3)</f>
        <v/>
      </c>
      <c r="H191" s="33">
        <f>IF(COUNT(K191:AG191)=0,"",(U191*6+V191*6+W191*4+X191*3+Y191*3+Z191*3)/3)</f>
        <v/>
      </c>
      <c r="I191" s="33">
        <f>IF(COUNT(K191:AG191)=0,"",AB191*3+AC191*2+AD191*2+AE191*1)</f>
        <v/>
      </c>
      <c r="J191" s="33">
        <f>IF(COUNT(K191:AG191)=0,"",(AF191*5+AG191*5)/3)</f>
        <v/>
      </c>
      <c r="K191" s="52" t="n"/>
      <c r="L191" s="52" t="n"/>
      <c r="M191" s="52" t="n"/>
      <c r="N191" s="52" t="n"/>
      <c r="O191" s="53" t="n"/>
      <c r="P191" s="52" t="n"/>
      <c r="Q191" s="52" t="n"/>
      <c r="R191" s="52" t="n"/>
      <c r="S191" s="52" t="n"/>
      <c r="T191" s="53" t="n"/>
      <c r="U191" s="52" t="n"/>
      <c r="V191" s="52" t="n"/>
      <c r="W191" s="52" t="n"/>
      <c r="X191" s="52" t="n"/>
      <c r="Y191" s="52" t="n"/>
      <c r="Z191" s="52" t="n"/>
      <c r="AA191" s="53" t="n"/>
      <c r="AB191" s="52" t="n"/>
      <c r="AC191" s="52" t="n"/>
      <c r="AD191" s="52" t="n"/>
      <c r="AE191" s="52" t="n"/>
      <c r="AF191" s="52" t="n"/>
      <c r="AG191" s="52" t="n"/>
      <c r="AH191" s="53" t="n"/>
      <c r="AI191" s="53" t="n"/>
    </row>
    <row r="192" ht="14.25" customHeight="1" s="65">
      <c r="A192" s="53" t="n"/>
      <c r="B192" s="53" t="n"/>
      <c r="C192" s="53" t="n"/>
      <c r="D192" s="53" t="n"/>
      <c r="E192" s="32">
        <f>IF(COUNT(K192:AG192)=0,"",ROUND((F192+G192+H192+I192+J192)/10,2))</f>
        <v/>
      </c>
      <c r="F192" s="33">
        <f>IF(COUNT(K192:AG192)=0,"",(K192*10+L192*8+M192*7+N192*5)/3)</f>
        <v/>
      </c>
      <c r="G192" s="33">
        <f>IF(COUNT(K192:AG192)=0,"",(P192*8+Q192*7+R192*5+S192*5)/3)</f>
        <v/>
      </c>
      <c r="H192" s="33">
        <f>IF(COUNT(K192:AG192)=0,"",(U192*6+V192*6+W192*4+X192*3+Y192*3+Z192*3)/3)</f>
        <v/>
      </c>
      <c r="I192" s="33">
        <f>IF(COUNT(K192:AG192)=0,"",AB192*3+AC192*2+AD192*2+AE192*1)</f>
        <v/>
      </c>
      <c r="J192" s="33">
        <f>IF(COUNT(K192:AG192)=0,"",(AF192*5+AG192*5)/3)</f>
        <v/>
      </c>
      <c r="K192" s="52" t="n"/>
      <c r="L192" s="52" t="n"/>
      <c r="M192" s="52" t="n"/>
      <c r="N192" s="52" t="n"/>
      <c r="O192" s="53" t="n"/>
      <c r="P192" s="52" t="n"/>
      <c r="Q192" s="52" t="n"/>
      <c r="R192" s="52" t="n"/>
      <c r="S192" s="52" t="n"/>
      <c r="T192" s="53" t="n"/>
      <c r="U192" s="52" t="n"/>
      <c r="V192" s="52" t="n"/>
      <c r="W192" s="52" t="n"/>
      <c r="X192" s="52" t="n"/>
      <c r="Y192" s="52" t="n"/>
      <c r="Z192" s="52" t="n"/>
      <c r="AA192" s="53" t="n"/>
      <c r="AB192" s="52" t="n"/>
      <c r="AC192" s="52" t="n"/>
      <c r="AD192" s="52" t="n"/>
      <c r="AE192" s="52" t="n"/>
      <c r="AF192" s="52" t="n"/>
      <c r="AG192" s="52" t="n"/>
      <c r="AH192" s="53" t="n"/>
      <c r="AI192" s="53" t="n"/>
    </row>
    <row r="193" ht="14.25" customHeight="1" s="65">
      <c r="A193" s="53" t="n"/>
      <c r="B193" s="53" t="n"/>
      <c r="C193" s="53" t="n"/>
      <c r="D193" s="53" t="n"/>
      <c r="E193" s="32">
        <f>IF(COUNT(K193:AG193)=0,"",ROUND((F193+G193+H193+I193+J193)/10,2))</f>
        <v/>
      </c>
      <c r="F193" s="33">
        <f>IF(COUNT(K193:AG193)=0,"",(K193*10+L193*8+M193*7+N193*5)/3)</f>
        <v/>
      </c>
      <c r="G193" s="33">
        <f>IF(COUNT(K193:AG193)=0,"",(P193*8+Q193*7+R193*5+S193*5)/3)</f>
        <v/>
      </c>
      <c r="H193" s="33">
        <f>IF(COUNT(K193:AG193)=0,"",(U193*6+V193*6+W193*4+X193*3+Y193*3+Z193*3)/3)</f>
        <v/>
      </c>
      <c r="I193" s="33">
        <f>IF(COUNT(K193:AG193)=0,"",AB193*3+AC193*2+AD193*2+AE193*1)</f>
        <v/>
      </c>
      <c r="J193" s="33">
        <f>IF(COUNT(K193:AG193)=0,"",(AF193*5+AG193*5)/3)</f>
        <v/>
      </c>
      <c r="K193" s="52" t="n"/>
      <c r="L193" s="52" t="n"/>
      <c r="M193" s="52" t="n"/>
      <c r="N193" s="52" t="n"/>
      <c r="O193" s="53" t="n"/>
      <c r="P193" s="52" t="n"/>
      <c r="Q193" s="52" t="n"/>
      <c r="R193" s="52" t="n"/>
      <c r="S193" s="52" t="n"/>
      <c r="T193" s="53" t="n"/>
      <c r="U193" s="52" t="n"/>
      <c r="V193" s="52" t="n"/>
      <c r="W193" s="52" t="n"/>
      <c r="X193" s="52" t="n"/>
      <c r="Y193" s="52" t="n"/>
      <c r="Z193" s="52" t="n"/>
      <c r="AA193" s="53" t="n"/>
      <c r="AB193" s="52" t="n"/>
      <c r="AC193" s="52" t="n"/>
      <c r="AD193" s="52" t="n"/>
      <c r="AE193" s="52" t="n"/>
      <c r="AF193" s="52" t="n"/>
      <c r="AG193" s="52" t="n"/>
      <c r="AH193" s="53" t="n"/>
      <c r="AI193" s="53" t="n"/>
    </row>
    <row r="194" ht="14.25" customHeight="1" s="65">
      <c r="A194" s="53" t="n"/>
      <c r="B194" s="53" t="n"/>
      <c r="C194" s="53" t="n"/>
      <c r="D194" s="53" t="n"/>
      <c r="E194" s="32">
        <f>IF(COUNT(K194:AG194)=0,"",ROUND((F194+G194+H194+I194+J194)/10,2))</f>
        <v/>
      </c>
      <c r="F194" s="33">
        <f>IF(COUNT(K194:AG194)=0,"",(K194*10+L194*8+M194*7+N194*5)/3)</f>
        <v/>
      </c>
      <c r="G194" s="33">
        <f>IF(COUNT(K194:AG194)=0,"",(P194*8+Q194*7+R194*5+S194*5)/3)</f>
        <v/>
      </c>
      <c r="H194" s="33">
        <f>IF(COUNT(K194:AG194)=0,"",(U194*6+V194*6+W194*4+X194*3+Y194*3+Z194*3)/3)</f>
        <v/>
      </c>
      <c r="I194" s="33">
        <f>IF(COUNT(K194:AG194)=0,"",AB194*3+AC194*2+AD194*2+AE194*1)</f>
        <v/>
      </c>
      <c r="J194" s="33">
        <f>IF(COUNT(K194:AG194)=0,"",(AF194*5+AG194*5)/3)</f>
        <v/>
      </c>
      <c r="K194" s="52" t="n"/>
      <c r="L194" s="52" t="n"/>
      <c r="M194" s="52" t="n"/>
      <c r="N194" s="52" t="n"/>
      <c r="O194" s="53" t="n"/>
      <c r="P194" s="52" t="n"/>
      <c r="Q194" s="52" t="n"/>
      <c r="R194" s="52" t="n"/>
      <c r="S194" s="52" t="n"/>
      <c r="T194" s="53" t="n"/>
      <c r="U194" s="52" t="n"/>
      <c r="V194" s="52" t="n"/>
      <c r="W194" s="52" t="n"/>
      <c r="X194" s="52" t="n"/>
      <c r="Y194" s="52" t="n"/>
      <c r="Z194" s="52" t="n"/>
      <c r="AA194" s="53" t="n"/>
      <c r="AB194" s="52" t="n"/>
      <c r="AC194" s="52" t="n"/>
      <c r="AD194" s="52" t="n"/>
      <c r="AE194" s="52" t="n"/>
      <c r="AF194" s="52" t="n"/>
      <c r="AG194" s="52" t="n"/>
      <c r="AH194" s="53" t="n"/>
      <c r="AI194" s="53" t="n"/>
    </row>
    <row r="195" ht="14.25" customHeight="1" s="65">
      <c r="A195" s="53" t="n"/>
      <c r="B195" s="53" t="n"/>
      <c r="C195" s="53" t="n"/>
      <c r="D195" s="53" t="n"/>
      <c r="E195" s="32">
        <f>IF(COUNT(K195:AG195)=0,"",ROUND((F195+G195+H195+I195+J195)/10,2))</f>
        <v/>
      </c>
      <c r="F195" s="33">
        <f>IF(COUNT(K195:AG195)=0,"",(K195*10+L195*8+M195*7+N195*5)/3)</f>
        <v/>
      </c>
      <c r="G195" s="33">
        <f>IF(COUNT(K195:AG195)=0,"",(P195*8+Q195*7+R195*5+S195*5)/3)</f>
        <v/>
      </c>
      <c r="H195" s="33">
        <f>IF(COUNT(K195:AG195)=0,"",(U195*6+V195*6+W195*4+X195*3+Y195*3+Z195*3)/3)</f>
        <v/>
      </c>
      <c r="I195" s="33">
        <f>IF(COUNT(K195:AG195)=0,"",AB195*3+AC195*2+AD195*2+AE195*1)</f>
        <v/>
      </c>
      <c r="J195" s="33">
        <f>IF(COUNT(K195:AG195)=0,"",(AF195*5+AG195*5)/3)</f>
        <v/>
      </c>
      <c r="K195" s="52" t="n"/>
      <c r="L195" s="52" t="n"/>
      <c r="M195" s="52" t="n"/>
      <c r="N195" s="52" t="n"/>
      <c r="O195" s="53" t="n"/>
      <c r="P195" s="52" t="n"/>
      <c r="Q195" s="52" t="n"/>
      <c r="R195" s="52" t="n"/>
      <c r="S195" s="52" t="n"/>
      <c r="T195" s="53" t="n"/>
      <c r="U195" s="52" t="n"/>
      <c r="V195" s="52" t="n"/>
      <c r="W195" s="52" t="n"/>
      <c r="X195" s="52" t="n"/>
      <c r="Y195" s="52" t="n"/>
      <c r="Z195" s="52" t="n"/>
      <c r="AA195" s="53" t="n"/>
      <c r="AB195" s="52" t="n"/>
      <c r="AC195" s="52" t="n"/>
      <c r="AD195" s="52" t="n"/>
      <c r="AE195" s="52" t="n"/>
      <c r="AF195" s="52" t="n"/>
      <c r="AG195" s="52" t="n"/>
      <c r="AH195" s="53" t="n"/>
      <c r="AI195" s="53" t="n"/>
    </row>
    <row r="196" ht="14.25" customHeight="1" s="65">
      <c r="A196" s="53" t="n"/>
      <c r="B196" s="53" t="n"/>
      <c r="C196" s="53" t="n"/>
      <c r="D196" s="53" t="n"/>
      <c r="E196" s="32">
        <f>IF(COUNT(K196:AG196)=0,"",ROUND((F196+G196+H196+I196+J196)/10,2))</f>
        <v/>
      </c>
      <c r="F196" s="33">
        <f>IF(COUNT(K196:AG196)=0,"",(K196*10+L196*8+M196*7+N196*5)/3)</f>
        <v/>
      </c>
      <c r="G196" s="33">
        <f>IF(COUNT(K196:AG196)=0,"",(P196*8+Q196*7+R196*5+S196*5)/3)</f>
        <v/>
      </c>
      <c r="H196" s="33">
        <f>IF(COUNT(K196:AG196)=0,"",(U196*6+V196*6+W196*4+X196*3+Y196*3+Z196*3)/3)</f>
        <v/>
      </c>
      <c r="I196" s="33">
        <f>IF(COUNT(K196:AG196)=0,"",AB196*3+AC196*2+AD196*2+AE196*1)</f>
        <v/>
      </c>
      <c r="J196" s="33">
        <f>IF(COUNT(K196:AG196)=0,"",(AF196*5+AG196*5)/3)</f>
        <v/>
      </c>
      <c r="K196" s="52" t="n"/>
      <c r="L196" s="52" t="n"/>
      <c r="M196" s="52" t="n"/>
      <c r="N196" s="52" t="n"/>
      <c r="O196" s="53" t="n"/>
      <c r="P196" s="52" t="n"/>
      <c r="Q196" s="52" t="n"/>
      <c r="R196" s="52" t="n"/>
      <c r="S196" s="52" t="n"/>
      <c r="T196" s="53" t="n"/>
      <c r="U196" s="52" t="n"/>
      <c r="V196" s="52" t="n"/>
      <c r="W196" s="52" t="n"/>
      <c r="X196" s="52" t="n"/>
      <c r="Y196" s="52" t="n"/>
      <c r="Z196" s="52" t="n"/>
      <c r="AA196" s="53" t="n"/>
      <c r="AB196" s="52" t="n"/>
      <c r="AC196" s="52" t="n"/>
      <c r="AD196" s="52" t="n"/>
      <c r="AE196" s="52" t="n"/>
      <c r="AF196" s="52" t="n"/>
      <c r="AG196" s="52" t="n"/>
      <c r="AH196" s="53" t="n"/>
      <c r="AI196" s="53" t="n"/>
    </row>
    <row r="197" ht="14.25" customHeight="1" s="65">
      <c r="A197" s="53" t="n"/>
      <c r="B197" s="53" t="n"/>
      <c r="C197" s="53" t="n"/>
      <c r="D197" s="53" t="n"/>
      <c r="E197" s="32">
        <f>IF(COUNT(K197:AG197)=0,"",ROUND((F197+G197+H197+I197+J197)/10,2))</f>
        <v/>
      </c>
      <c r="F197" s="33">
        <f>IF(COUNT(K197:AG197)=0,"",(K197*10+L197*8+M197*7+N197*5)/3)</f>
        <v/>
      </c>
      <c r="G197" s="33">
        <f>IF(COUNT(K197:AG197)=0,"",(P197*8+Q197*7+R197*5+S197*5)/3)</f>
        <v/>
      </c>
      <c r="H197" s="33">
        <f>IF(COUNT(K197:AG197)=0,"",(U197*6+V197*6+W197*4+X197*3+Y197*3+Z197*3)/3)</f>
        <v/>
      </c>
      <c r="I197" s="33">
        <f>IF(COUNT(K197:AG197)=0,"",AB197*3+AC197*2+AD197*2+AE197*1)</f>
        <v/>
      </c>
      <c r="J197" s="33">
        <f>IF(COUNT(K197:AG197)=0,"",(AF197*5+AG197*5)/3)</f>
        <v/>
      </c>
      <c r="K197" s="52" t="n"/>
      <c r="L197" s="52" t="n"/>
      <c r="M197" s="52" t="n"/>
      <c r="N197" s="52" t="n"/>
      <c r="O197" s="53" t="n"/>
      <c r="P197" s="52" t="n"/>
      <c r="Q197" s="52" t="n"/>
      <c r="R197" s="52" t="n"/>
      <c r="S197" s="52" t="n"/>
      <c r="T197" s="53" t="n"/>
      <c r="U197" s="52" t="n"/>
      <c r="V197" s="52" t="n"/>
      <c r="W197" s="52" t="n"/>
      <c r="X197" s="52" t="n"/>
      <c r="Y197" s="52" t="n"/>
      <c r="Z197" s="52" t="n"/>
      <c r="AA197" s="53" t="n"/>
      <c r="AB197" s="52" t="n"/>
      <c r="AC197" s="52" t="n"/>
      <c r="AD197" s="52" t="n"/>
      <c r="AE197" s="52" t="n"/>
      <c r="AF197" s="52" t="n"/>
      <c r="AG197" s="52" t="n"/>
      <c r="AH197" s="53" t="n"/>
      <c r="AI197" s="53" t="n"/>
    </row>
    <row r="198" ht="14.25" customHeight="1" s="65">
      <c r="A198" s="53" t="n"/>
      <c r="B198" s="53" t="n"/>
      <c r="C198" s="53" t="n"/>
      <c r="D198" s="53" t="n"/>
      <c r="E198" s="32">
        <f>IF(COUNT(K198:AG198)=0,"",ROUND((F198+G198+H198+I198+J198)/10,2))</f>
        <v/>
      </c>
      <c r="F198" s="33">
        <f>IF(COUNT(K198:AG198)=0,"",(K198*10+L198*8+M198*7+N198*5)/3)</f>
        <v/>
      </c>
      <c r="G198" s="33">
        <f>IF(COUNT(K198:AG198)=0,"",(P198*8+Q198*7+R198*5+S198*5)/3)</f>
        <v/>
      </c>
      <c r="H198" s="33">
        <f>IF(COUNT(K198:AG198)=0,"",(U198*6+V198*6+W198*4+X198*3+Y198*3+Z198*3)/3)</f>
        <v/>
      </c>
      <c r="I198" s="33">
        <f>IF(COUNT(K198:AG198)=0,"",AB198*3+AC198*2+AD198*2+AE198*1)</f>
        <v/>
      </c>
      <c r="J198" s="33">
        <f>IF(COUNT(K198:AG198)=0,"",(AF198*5+AG198*5)/3)</f>
        <v/>
      </c>
      <c r="K198" s="52" t="n"/>
      <c r="L198" s="52" t="n"/>
      <c r="M198" s="52" t="n"/>
      <c r="N198" s="52" t="n"/>
      <c r="O198" s="53" t="n"/>
      <c r="P198" s="52" t="n"/>
      <c r="Q198" s="52" t="n"/>
      <c r="R198" s="52" t="n"/>
      <c r="S198" s="52" t="n"/>
      <c r="T198" s="53" t="n"/>
      <c r="U198" s="52" t="n"/>
      <c r="V198" s="52" t="n"/>
      <c r="W198" s="52" t="n"/>
      <c r="X198" s="52" t="n"/>
      <c r="Y198" s="52" t="n"/>
      <c r="Z198" s="52" t="n"/>
      <c r="AA198" s="53" t="n"/>
      <c r="AB198" s="52" t="n"/>
      <c r="AC198" s="52" t="n"/>
      <c r="AD198" s="52" t="n"/>
      <c r="AE198" s="52" t="n"/>
      <c r="AF198" s="52" t="n"/>
      <c r="AG198" s="52" t="n"/>
      <c r="AH198" s="53" t="n"/>
      <c r="AI198" s="53" t="n"/>
    </row>
    <row r="199" ht="14.25" customHeight="1" s="65">
      <c r="A199" s="53" t="n"/>
      <c r="B199" s="53" t="n"/>
      <c r="C199" s="53" t="n"/>
      <c r="D199" s="53" t="n"/>
      <c r="E199" s="32">
        <f>IF(COUNT(K199:AG199)=0,"",ROUND((F199+G199+H199+I199+J199)/10,2))</f>
        <v/>
      </c>
      <c r="F199" s="33">
        <f>IF(COUNT(K199:AG199)=0,"",(K199*10+L199*8+M199*7+N199*5)/3)</f>
        <v/>
      </c>
      <c r="G199" s="33">
        <f>IF(COUNT(K199:AG199)=0,"",(P199*8+Q199*7+R199*5+S199*5)/3)</f>
        <v/>
      </c>
      <c r="H199" s="33">
        <f>IF(COUNT(K199:AG199)=0,"",(U199*6+V199*6+W199*4+X199*3+Y199*3+Z199*3)/3)</f>
        <v/>
      </c>
      <c r="I199" s="33">
        <f>IF(COUNT(K199:AG199)=0,"",AB199*3+AC199*2+AD199*2+AE199*1)</f>
        <v/>
      </c>
      <c r="J199" s="33">
        <f>IF(COUNT(K199:AG199)=0,"",(AF199*5+AG199*5)/3)</f>
        <v/>
      </c>
      <c r="K199" s="52" t="n"/>
      <c r="L199" s="52" t="n"/>
      <c r="M199" s="52" t="n"/>
      <c r="N199" s="52" t="n"/>
      <c r="O199" s="53" t="n"/>
      <c r="P199" s="52" t="n"/>
      <c r="Q199" s="52" t="n"/>
      <c r="R199" s="52" t="n"/>
      <c r="S199" s="52" t="n"/>
      <c r="T199" s="53" t="n"/>
      <c r="U199" s="52" t="n"/>
      <c r="V199" s="52" t="n"/>
      <c r="W199" s="52" t="n"/>
      <c r="X199" s="52" t="n"/>
      <c r="Y199" s="52" t="n"/>
      <c r="Z199" s="52" t="n"/>
      <c r="AA199" s="53" t="n"/>
      <c r="AB199" s="52" t="n"/>
      <c r="AC199" s="52" t="n"/>
      <c r="AD199" s="52" t="n"/>
      <c r="AE199" s="52" t="n"/>
      <c r="AF199" s="52" t="n"/>
      <c r="AG199" s="52" t="n"/>
      <c r="AH199" s="53" t="n"/>
      <c r="AI199" s="53" t="n"/>
    </row>
    <row r="200" ht="14.25" customHeight="1" s="65">
      <c r="A200" s="53" t="n"/>
      <c r="B200" s="53" t="n"/>
      <c r="C200" s="53" t="n"/>
      <c r="D200" s="53" t="n"/>
      <c r="E200" s="32">
        <f>IF(COUNT(K200:AG200)=0,"",ROUND((F200+G200+H200+I200+J200)/10,2))</f>
        <v/>
      </c>
      <c r="F200" s="33">
        <f>IF(COUNT(K200:AG200)=0,"",(K200*10+L200*8+M200*7+N200*5)/3)</f>
        <v/>
      </c>
      <c r="G200" s="33">
        <f>IF(COUNT(K200:AG200)=0,"",(P200*8+Q200*7+R200*5+S200*5)/3)</f>
        <v/>
      </c>
      <c r="H200" s="33">
        <f>IF(COUNT(K200:AG200)=0,"",(U200*6+V200*6+W200*4+X200*3+Y200*3+Z200*3)/3)</f>
        <v/>
      </c>
      <c r="I200" s="33">
        <f>IF(COUNT(K200:AG200)=0,"",AB200*3+AC200*2+AD200*2+AE200*1)</f>
        <v/>
      </c>
      <c r="J200" s="33">
        <f>IF(COUNT(K200:AG200)=0,"",(AF200*5+AG200*5)/3)</f>
        <v/>
      </c>
      <c r="K200" s="52" t="n"/>
      <c r="L200" s="52" t="n"/>
      <c r="M200" s="52" t="n"/>
      <c r="N200" s="52" t="n"/>
      <c r="O200" s="53" t="n"/>
      <c r="P200" s="52" t="n"/>
      <c r="Q200" s="52" t="n"/>
      <c r="R200" s="52" t="n"/>
      <c r="S200" s="52" t="n"/>
      <c r="T200" s="53" t="n"/>
      <c r="U200" s="52" t="n"/>
      <c r="V200" s="52" t="n"/>
      <c r="W200" s="52" t="n"/>
      <c r="X200" s="52" t="n"/>
      <c r="Y200" s="52" t="n"/>
      <c r="Z200" s="52" t="n"/>
      <c r="AA200" s="53" t="n"/>
      <c r="AB200" s="52" t="n"/>
      <c r="AC200" s="52" t="n"/>
      <c r="AD200" s="52" t="n"/>
      <c r="AE200" s="52" t="n"/>
      <c r="AF200" s="52" t="n"/>
      <c r="AG200" s="52" t="n"/>
      <c r="AH200" s="53" t="n"/>
      <c r="AI200" s="53" t="n"/>
    </row>
    <row r="201" ht="14.25" customHeight="1" s="65">
      <c r="A201" s="53" t="n"/>
      <c r="B201" s="53" t="n"/>
      <c r="C201" s="53" t="n"/>
      <c r="D201" s="53" t="n"/>
      <c r="E201" s="32">
        <f>IF(COUNT(K201:AG201)=0,"",ROUND((F201+G201+H201+I201+J201)/10,2))</f>
        <v/>
      </c>
      <c r="F201" s="33">
        <f>IF(COUNT(K201:AG201)=0,"",(K201*10+L201*8+M201*7+N201*5)/3)</f>
        <v/>
      </c>
      <c r="G201" s="33">
        <f>IF(COUNT(K201:AG201)=0,"",(P201*8+Q201*7+R201*5+S201*5)/3)</f>
        <v/>
      </c>
      <c r="H201" s="33">
        <f>IF(COUNT(K201:AG201)=0,"",(U201*6+V201*6+W201*4+X201*3+Y201*3+Z201*3)/3)</f>
        <v/>
      </c>
      <c r="I201" s="33">
        <f>IF(COUNT(K201:AG201)=0,"",AB201*3+AC201*2+AD201*2+AE201*1)</f>
        <v/>
      </c>
      <c r="J201" s="33">
        <f>IF(COUNT(K201:AG201)=0,"",(AF201*5+AG201*5)/3)</f>
        <v/>
      </c>
      <c r="K201" s="52" t="n"/>
      <c r="L201" s="52" t="n"/>
      <c r="M201" s="52" t="n"/>
      <c r="N201" s="52" t="n"/>
      <c r="O201" s="53" t="n"/>
      <c r="P201" s="52" t="n"/>
      <c r="Q201" s="52" t="n"/>
      <c r="R201" s="52" t="n"/>
      <c r="S201" s="52" t="n"/>
      <c r="T201" s="53" t="n"/>
      <c r="U201" s="52" t="n"/>
      <c r="V201" s="52" t="n"/>
      <c r="W201" s="52" t="n"/>
      <c r="X201" s="52" t="n"/>
      <c r="Y201" s="52" t="n"/>
      <c r="Z201" s="52" t="n"/>
      <c r="AA201" s="53" t="n"/>
      <c r="AB201" s="52" t="n"/>
      <c r="AC201" s="52" t="n"/>
      <c r="AD201" s="52" t="n"/>
      <c r="AE201" s="52" t="n"/>
      <c r="AF201" s="52" t="n"/>
      <c r="AG201" s="52" t="n"/>
      <c r="AH201" s="53" t="n"/>
      <c r="AI201" s="53" t="n"/>
    </row>
    <row r="202" ht="14.25" customHeight="1" s="65">
      <c r="A202" s="53" t="n"/>
      <c r="B202" s="53" t="n"/>
      <c r="C202" s="53" t="n"/>
      <c r="D202" s="53" t="n"/>
      <c r="E202" s="32">
        <f>IF(COUNT(K202:AG202)=0,"",ROUND((F202+G202+H202+I202+J202)/10,2))</f>
        <v/>
      </c>
      <c r="F202" s="33">
        <f>IF(COUNT(K202:AG202)=0,"",(K202*10+L202*8+M202*7+N202*5)/3)</f>
        <v/>
      </c>
      <c r="G202" s="33">
        <f>IF(COUNT(K202:AG202)=0,"",(P202*8+Q202*7+R202*5+S202*5)/3)</f>
        <v/>
      </c>
      <c r="H202" s="33">
        <f>IF(COUNT(K202:AG202)=0,"",(U202*6+V202*6+W202*4+X202*3+Y202*3+Z202*3)/3)</f>
        <v/>
      </c>
      <c r="I202" s="33">
        <f>IF(COUNT(K202:AG202)=0,"",AB202*3+AC202*2+AD202*2+AE202*1)</f>
        <v/>
      </c>
      <c r="J202" s="33">
        <f>IF(COUNT(K202:AG202)=0,"",(AF202*5+AG202*5)/3)</f>
        <v/>
      </c>
      <c r="K202" s="52" t="n"/>
      <c r="L202" s="52" t="n"/>
      <c r="M202" s="52" t="n"/>
      <c r="N202" s="52" t="n"/>
      <c r="O202" s="53" t="n"/>
      <c r="P202" s="52" t="n"/>
      <c r="Q202" s="52" t="n"/>
      <c r="R202" s="52" t="n"/>
      <c r="S202" s="52" t="n"/>
      <c r="T202" s="53" t="n"/>
      <c r="U202" s="52" t="n"/>
      <c r="V202" s="52" t="n"/>
      <c r="W202" s="52" t="n"/>
      <c r="X202" s="52" t="n"/>
      <c r="Y202" s="52" t="n"/>
      <c r="Z202" s="52" t="n"/>
      <c r="AA202" s="53" t="n"/>
      <c r="AB202" s="52" t="n"/>
      <c r="AC202" s="52" t="n"/>
      <c r="AD202" s="52" t="n"/>
      <c r="AE202" s="52" t="n"/>
      <c r="AF202" s="52" t="n"/>
      <c r="AG202" s="52" t="n"/>
      <c r="AH202" s="53" t="n"/>
      <c r="AI202" s="53" t="n"/>
    </row>
    <row r="203" ht="14.25" customHeight="1" s="65">
      <c r="A203" s="53" t="n"/>
      <c r="B203" s="53" t="n"/>
      <c r="C203" s="53" t="n"/>
      <c r="D203" s="53" t="n"/>
      <c r="E203" s="32">
        <f>IF(COUNT(K203:AG203)=0,"",ROUND((F203+G203+H203+I203+J203)/10,2))</f>
        <v/>
      </c>
      <c r="F203" s="33">
        <f>IF(COUNT(K203:AG203)=0,"",(K203*10+L203*8+M203*7+N203*5)/3)</f>
        <v/>
      </c>
      <c r="G203" s="33">
        <f>IF(COUNT(K203:AG203)=0,"",(P203*8+Q203*7+R203*5+S203*5)/3)</f>
        <v/>
      </c>
      <c r="H203" s="33">
        <f>IF(COUNT(K203:AG203)=0,"",(U203*6+V203*6+W203*4+X203*3+Y203*3+Z203*3)/3)</f>
        <v/>
      </c>
      <c r="I203" s="33">
        <f>IF(COUNT(K203:AG203)=0,"",AB203*3+AC203*2+AD203*2+AE203*1)</f>
        <v/>
      </c>
      <c r="J203" s="33">
        <f>IF(COUNT(K203:AG203)=0,"",(AF203*5+AG203*5)/3)</f>
        <v/>
      </c>
      <c r="K203" s="52" t="n"/>
      <c r="L203" s="52" t="n"/>
      <c r="M203" s="52" t="n"/>
      <c r="N203" s="52" t="n"/>
      <c r="O203" s="53" t="n"/>
      <c r="P203" s="52" t="n"/>
      <c r="Q203" s="52" t="n"/>
      <c r="R203" s="52" t="n"/>
      <c r="S203" s="52" t="n"/>
      <c r="T203" s="53" t="n"/>
      <c r="U203" s="52" t="n"/>
      <c r="V203" s="52" t="n"/>
      <c r="W203" s="52" t="n"/>
      <c r="X203" s="52" t="n"/>
      <c r="Y203" s="52" t="n"/>
      <c r="Z203" s="52" t="n"/>
      <c r="AA203" s="53" t="n"/>
      <c r="AB203" s="52" t="n"/>
      <c r="AC203" s="52" t="n"/>
      <c r="AD203" s="52" t="n"/>
      <c r="AE203" s="52" t="n"/>
      <c r="AF203" s="52" t="n"/>
      <c r="AG203" s="52" t="n"/>
      <c r="AH203" s="53" t="n"/>
      <c r="AI203" s="53" t="n"/>
    </row>
    <row r="204" ht="14.25" customHeight="1" s="65">
      <c r="A204" s="53" t="n"/>
      <c r="B204" s="53" t="n"/>
      <c r="C204" s="53" t="n"/>
      <c r="D204" s="53" t="n"/>
      <c r="E204" s="32">
        <f>IF(COUNT(K204:AG204)=0,"",ROUND((F204+G204+H204+I204+J204)/10,2))</f>
        <v/>
      </c>
      <c r="F204" s="33">
        <f>IF(COUNT(K204:AG204)=0,"",(K204*10+L204*8+M204*7+N204*5)/3)</f>
        <v/>
      </c>
      <c r="G204" s="33">
        <f>IF(COUNT(K204:AG204)=0,"",(P204*8+Q204*7+R204*5+S204*5)/3)</f>
        <v/>
      </c>
      <c r="H204" s="33">
        <f>IF(COUNT(K204:AG204)=0,"",(U204*6+V204*6+W204*4+X204*3+Y204*3+Z204*3)/3)</f>
        <v/>
      </c>
      <c r="I204" s="33">
        <f>IF(COUNT(K204:AG204)=0,"",AB204*3+AC204*2+AD204*2+AE204*1)</f>
        <v/>
      </c>
      <c r="J204" s="33">
        <f>IF(COUNT(K204:AG204)=0,"",(AF204*5+AG204*5)/3)</f>
        <v/>
      </c>
      <c r="K204" s="52" t="n"/>
      <c r="L204" s="52" t="n"/>
      <c r="M204" s="52" t="n"/>
      <c r="N204" s="52" t="n"/>
      <c r="O204" s="53" t="n"/>
      <c r="P204" s="52" t="n"/>
      <c r="Q204" s="52" t="n"/>
      <c r="R204" s="52" t="n"/>
      <c r="S204" s="52" t="n"/>
      <c r="T204" s="53" t="n"/>
      <c r="U204" s="52" t="n"/>
      <c r="V204" s="52" t="n"/>
      <c r="W204" s="52" t="n"/>
      <c r="X204" s="52" t="n"/>
      <c r="Y204" s="52" t="n"/>
      <c r="Z204" s="52" t="n"/>
      <c r="AA204" s="53" t="n"/>
      <c r="AB204" s="52" t="n"/>
      <c r="AC204" s="52" t="n"/>
      <c r="AD204" s="52" t="n"/>
      <c r="AE204" s="52" t="n"/>
      <c r="AF204" s="52" t="n"/>
      <c r="AG204" s="52" t="n"/>
      <c r="AH204" s="53" t="n"/>
      <c r="AI204" s="53" t="n"/>
    </row>
    <row r="205" ht="14.25" customHeight="1" s="65">
      <c r="A205" s="53" t="n"/>
      <c r="B205" s="53" t="n"/>
      <c r="C205" s="53" t="n"/>
      <c r="D205" s="53" t="n"/>
      <c r="E205" s="32">
        <f>IF(COUNT(K205:AG205)=0,"",ROUND((F205+G205+H205+I205+J205)/10,2))</f>
        <v/>
      </c>
      <c r="F205" s="33">
        <f>IF(COUNT(K205:AG205)=0,"",(K205*10+L205*8+M205*7+N205*5)/3)</f>
        <v/>
      </c>
      <c r="G205" s="33">
        <f>IF(COUNT(K205:AG205)=0,"",(P205*8+Q205*7+R205*5+S205*5)/3)</f>
        <v/>
      </c>
      <c r="H205" s="33">
        <f>IF(COUNT(K205:AG205)=0,"",(U205*6+V205*6+W205*4+X205*3+Y205*3+Z205*3)/3)</f>
        <v/>
      </c>
      <c r="I205" s="33">
        <f>IF(COUNT(K205:AG205)=0,"",AB205*3+AC205*2+AD205*2+AE205*1)</f>
        <v/>
      </c>
      <c r="J205" s="33">
        <f>IF(COUNT(K205:AG205)=0,"",(AF205*5+AG205*5)/3)</f>
        <v/>
      </c>
      <c r="K205" s="52" t="n"/>
      <c r="L205" s="52" t="n"/>
      <c r="M205" s="52" t="n"/>
      <c r="N205" s="52" t="n"/>
      <c r="O205" s="53" t="n"/>
      <c r="P205" s="52" t="n"/>
      <c r="Q205" s="52" t="n"/>
      <c r="R205" s="52" t="n"/>
      <c r="S205" s="52" t="n"/>
      <c r="T205" s="53" t="n"/>
      <c r="U205" s="52" t="n"/>
      <c r="V205" s="52" t="n"/>
      <c r="W205" s="52" t="n"/>
      <c r="X205" s="52" t="n"/>
      <c r="Y205" s="52" t="n"/>
      <c r="Z205" s="52" t="n"/>
      <c r="AA205" s="53" t="n"/>
      <c r="AB205" s="52" t="n"/>
      <c r="AC205" s="52" t="n"/>
      <c r="AD205" s="52" t="n"/>
      <c r="AE205" s="52" t="n"/>
      <c r="AF205" s="52" t="n"/>
      <c r="AG205" s="52" t="n"/>
      <c r="AH205" s="53" t="n"/>
      <c r="AI205" s="53" t="n"/>
    </row>
    <row r="206" ht="14.25" customHeight="1" s="65">
      <c r="A206" s="53" t="n"/>
      <c r="B206" s="53" t="n"/>
      <c r="C206" s="53" t="n"/>
      <c r="D206" s="53" t="n"/>
      <c r="E206" s="32">
        <f>IF(COUNT(K206:AG206)=0,"",ROUND((F206+G206+H206+I206+J206)/10,2))</f>
        <v/>
      </c>
      <c r="F206" s="33">
        <f>IF(COUNT(K206:AG206)=0,"",(K206*10+L206*8+M206*7+N206*5)/3)</f>
        <v/>
      </c>
      <c r="G206" s="33">
        <f>IF(COUNT(K206:AG206)=0,"",(P206*8+Q206*7+R206*5+S206*5)/3)</f>
        <v/>
      </c>
      <c r="H206" s="33">
        <f>IF(COUNT(K206:AG206)=0,"",(U206*6+V206*6+W206*4+X206*3+Y206*3+Z206*3)/3)</f>
        <v/>
      </c>
      <c r="I206" s="33">
        <f>IF(COUNT(K206:AG206)=0,"",AB206*3+AC206*2+AD206*2+AE206*1)</f>
        <v/>
      </c>
      <c r="J206" s="33">
        <f>IF(COUNT(K206:AG206)=0,"",(AF206*5+AG206*5)/3)</f>
        <v/>
      </c>
      <c r="K206" s="52" t="n"/>
      <c r="L206" s="52" t="n"/>
      <c r="M206" s="52" t="n"/>
      <c r="N206" s="52" t="n"/>
      <c r="O206" s="53" t="n"/>
      <c r="P206" s="52" t="n"/>
      <c r="Q206" s="52" t="n"/>
      <c r="R206" s="52" t="n"/>
      <c r="S206" s="52" t="n"/>
      <c r="T206" s="53" t="n"/>
      <c r="U206" s="52" t="n"/>
      <c r="V206" s="52" t="n"/>
      <c r="W206" s="52" t="n"/>
      <c r="X206" s="52" t="n"/>
      <c r="Y206" s="52" t="n"/>
      <c r="Z206" s="52" t="n"/>
      <c r="AA206" s="53" t="n"/>
      <c r="AB206" s="52" t="n"/>
      <c r="AC206" s="52" t="n"/>
      <c r="AD206" s="52" t="n"/>
      <c r="AE206" s="52" t="n"/>
      <c r="AF206" s="52" t="n"/>
      <c r="AG206" s="52" t="n"/>
      <c r="AH206" s="53" t="n"/>
      <c r="AI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c r="AA207" s="53" t="n"/>
      <c r="AB207" s="53" t="n"/>
      <c r="AC207" s="53" t="n"/>
      <c r="AD207" s="53" t="n"/>
      <c r="AE207" s="53" t="n"/>
      <c r="AF207" s="53" t="n"/>
      <c r="AG207" s="53" t="n"/>
      <c r="AH207" s="53" t="n"/>
      <c r="AI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c r="AA208" s="53" t="n"/>
      <c r="AB208" s="53" t="n"/>
      <c r="AC208" s="53" t="n"/>
      <c r="AD208" s="53" t="n"/>
      <c r="AE208" s="53" t="n"/>
      <c r="AF208" s="53" t="n"/>
      <c r="AG208" s="53" t="n"/>
      <c r="AH208" s="53" t="n"/>
      <c r="AI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c r="AA209" s="53" t="n"/>
      <c r="AB209" s="53" t="n"/>
      <c r="AC209" s="53" t="n"/>
      <c r="AD209" s="53" t="n"/>
      <c r="AE209" s="53" t="n"/>
      <c r="AF209" s="53" t="n"/>
      <c r="AG209" s="53" t="n"/>
      <c r="AH209" s="53" t="n"/>
      <c r="AI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c r="AA210" s="53" t="n"/>
      <c r="AB210" s="53" t="n"/>
      <c r="AC210" s="53" t="n"/>
      <c r="AD210" s="53" t="n"/>
      <c r="AE210" s="53" t="n"/>
      <c r="AF210" s="53" t="n"/>
      <c r="AG210" s="53" t="n"/>
      <c r="AH210" s="53" t="n"/>
      <c r="AI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c r="AA211" s="53" t="n"/>
      <c r="AB211" s="53" t="n"/>
      <c r="AC211" s="53" t="n"/>
      <c r="AD211" s="53" t="n"/>
      <c r="AE211" s="53" t="n"/>
      <c r="AF211" s="53" t="n"/>
      <c r="AG211" s="53" t="n"/>
      <c r="AH211" s="53" t="n"/>
      <c r="AI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c r="AA212" s="53" t="n"/>
      <c r="AB212" s="53" t="n"/>
      <c r="AC212" s="53" t="n"/>
      <c r="AD212" s="53" t="n"/>
      <c r="AE212" s="53" t="n"/>
      <c r="AF212" s="53" t="n"/>
      <c r="AG212" s="53" t="n"/>
      <c r="AH212" s="53" t="n"/>
      <c r="AI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c r="AA213" s="53" t="n"/>
      <c r="AB213" s="53" t="n"/>
      <c r="AC213" s="53" t="n"/>
      <c r="AD213" s="53" t="n"/>
      <c r="AE213" s="53" t="n"/>
      <c r="AF213" s="53" t="n"/>
      <c r="AG213" s="53" t="n"/>
      <c r="AH213" s="53" t="n"/>
      <c r="AI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c r="AA214" s="53" t="n"/>
      <c r="AB214" s="53" t="n"/>
      <c r="AC214" s="53" t="n"/>
      <c r="AD214" s="53" t="n"/>
      <c r="AE214" s="53" t="n"/>
      <c r="AF214" s="53" t="n"/>
      <c r="AG214" s="53" t="n"/>
      <c r="AH214" s="53" t="n"/>
      <c r="AI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c r="AA215" s="53" t="n"/>
      <c r="AB215" s="53" t="n"/>
      <c r="AC215" s="53" t="n"/>
      <c r="AD215" s="53" t="n"/>
      <c r="AE215" s="53" t="n"/>
      <c r="AF215" s="53" t="n"/>
      <c r="AG215" s="53" t="n"/>
      <c r="AH215" s="53" t="n"/>
      <c r="AI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c r="AA216" s="53" t="n"/>
      <c r="AB216" s="53" t="n"/>
      <c r="AC216" s="53" t="n"/>
      <c r="AD216" s="53" t="n"/>
      <c r="AE216" s="53" t="n"/>
      <c r="AF216" s="53" t="n"/>
      <c r="AG216" s="53" t="n"/>
      <c r="AH216" s="53" t="n"/>
      <c r="AI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c r="AA217" s="53" t="n"/>
      <c r="AB217" s="53" t="n"/>
      <c r="AC217" s="53" t="n"/>
      <c r="AD217" s="53" t="n"/>
      <c r="AE217" s="53" t="n"/>
      <c r="AF217" s="53" t="n"/>
      <c r="AG217" s="53" t="n"/>
      <c r="AH217" s="53" t="n"/>
      <c r="AI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c r="AA218" s="53" t="n"/>
      <c r="AB218" s="53" t="n"/>
      <c r="AC218" s="53" t="n"/>
      <c r="AD218" s="53" t="n"/>
      <c r="AE218" s="53" t="n"/>
      <c r="AF218" s="53" t="n"/>
      <c r="AG218" s="53" t="n"/>
      <c r="AH218" s="53" t="n"/>
      <c r="AI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c r="AA219" s="53" t="n"/>
      <c r="AB219" s="53" t="n"/>
      <c r="AC219" s="53" t="n"/>
      <c r="AD219" s="53" t="n"/>
      <c r="AE219" s="53" t="n"/>
      <c r="AF219" s="53" t="n"/>
      <c r="AG219" s="53" t="n"/>
      <c r="AH219" s="53" t="n"/>
      <c r="AI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c r="AA220" s="53" t="n"/>
      <c r="AB220" s="53" t="n"/>
      <c r="AC220" s="53" t="n"/>
      <c r="AD220" s="53" t="n"/>
      <c r="AE220" s="53" t="n"/>
      <c r="AF220" s="53" t="n"/>
      <c r="AG220" s="53" t="n"/>
      <c r="AH220" s="53" t="n"/>
      <c r="AI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c r="AA221" s="53" t="n"/>
      <c r="AB221" s="53" t="n"/>
      <c r="AC221" s="53" t="n"/>
      <c r="AD221" s="53" t="n"/>
      <c r="AE221" s="53" t="n"/>
      <c r="AF221" s="53" t="n"/>
      <c r="AG221" s="53" t="n"/>
      <c r="AH221" s="53" t="n"/>
      <c r="AI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c r="AA222" s="53" t="n"/>
      <c r="AB222" s="53" t="n"/>
      <c r="AC222" s="53" t="n"/>
      <c r="AD222" s="53" t="n"/>
      <c r="AE222" s="53" t="n"/>
      <c r="AF222" s="53" t="n"/>
      <c r="AG222" s="53" t="n"/>
      <c r="AH222" s="53" t="n"/>
      <c r="AI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c r="AA223" s="53" t="n"/>
      <c r="AB223" s="53" t="n"/>
      <c r="AC223" s="53" t="n"/>
      <c r="AD223" s="53" t="n"/>
      <c r="AE223" s="53" t="n"/>
      <c r="AF223" s="53" t="n"/>
      <c r="AG223" s="53" t="n"/>
      <c r="AH223" s="53" t="n"/>
      <c r="AI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c r="AA224" s="53" t="n"/>
      <c r="AB224" s="53" t="n"/>
      <c r="AC224" s="53" t="n"/>
      <c r="AD224" s="53" t="n"/>
      <c r="AE224" s="53" t="n"/>
      <c r="AF224" s="53" t="n"/>
      <c r="AG224" s="53" t="n"/>
      <c r="AH224" s="53" t="n"/>
      <c r="AI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c r="AA225" s="53" t="n"/>
      <c r="AB225" s="53" t="n"/>
      <c r="AC225" s="53" t="n"/>
      <c r="AD225" s="53" t="n"/>
      <c r="AE225" s="53" t="n"/>
      <c r="AF225" s="53" t="n"/>
      <c r="AG225" s="53" t="n"/>
      <c r="AH225" s="53" t="n"/>
      <c r="AI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c r="AA226" s="53" t="n"/>
      <c r="AB226" s="53" t="n"/>
      <c r="AC226" s="53" t="n"/>
      <c r="AD226" s="53" t="n"/>
      <c r="AE226" s="53" t="n"/>
      <c r="AF226" s="53" t="n"/>
      <c r="AG226" s="53" t="n"/>
      <c r="AH226" s="53" t="n"/>
      <c r="AI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c r="AA227" s="53" t="n"/>
      <c r="AB227" s="53" t="n"/>
      <c r="AC227" s="53" t="n"/>
      <c r="AD227" s="53" t="n"/>
      <c r="AE227" s="53" t="n"/>
      <c r="AF227" s="53" t="n"/>
      <c r="AG227" s="53" t="n"/>
      <c r="AH227" s="53" t="n"/>
      <c r="AI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c r="AA228" s="53" t="n"/>
      <c r="AB228" s="53" t="n"/>
      <c r="AC228" s="53" t="n"/>
      <c r="AD228" s="53" t="n"/>
      <c r="AE228" s="53" t="n"/>
      <c r="AF228" s="53" t="n"/>
      <c r="AG228" s="53" t="n"/>
      <c r="AH228" s="53" t="n"/>
      <c r="AI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c r="AA229" s="53" t="n"/>
      <c r="AB229" s="53" t="n"/>
      <c r="AC229" s="53" t="n"/>
      <c r="AD229" s="53" t="n"/>
      <c r="AE229" s="53" t="n"/>
      <c r="AF229" s="53" t="n"/>
      <c r="AG229" s="53" t="n"/>
      <c r="AH229" s="53" t="n"/>
      <c r="AI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c r="AA233" s="53" t="n"/>
      <c r="AB233" s="53" t="n"/>
      <c r="AC233" s="53" t="n"/>
      <c r="AD233" s="53" t="n"/>
      <c r="AE233" s="53" t="n"/>
      <c r="AF233" s="53" t="n"/>
      <c r="AG233" s="53" t="n"/>
      <c r="AH233" s="53" t="n"/>
      <c r="AI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c r="AA234" s="53" t="n"/>
      <c r="AB234" s="53" t="n"/>
      <c r="AC234" s="53" t="n"/>
      <c r="AD234" s="53" t="n"/>
      <c r="AE234" s="53" t="n"/>
      <c r="AF234" s="53" t="n"/>
      <c r="AG234" s="53" t="n"/>
      <c r="AH234" s="53" t="n"/>
      <c r="AI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c r="AA235" s="53" t="n"/>
      <c r="AB235" s="53" t="n"/>
      <c r="AC235" s="53" t="n"/>
      <c r="AD235" s="53" t="n"/>
      <c r="AE235" s="53" t="n"/>
      <c r="AF235" s="53" t="n"/>
      <c r="AG235" s="53" t="n"/>
      <c r="AH235" s="53" t="n"/>
      <c r="AI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c r="AA236" s="53" t="n"/>
      <c r="AB236" s="53" t="n"/>
      <c r="AC236" s="53" t="n"/>
      <c r="AD236" s="53" t="n"/>
      <c r="AE236" s="53" t="n"/>
      <c r="AF236" s="53" t="n"/>
      <c r="AG236" s="53" t="n"/>
      <c r="AH236" s="53" t="n"/>
      <c r="AI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c r="AA237" s="53" t="n"/>
      <c r="AB237" s="53" t="n"/>
      <c r="AC237" s="53" t="n"/>
      <c r="AD237" s="53" t="n"/>
      <c r="AE237" s="53" t="n"/>
      <c r="AF237" s="53" t="n"/>
      <c r="AG237" s="53" t="n"/>
      <c r="AH237" s="53" t="n"/>
      <c r="AI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c r="AA238" s="53" t="n"/>
      <c r="AB238" s="53" t="n"/>
      <c r="AC238" s="53" t="n"/>
      <c r="AD238" s="53" t="n"/>
      <c r="AE238" s="53" t="n"/>
      <c r="AF238" s="53" t="n"/>
      <c r="AG238" s="53" t="n"/>
      <c r="AH238" s="53" t="n"/>
      <c r="AI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c r="AA239" s="53" t="n"/>
      <c r="AB239" s="53" t="n"/>
      <c r="AC239" s="53" t="n"/>
      <c r="AD239" s="53" t="n"/>
      <c r="AE239" s="53" t="n"/>
      <c r="AF239" s="53" t="n"/>
      <c r="AG239" s="53" t="n"/>
      <c r="AH239" s="53" t="n"/>
      <c r="AI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c r="AA240" s="53" t="n"/>
      <c r="AB240" s="53" t="n"/>
      <c r="AC240" s="53" t="n"/>
      <c r="AD240" s="53" t="n"/>
      <c r="AE240" s="53" t="n"/>
      <c r="AF240" s="53" t="n"/>
      <c r="AG240" s="53" t="n"/>
      <c r="AH240" s="53" t="n"/>
      <c r="AI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c r="AA241" s="53" t="n"/>
      <c r="AB241" s="53" t="n"/>
      <c r="AC241" s="53" t="n"/>
      <c r="AD241" s="53" t="n"/>
      <c r="AE241" s="53" t="n"/>
      <c r="AF241" s="53" t="n"/>
      <c r="AG241" s="53" t="n"/>
      <c r="AH241" s="53" t="n"/>
      <c r="AI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c r="AA242" s="53" t="n"/>
      <c r="AB242" s="53" t="n"/>
      <c r="AC242" s="53" t="n"/>
      <c r="AD242" s="53" t="n"/>
      <c r="AE242" s="53" t="n"/>
      <c r="AF242" s="53" t="n"/>
      <c r="AG242" s="53" t="n"/>
      <c r="AH242" s="53" t="n"/>
      <c r="AI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c r="AA243" s="53" t="n"/>
      <c r="AB243" s="53" t="n"/>
      <c r="AC243" s="53" t="n"/>
      <c r="AD243" s="53" t="n"/>
      <c r="AE243" s="53" t="n"/>
      <c r="AF243" s="53" t="n"/>
      <c r="AG243" s="53" t="n"/>
      <c r="AH243" s="53" t="n"/>
      <c r="AI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c r="AA244" s="53" t="n"/>
      <c r="AB244" s="53" t="n"/>
      <c r="AC244" s="53" t="n"/>
      <c r="AD244" s="53" t="n"/>
      <c r="AE244" s="53" t="n"/>
      <c r="AF244" s="53" t="n"/>
      <c r="AG244" s="53" t="n"/>
      <c r="AH244" s="53" t="n"/>
      <c r="AI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c r="AA245" s="53" t="n"/>
      <c r="AB245" s="53" t="n"/>
      <c r="AC245" s="53" t="n"/>
      <c r="AD245" s="53" t="n"/>
      <c r="AE245" s="53" t="n"/>
      <c r="AF245" s="53" t="n"/>
      <c r="AG245" s="53" t="n"/>
      <c r="AH245" s="53" t="n"/>
      <c r="AI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c r="AA246" s="53" t="n"/>
      <c r="AB246" s="53" t="n"/>
      <c r="AC246" s="53" t="n"/>
      <c r="AD246" s="53" t="n"/>
      <c r="AE246" s="53" t="n"/>
      <c r="AF246" s="53" t="n"/>
      <c r="AG246" s="53" t="n"/>
      <c r="AH246" s="53" t="n"/>
      <c r="AI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c r="AA247" s="53" t="n"/>
      <c r="AB247" s="53" t="n"/>
      <c r="AC247" s="53" t="n"/>
      <c r="AD247" s="53" t="n"/>
      <c r="AE247" s="53" t="n"/>
      <c r="AF247" s="53" t="n"/>
      <c r="AG247" s="53" t="n"/>
      <c r="AH247" s="53" t="n"/>
      <c r="AI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c r="AA248" s="53" t="n"/>
      <c r="AB248" s="53" t="n"/>
      <c r="AC248" s="53" t="n"/>
      <c r="AD248" s="53" t="n"/>
      <c r="AE248" s="53" t="n"/>
      <c r="AF248" s="53" t="n"/>
      <c r="AG248" s="53" t="n"/>
      <c r="AH248" s="53" t="n"/>
      <c r="AI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c r="AA249" s="53" t="n"/>
      <c r="AB249" s="53" t="n"/>
      <c r="AC249" s="53" t="n"/>
      <c r="AD249" s="53" t="n"/>
      <c r="AE249" s="53" t="n"/>
      <c r="AF249" s="53" t="n"/>
      <c r="AG249" s="53" t="n"/>
      <c r="AH249" s="53" t="n"/>
      <c r="AI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c r="AA250" s="53" t="n"/>
      <c r="AB250" s="53" t="n"/>
      <c r="AC250" s="53" t="n"/>
      <c r="AD250" s="53" t="n"/>
      <c r="AE250" s="53" t="n"/>
      <c r="AF250" s="53" t="n"/>
      <c r="AG250" s="53" t="n"/>
      <c r="AH250" s="53" t="n"/>
      <c r="AI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c r="AA251" s="53" t="n"/>
      <c r="AB251" s="53" t="n"/>
      <c r="AC251" s="53" t="n"/>
      <c r="AD251" s="53" t="n"/>
      <c r="AE251" s="53" t="n"/>
      <c r="AF251" s="53" t="n"/>
      <c r="AG251" s="53" t="n"/>
      <c r="AH251" s="53" t="n"/>
      <c r="AI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c r="AA252" s="53" t="n"/>
      <c r="AB252" s="53" t="n"/>
      <c r="AC252" s="53" t="n"/>
      <c r="AD252" s="53" t="n"/>
      <c r="AE252" s="53" t="n"/>
      <c r="AF252" s="53" t="n"/>
      <c r="AG252" s="53" t="n"/>
      <c r="AH252" s="53" t="n"/>
      <c r="AI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c r="AA253" s="53" t="n"/>
      <c r="AB253" s="53" t="n"/>
      <c r="AC253" s="53" t="n"/>
      <c r="AD253" s="53" t="n"/>
      <c r="AE253" s="53" t="n"/>
      <c r="AF253" s="53" t="n"/>
      <c r="AG253" s="53" t="n"/>
      <c r="AH253" s="53" t="n"/>
      <c r="AI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c r="AA254" s="53" t="n"/>
      <c r="AB254" s="53" t="n"/>
      <c r="AC254" s="53" t="n"/>
      <c r="AD254" s="53" t="n"/>
      <c r="AE254" s="53" t="n"/>
      <c r="AF254" s="53" t="n"/>
      <c r="AG254" s="53" t="n"/>
      <c r="AH254" s="53" t="n"/>
      <c r="AI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c r="AA255" s="53" t="n"/>
      <c r="AB255" s="53" t="n"/>
      <c r="AC255" s="53" t="n"/>
      <c r="AD255" s="53" t="n"/>
      <c r="AE255" s="53" t="n"/>
      <c r="AF255" s="53" t="n"/>
      <c r="AG255" s="53" t="n"/>
      <c r="AH255" s="53" t="n"/>
      <c r="AI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c r="AA256" s="53" t="n"/>
      <c r="AB256" s="53" t="n"/>
      <c r="AC256" s="53" t="n"/>
      <c r="AD256" s="53" t="n"/>
      <c r="AE256" s="53" t="n"/>
      <c r="AF256" s="53" t="n"/>
      <c r="AG256" s="53" t="n"/>
      <c r="AH256" s="53" t="n"/>
      <c r="AI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c r="AA257" s="53" t="n"/>
      <c r="AB257" s="53" t="n"/>
      <c r="AC257" s="53" t="n"/>
      <c r="AD257" s="53" t="n"/>
      <c r="AE257" s="53" t="n"/>
      <c r="AF257" s="53" t="n"/>
      <c r="AG257" s="53" t="n"/>
      <c r="AH257" s="53" t="n"/>
      <c r="AI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c r="AA258" s="53" t="n"/>
      <c r="AB258" s="53" t="n"/>
      <c r="AC258" s="53" t="n"/>
      <c r="AD258" s="53" t="n"/>
      <c r="AE258" s="53" t="n"/>
      <c r="AF258" s="53" t="n"/>
      <c r="AG258" s="53" t="n"/>
      <c r="AH258" s="53" t="n"/>
      <c r="AI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c r="AA259" s="53" t="n"/>
      <c r="AB259" s="53" t="n"/>
      <c r="AC259" s="53" t="n"/>
      <c r="AD259" s="53" t="n"/>
      <c r="AE259" s="53" t="n"/>
      <c r="AF259" s="53" t="n"/>
      <c r="AG259" s="53" t="n"/>
      <c r="AH259" s="53" t="n"/>
      <c r="AI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c r="AA260" s="53" t="n"/>
      <c r="AB260" s="53" t="n"/>
      <c r="AC260" s="53" t="n"/>
      <c r="AD260" s="53" t="n"/>
      <c r="AE260" s="53" t="n"/>
      <c r="AF260" s="53" t="n"/>
      <c r="AG260" s="53" t="n"/>
      <c r="AH260" s="53" t="n"/>
      <c r="AI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c r="AA261" s="53" t="n"/>
      <c r="AB261" s="53" t="n"/>
      <c r="AC261" s="53" t="n"/>
      <c r="AD261" s="53" t="n"/>
      <c r="AE261" s="53" t="n"/>
      <c r="AF261" s="53" t="n"/>
      <c r="AG261" s="53" t="n"/>
      <c r="AH261" s="53" t="n"/>
      <c r="AI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c r="AA262" s="53" t="n"/>
      <c r="AB262" s="53" t="n"/>
      <c r="AC262" s="53" t="n"/>
      <c r="AD262" s="53" t="n"/>
      <c r="AE262" s="53" t="n"/>
      <c r="AF262" s="53" t="n"/>
      <c r="AG262" s="53" t="n"/>
      <c r="AH262" s="53" t="n"/>
      <c r="AI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c r="AA263" s="53" t="n"/>
      <c r="AB263" s="53" t="n"/>
      <c r="AC263" s="53" t="n"/>
      <c r="AD263" s="53" t="n"/>
      <c r="AE263" s="53" t="n"/>
      <c r="AF263" s="53" t="n"/>
      <c r="AG263" s="53" t="n"/>
      <c r="AH263" s="53" t="n"/>
      <c r="AI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c r="AA264" s="53" t="n"/>
      <c r="AB264" s="53" t="n"/>
      <c r="AC264" s="53" t="n"/>
      <c r="AD264" s="53" t="n"/>
      <c r="AE264" s="53" t="n"/>
      <c r="AF264" s="53" t="n"/>
      <c r="AG264" s="53" t="n"/>
      <c r="AH264" s="53" t="n"/>
      <c r="AI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c r="AA265" s="53" t="n"/>
      <c r="AB265" s="53" t="n"/>
      <c r="AC265" s="53" t="n"/>
      <c r="AD265" s="53" t="n"/>
      <c r="AE265" s="53" t="n"/>
      <c r="AF265" s="53" t="n"/>
      <c r="AG265" s="53" t="n"/>
      <c r="AH265" s="53" t="n"/>
      <c r="AI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c r="AA266" s="53" t="n"/>
      <c r="AB266" s="53" t="n"/>
      <c r="AC266" s="53" t="n"/>
      <c r="AD266" s="53" t="n"/>
      <c r="AE266" s="53" t="n"/>
      <c r="AF266" s="53" t="n"/>
      <c r="AG266" s="53" t="n"/>
      <c r="AH266" s="53" t="n"/>
      <c r="AI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c r="AA267" s="53" t="n"/>
      <c r="AB267" s="53" t="n"/>
      <c r="AC267" s="53" t="n"/>
      <c r="AD267" s="53" t="n"/>
      <c r="AE267" s="53" t="n"/>
      <c r="AF267" s="53" t="n"/>
      <c r="AG267" s="53" t="n"/>
      <c r="AH267" s="53" t="n"/>
      <c r="AI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c r="AA268" s="53" t="n"/>
      <c r="AB268" s="53" t="n"/>
      <c r="AC268" s="53" t="n"/>
      <c r="AD268" s="53" t="n"/>
      <c r="AE268" s="53" t="n"/>
      <c r="AF268" s="53" t="n"/>
      <c r="AG268" s="53" t="n"/>
      <c r="AH268" s="53" t="n"/>
      <c r="AI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c r="AA269" s="53" t="n"/>
      <c r="AB269" s="53" t="n"/>
      <c r="AC269" s="53" t="n"/>
      <c r="AD269" s="53" t="n"/>
      <c r="AE269" s="53" t="n"/>
      <c r="AF269" s="53" t="n"/>
      <c r="AG269" s="53" t="n"/>
      <c r="AH269" s="53" t="n"/>
      <c r="AI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c r="AA270" s="53" t="n"/>
      <c r="AB270" s="53" t="n"/>
      <c r="AC270" s="53" t="n"/>
      <c r="AD270" s="53" t="n"/>
      <c r="AE270" s="53" t="n"/>
      <c r="AF270" s="53" t="n"/>
      <c r="AG270" s="53" t="n"/>
      <c r="AH270" s="53" t="n"/>
      <c r="AI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c r="AA271" s="53" t="n"/>
      <c r="AB271" s="53" t="n"/>
      <c r="AC271" s="53" t="n"/>
      <c r="AD271" s="53" t="n"/>
      <c r="AE271" s="53" t="n"/>
      <c r="AF271" s="53" t="n"/>
      <c r="AG271" s="53" t="n"/>
      <c r="AH271" s="53" t="n"/>
      <c r="AI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c r="AA272" s="53" t="n"/>
      <c r="AB272" s="53" t="n"/>
      <c r="AC272" s="53" t="n"/>
      <c r="AD272" s="53" t="n"/>
      <c r="AE272" s="53" t="n"/>
      <c r="AF272" s="53" t="n"/>
      <c r="AG272" s="53" t="n"/>
      <c r="AH272" s="53" t="n"/>
      <c r="AI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c r="AA273" s="53" t="n"/>
      <c r="AB273" s="53" t="n"/>
      <c r="AC273" s="53" t="n"/>
      <c r="AD273" s="53" t="n"/>
      <c r="AE273" s="53" t="n"/>
      <c r="AF273" s="53" t="n"/>
      <c r="AG273" s="53" t="n"/>
      <c r="AH273" s="53" t="n"/>
      <c r="AI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c r="AA274" s="53" t="n"/>
      <c r="AB274" s="53" t="n"/>
      <c r="AC274" s="53" t="n"/>
      <c r="AD274" s="53" t="n"/>
      <c r="AE274" s="53" t="n"/>
      <c r="AF274" s="53" t="n"/>
      <c r="AG274" s="53" t="n"/>
      <c r="AH274" s="53" t="n"/>
      <c r="AI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c r="AA275" s="53" t="n"/>
      <c r="AB275" s="53" t="n"/>
      <c r="AC275" s="53" t="n"/>
      <c r="AD275" s="53" t="n"/>
      <c r="AE275" s="53" t="n"/>
      <c r="AF275" s="53" t="n"/>
      <c r="AG275" s="53" t="n"/>
      <c r="AH275" s="53" t="n"/>
      <c r="AI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c r="AA276" s="53" t="n"/>
      <c r="AB276" s="53" t="n"/>
      <c r="AC276" s="53" t="n"/>
      <c r="AD276" s="53" t="n"/>
      <c r="AE276" s="53" t="n"/>
      <c r="AF276" s="53" t="n"/>
      <c r="AG276" s="53" t="n"/>
      <c r="AH276" s="53" t="n"/>
      <c r="AI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c r="AA277" s="53" t="n"/>
      <c r="AB277" s="53" t="n"/>
      <c r="AC277" s="53" t="n"/>
      <c r="AD277" s="53" t="n"/>
      <c r="AE277" s="53" t="n"/>
      <c r="AF277" s="53" t="n"/>
      <c r="AG277" s="53" t="n"/>
      <c r="AH277" s="53" t="n"/>
      <c r="AI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c r="AA278" s="53" t="n"/>
      <c r="AB278" s="53" t="n"/>
      <c r="AC278" s="53" t="n"/>
      <c r="AD278" s="53" t="n"/>
      <c r="AE278" s="53" t="n"/>
      <c r="AF278" s="53" t="n"/>
      <c r="AG278" s="53" t="n"/>
      <c r="AH278" s="53" t="n"/>
      <c r="AI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c r="AA279" s="53" t="n"/>
      <c r="AB279" s="53" t="n"/>
      <c r="AC279" s="53" t="n"/>
      <c r="AD279" s="53" t="n"/>
      <c r="AE279" s="53" t="n"/>
      <c r="AF279" s="53" t="n"/>
      <c r="AG279" s="53" t="n"/>
      <c r="AH279" s="53" t="n"/>
      <c r="AI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c r="AA280" s="53" t="n"/>
      <c r="AB280" s="53" t="n"/>
      <c r="AC280" s="53" t="n"/>
      <c r="AD280" s="53" t="n"/>
      <c r="AE280" s="53" t="n"/>
      <c r="AF280" s="53" t="n"/>
      <c r="AG280" s="53" t="n"/>
      <c r="AH280" s="53" t="n"/>
      <c r="AI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c r="AA281" s="53" t="n"/>
      <c r="AB281" s="53" t="n"/>
      <c r="AC281" s="53" t="n"/>
      <c r="AD281" s="53" t="n"/>
      <c r="AE281" s="53" t="n"/>
      <c r="AF281" s="53" t="n"/>
      <c r="AG281" s="53" t="n"/>
      <c r="AH281" s="53" t="n"/>
      <c r="AI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c r="AA282" s="53" t="n"/>
      <c r="AB282" s="53" t="n"/>
      <c r="AC282" s="53" t="n"/>
      <c r="AD282" s="53" t="n"/>
      <c r="AE282" s="53" t="n"/>
      <c r="AF282" s="53" t="n"/>
      <c r="AG282" s="53" t="n"/>
      <c r="AH282" s="53" t="n"/>
      <c r="AI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c r="AA283" s="53" t="n"/>
      <c r="AB283" s="53" t="n"/>
      <c r="AC283" s="53" t="n"/>
      <c r="AD283" s="53" t="n"/>
      <c r="AE283" s="53" t="n"/>
      <c r="AF283" s="53" t="n"/>
      <c r="AG283" s="53" t="n"/>
      <c r="AH283" s="53" t="n"/>
      <c r="AI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c r="AA284" s="53" t="n"/>
      <c r="AB284" s="53" t="n"/>
      <c r="AC284" s="53" t="n"/>
      <c r="AD284" s="53" t="n"/>
      <c r="AE284" s="53" t="n"/>
      <c r="AF284" s="53" t="n"/>
      <c r="AG284" s="53" t="n"/>
      <c r="AH284" s="53" t="n"/>
      <c r="AI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c r="AA285" s="53" t="n"/>
      <c r="AB285" s="53" t="n"/>
      <c r="AC285" s="53" t="n"/>
      <c r="AD285" s="53" t="n"/>
      <c r="AE285" s="53" t="n"/>
      <c r="AF285" s="53" t="n"/>
      <c r="AG285" s="53" t="n"/>
      <c r="AH285" s="53" t="n"/>
      <c r="AI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c r="AA286" s="53" t="n"/>
      <c r="AB286" s="53" t="n"/>
      <c r="AC286" s="53" t="n"/>
      <c r="AD286" s="53" t="n"/>
      <c r="AE286" s="53" t="n"/>
      <c r="AF286" s="53" t="n"/>
      <c r="AG286" s="53" t="n"/>
      <c r="AH286" s="53" t="n"/>
      <c r="AI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c r="AA287" s="53" t="n"/>
      <c r="AB287" s="53" t="n"/>
      <c r="AC287" s="53" t="n"/>
      <c r="AD287" s="53" t="n"/>
      <c r="AE287" s="53" t="n"/>
      <c r="AF287" s="53" t="n"/>
      <c r="AG287" s="53" t="n"/>
      <c r="AH287" s="53" t="n"/>
      <c r="AI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c r="AA288" s="53" t="n"/>
      <c r="AB288" s="53" t="n"/>
      <c r="AC288" s="53" t="n"/>
      <c r="AD288" s="53" t="n"/>
      <c r="AE288" s="53" t="n"/>
      <c r="AF288" s="53" t="n"/>
      <c r="AG288" s="53" t="n"/>
      <c r="AH288" s="53" t="n"/>
      <c r="AI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c r="AA289" s="53" t="n"/>
      <c r="AB289" s="53" t="n"/>
      <c r="AC289" s="53" t="n"/>
      <c r="AD289" s="53" t="n"/>
      <c r="AE289" s="53" t="n"/>
      <c r="AF289" s="53" t="n"/>
      <c r="AG289" s="53" t="n"/>
      <c r="AH289" s="53" t="n"/>
      <c r="AI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c r="AA290" s="53" t="n"/>
      <c r="AB290" s="53" t="n"/>
      <c r="AC290" s="53" t="n"/>
      <c r="AD290" s="53" t="n"/>
      <c r="AE290" s="53" t="n"/>
      <c r="AF290" s="53" t="n"/>
      <c r="AG290" s="53" t="n"/>
      <c r="AH290" s="53" t="n"/>
      <c r="AI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c r="AA291" s="53" t="n"/>
      <c r="AB291" s="53" t="n"/>
      <c r="AC291" s="53" t="n"/>
      <c r="AD291" s="53" t="n"/>
      <c r="AE291" s="53" t="n"/>
      <c r="AF291" s="53" t="n"/>
      <c r="AG291" s="53" t="n"/>
      <c r="AH291" s="53" t="n"/>
      <c r="AI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c r="AA292" s="53" t="n"/>
      <c r="AB292" s="53" t="n"/>
      <c r="AC292" s="53" t="n"/>
      <c r="AD292" s="53" t="n"/>
      <c r="AE292" s="53" t="n"/>
      <c r="AF292" s="53" t="n"/>
      <c r="AG292" s="53" t="n"/>
      <c r="AH292" s="53" t="n"/>
      <c r="AI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c r="AA293" s="53" t="n"/>
      <c r="AB293" s="53" t="n"/>
      <c r="AC293" s="53" t="n"/>
      <c r="AD293" s="53" t="n"/>
      <c r="AE293" s="53" t="n"/>
      <c r="AF293" s="53" t="n"/>
      <c r="AG293" s="53" t="n"/>
      <c r="AH293" s="53" t="n"/>
      <c r="AI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c r="AA294" s="53" t="n"/>
      <c r="AB294" s="53" t="n"/>
      <c r="AC294" s="53" t="n"/>
      <c r="AD294" s="53" t="n"/>
      <c r="AE294" s="53" t="n"/>
      <c r="AF294" s="53" t="n"/>
      <c r="AG294" s="53" t="n"/>
      <c r="AH294" s="53" t="n"/>
      <c r="AI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c r="AA295" s="53" t="n"/>
      <c r="AB295" s="53" t="n"/>
      <c r="AC295" s="53" t="n"/>
      <c r="AD295" s="53" t="n"/>
      <c r="AE295" s="53" t="n"/>
      <c r="AF295" s="53" t="n"/>
      <c r="AG295" s="53" t="n"/>
      <c r="AH295" s="53" t="n"/>
      <c r="AI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c r="AA296" s="53" t="n"/>
      <c r="AB296" s="53" t="n"/>
      <c r="AC296" s="53" t="n"/>
      <c r="AD296" s="53" t="n"/>
      <c r="AE296" s="53" t="n"/>
      <c r="AF296" s="53" t="n"/>
      <c r="AG296" s="53" t="n"/>
      <c r="AH296" s="53" t="n"/>
      <c r="AI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c r="AA297" s="53" t="n"/>
      <c r="AB297" s="53" t="n"/>
      <c r="AC297" s="53" t="n"/>
      <c r="AD297" s="53" t="n"/>
      <c r="AE297" s="53" t="n"/>
      <c r="AF297" s="53" t="n"/>
      <c r="AG297" s="53" t="n"/>
      <c r="AH297" s="53" t="n"/>
      <c r="AI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c r="AA298" s="53" t="n"/>
      <c r="AB298" s="53" t="n"/>
      <c r="AC298" s="53" t="n"/>
      <c r="AD298" s="53" t="n"/>
      <c r="AE298" s="53" t="n"/>
      <c r="AF298" s="53" t="n"/>
      <c r="AG298" s="53" t="n"/>
      <c r="AH298" s="53" t="n"/>
      <c r="AI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c r="AA299" s="53" t="n"/>
      <c r="AB299" s="53" t="n"/>
      <c r="AC299" s="53" t="n"/>
      <c r="AD299" s="53" t="n"/>
      <c r="AE299" s="53" t="n"/>
      <c r="AF299" s="53" t="n"/>
      <c r="AG299" s="53" t="n"/>
      <c r="AH299" s="53" t="n"/>
      <c r="AI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c r="AA300" s="53" t="n"/>
      <c r="AB300" s="53" t="n"/>
      <c r="AC300" s="53" t="n"/>
      <c r="AD300" s="53" t="n"/>
      <c r="AE300" s="53" t="n"/>
      <c r="AF300" s="53" t="n"/>
      <c r="AG300" s="53" t="n"/>
      <c r="AH300" s="53" t="n"/>
      <c r="AI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c r="AA301" s="53" t="n"/>
      <c r="AB301" s="53" t="n"/>
      <c r="AC301" s="53" t="n"/>
      <c r="AD301" s="53" t="n"/>
      <c r="AE301" s="53" t="n"/>
      <c r="AF301" s="53" t="n"/>
      <c r="AG301" s="53" t="n"/>
      <c r="AH301" s="53" t="n"/>
      <c r="AI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c r="AA302" s="53" t="n"/>
      <c r="AB302" s="53" t="n"/>
      <c r="AC302" s="53" t="n"/>
      <c r="AD302" s="53" t="n"/>
      <c r="AE302" s="53" t="n"/>
      <c r="AF302" s="53" t="n"/>
      <c r="AG302" s="53" t="n"/>
      <c r="AH302" s="53" t="n"/>
      <c r="AI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c r="AA303" s="53" t="n"/>
      <c r="AB303" s="53" t="n"/>
      <c r="AC303" s="53" t="n"/>
      <c r="AD303" s="53" t="n"/>
      <c r="AE303" s="53" t="n"/>
      <c r="AF303" s="53" t="n"/>
      <c r="AG303" s="53" t="n"/>
      <c r="AH303" s="53" t="n"/>
      <c r="AI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c r="AA304" s="53" t="n"/>
      <c r="AB304" s="53" t="n"/>
      <c r="AC304" s="53" t="n"/>
      <c r="AD304" s="53" t="n"/>
      <c r="AE304" s="53" t="n"/>
      <c r="AF304" s="53" t="n"/>
      <c r="AG304" s="53" t="n"/>
      <c r="AH304" s="53" t="n"/>
      <c r="AI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c r="AA305" s="53" t="n"/>
      <c r="AB305" s="53" t="n"/>
      <c r="AC305" s="53" t="n"/>
      <c r="AD305" s="53" t="n"/>
      <c r="AE305" s="53" t="n"/>
      <c r="AF305" s="53" t="n"/>
      <c r="AG305" s="53" t="n"/>
      <c r="AH305" s="53" t="n"/>
      <c r="AI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c r="AA306" s="53" t="n"/>
      <c r="AB306" s="53" t="n"/>
      <c r="AC306" s="53" t="n"/>
      <c r="AD306" s="53" t="n"/>
      <c r="AE306" s="53" t="n"/>
      <c r="AF306" s="53" t="n"/>
      <c r="AG306" s="53" t="n"/>
      <c r="AH306" s="53" t="n"/>
      <c r="AI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c r="AA307" s="53" t="n"/>
      <c r="AB307" s="53" t="n"/>
      <c r="AC307" s="53" t="n"/>
      <c r="AD307" s="53" t="n"/>
      <c r="AE307" s="53" t="n"/>
      <c r="AF307" s="53" t="n"/>
      <c r="AG307" s="53" t="n"/>
      <c r="AH307" s="53" t="n"/>
      <c r="AI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c r="AA308" s="53" t="n"/>
      <c r="AB308" s="53" t="n"/>
      <c r="AC308" s="53" t="n"/>
      <c r="AD308" s="53" t="n"/>
      <c r="AE308" s="53" t="n"/>
      <c r="AF308" s="53" t="n"/>
      <c r="AG308" s="53" t="n"/>
      <c r="AH308" s="53" t="n"/>
      <c r="AI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c r="AA309" s="53" t="n"/>
      <c r="AB309" s="53" t="n"/>
      <c r="AC309" s="53" t="n"/>
      <c r="AD309" s="53" t="n"/>
      <c r="AE309" s="53" t="n"/>
      <c r="AF309" s="53" t="n"/>
      <c r="AG309" s="53" t="n"/>
      <c r="AH309" s="53" t="n"/>
      <c r="AI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c r="AA310" s="53" t="n"/>
      <c r="AB310" s="53" t="n"/>
      <c r="AC310" s="53" t="n"/>
      <c r="AD310" s="53" t="n"/>
      <c r="AE310" s="53" t="n"/>
      <c r="AF310" s="53" t="n"/>
      <c r="AG310" s="53" t="n"/>
      <c r="AH310" s="53" t="n"/>
      <c r="AI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c r="AA311" s="53" t="n"/>
      <c r="AB311" s="53" t="n"/>
      <c r="AC311" s="53" t="n"/>
      <c r="AD311" s="53" t="n"/>
      <c r="AE311" s="53" t="n"/>
      <c r="AF311" s="53" t="n"/>
      <c r="AG311" s="53" t="n"/>
      <c r="AH311" s="53" t="n"/>
      <c r="AI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c r="AA312" s="53" t="n"/>
      <c r="AB312" s="53" t="n"/>
      <c r="AC312" s="53" t="n"/>
      <c r="AD312" s="53" t="n"/>
      <c r="AE312" s="53" t="n"/>
      <c r="AF312" s="53" t="n"/>
      <c r="AG312" s="53" t="n"/>
      <c r="AH312" s="53" t="n"/>
      <c r="AI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c r="AA313" s="53" t="n"/>
      <c r="AB313" s="53" t="n"/>
      <c r="AC313" s="53" t="n"/>
      <c r="AD313" s="53" t="n"/>
      <c r="AE313" s="53" t="n"/>
      <c r="AF313" s="53" t="n"/>
      <c r="AG313" s="53" t="n"/>
      <c r="AH313" s="53" t="n"/>
      <c r="AI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c r="AA314" s="53" t="n"/>
      <c r="AB314" s="53" t="n"/>
      <c r="AC314" s="53" t="n"/>
      <c r="AD314" s="53" t="n"/>
      <c r="AE314" s="53" t="n"/>
      <c r="AF314" s="53" t="n"/>
      <c r="AG314" s="53" t="n"/>
      <c r="AH314" s="53" t="n"/>
      <c r="AI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c r="AA315" s="53" t="n"/>
      <c r="AB315" s="53" t="n"/>
      <c r="AC315" s="53" t="n"/>
      <c r="AD315" s="53" t="n"/>
      <c r="AE315" s="53" t="n"/>
      <c r="AF315" s="53" t="n"/>
      <c r="AG315" s="53" t="n"/>
      <c r="AH315" s="53" t="n"/>
      <c r="AI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c r="AA316" s="53" t="n"/>
      <c r="AB316" s="53" t="n"/>
      <c r="AC316" s="53" t="n"/>
      <c r="AD316" s="53" t="n"/>
      <c r="AE316" s="53" t="n"/>
      <c r="AF316" s="53" t="n"/>
      <c r="AG316" s="53" t="n"/>
      <c r="AH316" s="53" t="n"/>
      <c r="AI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c r="AA317" s="53" t="n"/>
      <c r="AB317" s="53" t="n"/>
      <c r="AC317" s="53" t="n"/>
      <c r="AD317" s="53" t="n"/>
      <c r="AE317" s="53" t="n"/>
      <c r="AF317" s="53" t="n"/>
      <c r="AG317" s="53" t="n"/>
      <c r="AH317" s="53" t="n"/>
      <c r="AI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c r="AA318" s="53" t="n"/>
      <c r="AB318" s="53" t="n"/>
      <c r="AC318" s="53" t="n"/>
      <c r="AD318" s="53" t="n"/>
      <c r="AE318" s="53" t="n"/>
      <c r="AF318" s="53" t="n"/>
      <c r="AG318" s="53" t="n"/>
      <c r="AH318" s="53" t="n"/>
      <c r="AI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c r="AA319" s="53" t="n"/>
      <c r="AB319" s="53" t="n"/>
      <c r="AC319" s="53" t="n"/>
      <c r="AD319" s="53" t="n"/>
      <c r="AE319" s="53" t="n"/>
      <c r="AF319" s="53" t="n"/>
      <c r="AG319" s="53" t="n"/>
      <c r="AH319" s="53" t="n"/>
      <c r="AI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c r="AA320" s="53" t="n"/>
      <c r="AB320" s="53" t="n"/>
      <c r="AC320" s="53" t="n"/>
      <c r="AD320" s="53" t="n"/>
      <c r="AE320" s="53" t="n"/>
      <c r="AF320" s="53" t="n"/>
      <c r="AG320" s="53" t="n"/>
      <c r="AH320" s="53" t="n"/>
      <c r="AI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c r="AA321" s="53" t="n"/>
      <c r="AB321" s="53" t="n"/>
      <c r="AC321" s="53" t="n"/>
      <c r="AD321" s="53" t="n"/>
      <c r="AE321" s="53" t="n"/>
      <c r="AF321" s="53" t="n"/>
      <c r="AG321" s="53" t="n"/>
      <c r="AH321" s="53" t="n"/>
      <c r="AI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c r="AA322" s="53" t="n"/>
      <c r="AB322" s="53" t="n"/>
      <c r="AC322" s="53" t="n"/>
      <c r="AD322" s="53" t="n"/>
      <c r="AE322" s="53" t="n"/>
      <c r="AF322" s="53" t="n"/>
      <c r="AG322" s="53" t="n"/>
      <c r="AH322" s="53" t="n"/>
      <c r="AI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c r="AA323" s="53" t="n"/>
      <c r="AB323" s="53" t="n"/>
      <c r="AC323" s="53" t="n"/>
      <c r="AD323" s="53" t="n"/>
      <c r="AE323" s="53" t="n"/>
      <c r="AF323" s="53" t="n"/>
      <c r="AG323" s="53" t="n"/>
      <c r="AH323" s="53" t="n"/>
      <c r="AI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c r="AA324" s="53" t="n"/>
      <c r="AB324" s="53" t="n"/>
      <c r="AC324" s="53" t="n"/>
      <c r="AD324" s="53" t="n"/>
      <c r="AE324" s="53" t="n"/>
      <c r="AF324" s="53" t="n"/>
      <c r="AG324" s="53" t="n"/>
      <c r="AH324" s="53" t="n"/>
      <c r="AI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c r="AA325" s="53" t="n"/>
      <c r="AB325" s="53" t="n"/>
      <c r="AC325" s="53" t="n"/>
      <c r="AD325" s="53" t="n"/>
      <c r="AE325" s="53" t="n"/>
      <c r="AF325" s="53" t="n"/>
      <c r="AG325" s="53" t="n"/>
      <c r="AH325" s="53" t="n"/>
      <c r="AI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c r="AA326" s="53" t="n"/>
      <c r="AB326" s="53" t="n"/>
      <c r="AC326" s="53" t="n"/>
      <c r="AD326" s="53" t="n"/>
      <c r="AE326" s="53" t="n"/>
      <c r="AF326" s="53" t="n"/>
      <c r="AG326" s="53" t="n"/>
      <c r="AH326" s="53" t="n"/>
      <c r="AI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c r="AA327" s="53" t="n"/>
      <c r="AB327" s="53" t="n"/>
      <c r="AC327" s="53" t="n"/>
      <c r="AD327" s="53" t="n"/>
      <c r="AE327" s="53" t="n"/>
      <c r="AF327" s="53" t="n"/>
      <c r="AG327" s="53" t="n"/>
      <c r="AH327" s="53" t="n"/>
      <c r="AI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c r="AA328" s="53" t="n"/>
      <c r="AB328" s="53" t="n"/>
      <c r="AC328" s="53" t="n"/>
      <c r="AD328" s="53" t="n"/>
      <c r="AE328" s="53" t="n"/>
      <c r="AF328" s="53" t="n"/>
      <c r="AG328" s="53" t="n"/>
      <c r="AH328" s="53" t="n"/>
      <c r="AI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c r="AA329" s="53" t="n"/>
      <c r="AB329" s="53" t="n"/>
      <c r="AC329" s="53" t="n"/>
      <c r="AD329" s="53" t="n"/>
      <c r="AE329" s="53" t="n"/>
      <c r="AF329" s="53" t="n"/>
      <c r="AG329" s="53" t="n"/>
      <c r="AH329" s="53" t="n"/>
      <c r="AI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c r="AA330" s="53" t="n"/>
      <c r="AB330" s="53" t="n"/>
      <c r="AC330" s="53" t="n"/>
      <c r="AD330" s="53" t="n"/>
      <c r="AE330" s="53" t="n"/>
      <c r="AF330" s="53" t="n"/>
      <c r="AG330" s="53" t="n"/>
      <c r="AH330" s="53" t="n"/>
      <c r="AI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c r="AA331" s="53" t="n"/>
      <c r="AB331" s="53" t="n"/>
      <c r="AC331" s="53" t="n"/>
      <c r="AD331" s="53" t="n"/>
      <c r="AE331" s="53" t="n"/>
      <c r="AF331" s="53" t="n"/>
      <c r="AG331" s="53" t="n"/>
      <c r="AH331" s="53" t="n"/>
      <c r="AI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c r="AA332" s="53" t="n"/>
      <c r="AB332" s="53" t="n"/>
      <c r="AC332" s="53" t="n"/>
      <c r="AD332" s="53" t="n"/>
      <c r="AE332" s="53" t="n"/>
      <c r="AF332" s="53" t="n"/>
      <c r="AG332" s="53" t="n"/>
      <c r="AH332" s="53" t="n"/>
      <c r="AI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c r="AA333" s="53" t="n"/>
      <c r="AB333" s="53" t="n"/>
      <c r="AC333" s="53" t="n"/>
      <c r="AD333" s="53" t="n"/>
      <c r="AE333" s="53" t="n"/>
      <c r="AF333" s="53" t="n"/>
      <c r="AG333" s="53" t="n"/>
      <c r="AH333" s="53" t="n"/>
      <c r="AI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c r="AA334" s="53" t="n"/>
      <c r="AB334" s="53" t="n"/>
      <c r="AC334" s="53" t="n"/>
      <c r="AD334" s="53" t="n"/>
      <c r="AE334" s="53" t="n"/>
      <c r="AF334" s="53" t="n"/>
      <c r="AG334" s="53" t="n"/>
      <c r="AH334" s="53" t="n"/>
      <c r="AI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c r="AA335" s="53" t="n"/>
      <c r="AB335" s="53" t="n"/>
      <c r="AC335" s="53" t="n"/>
      <c r="AD335" s="53" t="n"/>
      <c r="AE335" s="53" t="n"/>
      <c r="AF335" s="53" t="n"/>
      <c r="AG335" s="53" t="n"/>
      <c r="AH335" s="53" t="n"/>
      <c r="AI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c r="AA336" s="53" t="n"/>
      <c r="AB336" s="53" t="n"/>
      <c r="AC336" s="53" t="n"/>
      <c r="AD336" s="53" t="n"/>
      <c r="AE336" s="53" t="n"/>
      <c r="AF336" s="53" t="n"/>
      <c r="AG336" s="53" t="n"/>
      <c r="AH336" s="53" t="n"/>
      <c r="AI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c r="AA337" s="53" t="n"/>
      <c r="AB337" s="53" t="n"/>
      <c r="AC337" s="53" t="n"/>
      <c r="AD337" s="53" t="n"/>
      <c r="AE337" s="53" t="n"/>
      <c r="AF337" s="53" t="n"/>
      <c r="AG337" s="53" t="n"/>
      <c r="AH337" s="53" t="n"/>
      <c r="AI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c r="AA338" s="53" t="n"/>
      <c r="AB338" s="53" t="n"/>
      <c r="AC338" s="53" t="n"/>
      <c r="AD338" s="53" t="n"/>
      <c r="AE338" s="53" t="n"/>
      <c r="AF338" s="53" t="n"/>
      <c r="AG338" s="53" t="n"/>
      <c r="AH338" s="53" t="n"/>
      <c r="AI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c r="AA339" s="53" t="n"/>
      <c r="AB339" s="53" t="n"/>
      <c r="AC339" s="53" t="n"/>
      <c r="AD339" s="53" t="n"/>
      <c r="AE339" s="53" t="n"/>
      <c r="AF339" s="53" t="n"/>
      <c r="AG339" s="53" t="n"/>
      <c r="AH339" s="53" t="n"/>
      <c r="AI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c r="AA340" s="53" t="n"/>
      <c r="AB340" s="53" t="n"/>
      <c r="AC340" s="53" t="n"/>
      <c r="AD340" s="53" t="n"/>
      <c r="AE340" s="53" t="n"/>
      <c r="AF340" s="53" t="n"/>
      <c r="AG340" s="53" t="n"/>
      <c r="AH340" s="53" t="n"/>
      <c r="AI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c r="AA341" s="53" t="n"/>
      <c r="AB341" s="53" t="n"/>
      <c r="AC341" s="53" t="n"/>
      <c r="AD341" s="53" t="n"/>
      <c r="AE341" s="53" t="n"/>
      <c r="AF341" s="53" t="n"/>
      <c r="AG341" s="53" t="n"/>
      <c r="AH341" s="53" t="n"/>
      <c r="AI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c r="AA342" s="53" t="n"/>
      <c r="AB342" s="53" t="n"/>
      <c r="AC342" s="53" t="n"/>
      <c r="AD342" s="53" t="n"/>
      <c r="AE342" s="53" t="n"/>
      <c r="AF342" s="53" t="n"/>
      <c r="AG342" s="53" t="n"/>
      <c r="AH342" s="53" t="n"/>
      <c r="AI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c r="AA343" s="53" t="n"/>
      <c r="AB343" s="53" t="n"/>
      <c r="AC343" s="53" t="n"/>
      <c r="AD343" s="53" t="n"/>
      <c r="AE343" s="53" t="n"/>
      <c r="AF343" s="53" t="n"/>
      <c r="AG343" s="53" t="n"/>
      <c r="AH343" s="53" t="n"/>
      <c r="AI343" s="53" t="n"/>
    </row>
    <row r="344" ht="14.2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c r="AA344" s="53" t="n"/>
      <c r="AB344" s="53" t="n"/>
      <c r="AC344" s="53" t="n"/>
      <c r="AD344" s="53" t="n"/>
      <c r="AE344" s="53" t="n"/>
      <c r="AF344" s="53" t="n"/>
      <c r="AG344" s="53" t="n"/>
      <c r="AH344" s="53" t="n"/>
      <c r="AI344" s="53" t="n"/>
    </row>
    <row r="345" ht="14.2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c r="AA345" s="53" t="n"/>
      <c r="AB345" s="53" t="n"/>
      <c r="AC345" s="53" t="n"/>
      <c r="AD345" s="53" t="n"/>
      <c r="AE345" s="53" t="n"/>
      <c r="AF345" s="53" t="n"/>
      <c r="AG345" s="53" t="n"/>
      <c r="AH345" s="53" t="n"/>
      <c r="AI345" s="53" t="n"/>
    </row>
    <row r="346" ht="14.2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c r="AA346" s="53" t="n"/>
      <c r="AB346" s="53" t="n"/>
      <c r="AC346" s="53" t="n"/>
      <c r="AD346" s="53" t="n"/>
      <c r="AE346" s="53" t="n"/>
      <c r="AF346" s="53" t="n"/>
      <c r="AG346" s="53" t="n"/>
      <c r="AH346" s="53" t="n"/>
      <c r="AI346" s="53" t="n"/>
    </row>
    <row r="347" ht="14.2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c r="AA347" s="53" t="n"/>
      <c r="AB347" s="53" t="n"/>
      <c r="AC347" s="53" t="n"/>
      <c r="AD347" s="53" t="n"/>
      <c r="AE347" s="53" t="n"/>
      <c r="AF347" s="53" t="n"/>
      <c r="AG347" s="53" t="n"/>
      <c r="AH347" s="53" t="n"/>
      <c r="AI347" s="53" t="n"/>
    </row>
    <row r="348" ht="14.2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c r="AA348" s="53" t="n"/>
      <c r="AB348" s="53" t="n"/>
      <c r="AC348" s="53" t="n"/>
      <c r="AD348" s="53" t="n"/>
      <c r="AE348" s="53" t="n"/>
      <c r="AF348" s="53" t="n"/>
      <c r="AG348" s="53" t="n"/>
      <c r="AH348" s="53" t="n"/>
      <c r="AI348" s="53" t="n"/>
    </row>
    <row r="349" ht="14.2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c r="AA349" s="53" t="n"/>
      <c r="AB349" s="53" t="n"/>
      <c r="AC349" s="53" t="n"/>
      <c r="AD349" s="53" t="n"/>
      <c r="AE349" s="53" t="n"/>
      <c r="AF349" s="53" t="n"/>
      <c r="AG349" s="53" t="n"/>
      <c r="AH349" s="53" t="n"/>
      <c r="AI349" s="53" t="n"/>
    </row>
    <row r="350" ht="14.2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c r="AA350" s="53" t="n"/>
      <c r="AB350" s="53" t="n"/>
      <c r="AC350" s="53" t="n"/>
      <c r="AD350" s="53" t="n"/>
      <c r="AE350" s="53" t="n"/>
      <c r="AF350" s="53" t="n"/>
      <c r="AG350" s="53" t="n"/>
      <c r="AH350" s="53" t="n"/>
      <c r="AI350" s="53" t="n"/>
    </row>
    <row r="351" ht="14.2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c r="AA351" s="53" t="n"/>
      <c r="AB351" s="53" t="n"/>
      <c r="AC351" s="53" t="n"/>
      <c r="AD351" s="53" t="n"/>
      <c r="AE351" s="53" t="n"/>
      <c r="AF351" s="53" t="n"/>
      <c r="AG351" s="53" t="n"/>
      <c r="AH351" s="53" t="n"/>
      <c r="AI351" s="53" t="n"/>
    </row>
    <row r="352" ht="14.2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c r="AA352" s="53" t="n"/>
      <c r="AB352" s="53" t="n"/>
      <c r="AC352" s="53" t="n"/>
      <c r="AD352" s="53" t="n"/>
      <c r="AE352" s="53" t="n"/>
      <c r="AF352" s="53" t="n"/>
      <c r="AG352" s="53" t="n"/>
      <c r="AH352" s="53" t="n"/>
      <c r="AI352" s="53" t="n"/>
    </row>
    <row r="353" ht="14.2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c r="AA353" s="53" t="n"/>
      <c r="AB353" s="53" t="n"/>
      <c r="AC353" s="53" t="n"/>
      <c r="AD353" s="53" t="n"/>
      <c r="AE353" s="53" t="n"/>
      <c r="AF353" s="53" t="n"/>
      <c r="AG353" s="53" t="n"/>
      <c r="AH353" s="53" t="n"/>
      <c r="AI353" s="53" t="n"/>
    </row>
    <row r="354" ht="14.2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c r="AA354" s="53" t="n"/>
      <c r="AB354" s="53" t="n"/>
      <c r="AC354" s="53" t="n"/>
      <c r="AD354" s="53" t="n"/>
      <c r="AE354" s="53" t="n"/>
      <c r="AF354" s="53" t="n"/>
      <c r="AG354" s="53" t="n"/>
      <c r="AH354" s="53" t="n"/>
      <c r="AI354" s="53" t="n"/>
    </row>
    <row r="355" ht="14.2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c r="AA355" s="53" t="n"/>
      <c r="AB355" s="53" t="n"/>
      <c r="AC355" s="53" t="n"/>
      <c r="AD355" s="53" t="n"/>
      <c r="AE355" s="53" t="n"/>
      <c r="AF355" s="53" t="n"/>
      <c r="AG355" s="53" t="n"/>
      <c r="AH355" s="53" t="n"/>
      <c r="AI355" s="53" t="n"/>
    </row>
    <row r="356" ht="14.2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c r="AA356" s="53" t="n"/>
      <c r="AB356" s="53" t="n"/>
      <c r="AC356" s="53" t="n"/>
      <c r="AD356" s="53" t="n"/>
      <c r="AE356" s="53" t="n"/>
      <c r="AF356" s="53" t="n"/>
      <c r="AG356" s="53" t="n"/>
      <c r="AH356" s="53" t="n"/>
      <c r="AI356" s="53" t="n"/>
    </row>
    <row r="357" ht="14.2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c r="AA357" s="53" t="n"/>
      <c r="AB357" s="53" t="n"/>
      <c r="AC357" s="53" t="n"/>
      <c r="AD357" s="53" t="n"/>
      <c r="AE357" s="53" t="n"/>
      <c r="AF357" s="53" t="n"/>
      <c r="AG357" s="53" t="n"/>
      <c r="AH357" s="53" t="n"/>
      <c r="AI357" s="53" t="n"/>
    </row>
    <row r="358" ht="14.2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c r="AA358" s="53" t="n"/>
      <c r="AB358" s="53" t="n"/>
      <c r="AC358" s="53" t="n"/>
      <c r="AD358" s="53" t="n"/>
      <c r="AE358" s="53" t="n"/>
      <c r="AF358" s="53" t="n"/>
      <c r="AG358" s="53" t="n"/>
      <c r="AH358" s="53" t="n"/>
      <c r="AI358" s="53" t="n"/>
    </row>
    <row r="359" ht="14.2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c r="AA359" s="53" t="n"/>
      <c r="AB359" s="53" t="n"/>
      <c r="AC359" s="53" t="n"/>
      <c r="AD359" s="53" t="n"/>
      <c r="AE359" s="53" t="n"/>
      <c r="AF359" s="53" t="n"/>
      <c r="AG359" s="53" t="n"/>
      <c r="AH359" s="53" t="n"/>
      <c r="AI359" s="53" t="n"/>
    </row>
    <row r="360" ht="14.2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c r="AA360" s="53" t="n"/>
      <c r="AB360" s="53" t="n"/>
      <c r="AC360" s="53" t="n"/>
      <c r="AD360" s="53" t="n"/>
      <c r="AE360" s="53" t="n"/>
      <c r="AF360" s="53" t="n"/>
      <c r="AG360" s="53" t="n"/>
      <c r="AH360" s="53" t="n"/>
      <c r="AI360" s="53" t="n"/>
    </row>
    <row r="361" ht="14.2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c r="AA361" s="53" t="n"/>
      <c r="AB361" s="53" t="n"/>
      <c r="AC361" s="53" t="n"/>
      <c r="AD361" s="53" t="n"/>
      <c r="AE361" s="53" t="n"/>
      <c r="AF361" s="53" t="n"/>
      <c r="AG361" s="53" t="n"/>
      <c r="AH361" s="53" t="n"/>
      <c r="AI361" s="53" t="n"/>
    </row>
    <row r="362" ht="14.2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c r="AA362" s="53" t="n"/>
      <c r="AB362" s="53" t="n"/>
      <c r="AC362" s="53" t="n"/>
      <c r="AD362" s="53" t="n"/>
      <c r="AE362" s="53" t="n"/>
      <c r="AF362" s="53" t="n"/>
      <c r="AG362" s="53" t="n"/>
      <c r="AH362" s="53" t="n"/>
      <c r="AI362" s="53" t="n"/>
    </row>
    <row r="363" ht="14.2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c r="AA363" s="53" t="n"/>
      <c r="AB363" s="53" t="n"/>
      <c r="AC363" s="53" t="n"/>
      <c r="AD363" s="53" t="n"/>
      <c r="AE363" s="53" t="n"/>
      <c r="AF363" s="53" t="n"/>
      <c r="AG363" s="53" t="n"/>
      <c r="AH363" s="53" t="n"/>
      <c r="AI363" s="53" t="n"/>
    </row>
    <row r="364" ht="14.2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c r="AA364" s="53" t="n"/>
      <c r="AB364" s="53" t="n"/>
      <c r="AC364" s="53" t="n"/>
      <c r="AD364" s="53" t="n"/>
      <c r="AE364" s="53" t="n"/>
      <c r="AF364" s="53" t="n"/>
      <c r="AG364" s="53" t="n"/>
      <c r="AH364" s="53" t="n"/>
      <c r="AI364" s="53" t="n"/>
    </row>
    <row r="365" ht="14.2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c r="AA365" s="53" t="n"/>
      <c r="AB365" s="53" t="n"/>
      <c r="AC365" s="53" t="n"/>
      <c r="AD365" s="53" t="n"/>
      <c r="AE365" s="53" t="n"/>
      <c r="AF365" s="53" t="n"/>
      <c r="AG365" s="53" t="n"/>
      <c r="AH365" s="53" t="n"/>
      <c r="AI365" s="53" t="n"/>
    </row>
    <row r="366" ht="14.2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c r="AA366" s="53" t="n"/>
      <c r="AB366" s="53" t="n"/>
      <c r="AC366" s="53" t="n"/>
      <c r="AD366" s="53" t="n"/>
      <c r="AE366" s="53" t="n"/>
      <c r="AF366" s="53" t="n"/>
      <c r="AG366" s="53" t="n"/>
      <c r="AH366" s="53" t="n"/>
      <c r="AI366" s="53" t="n"/>
    </row>
    <row r="367" ht="14.2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c r="AA367" s="53" t="n"/>
      <c r="AB367" s="53" t="n"/>
      <c r="AC367" s="53" t="n"/>
      <c r="AD367" s="53" t="n"/>
      <c r="AE367" s="53" t="n"/>
      <c r="AF367" s="53" t="n"/>
      <c r="AG367" s="53" t="n"/>
      <c r="AH367" s="53" t="n"/>
      <c r="AI367" s="53" t="n"/>
    </row>
    <row r="368" ht="14.2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c r="AA368" s="53" t="n"/>
      <c r="AB368" s="53" t="n"/>
      <c r="AC368" s="53" t="n"/>
      <c r="AD368" s="53" t="n"/>
      <c r="AE368" s="53" t="n"/>
      <c r="AF368" s="53" t="n"/>
      <c r="AG368" s="53" t="n"/>
      <c r="AH368" s="53" t="n"/>
      <c r="AI368" s="53" t="n"/>
    </row>
    <row r="369" ht="14.2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c r="AA369" s="53" t="n"/>
      <c r="AB369" s="53" t="n"/>
      <c r="AC369" s="53" t="n"/>
      <c r="AD369" s="53" t="n"/>
      <c r="AE369" s="53" t="n"/>
      <c r="AF369" s="53" t="n"/>
      <c r="AG369" s="53" t="n"/>
      <c r="AH369" s="53" t="n"/>
      <c r="AI369" s="53" t="n"/>
    </row>
    <row r="370" ht="14.2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c r="AA370" s="53" t="n"/>
      <c r="AB370" s="53" t="n"/>
      <c r="AC370" s="53" t="n"/>
      <c r="AD370" s="53" t="n"/>
      <c r="AE370" s="53" t="n"/>
      <c r="AF370" s="53" t="n"/>
      <c r="AG370" s="53" t="n"/>
      <c r="AH370" s="53" t="n"/>
      <c r="AI370" s="53" t="n"/>
    </row>
    <row r="371" ht="14.2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c r="AA371" s="53" t="n"/>
      <c r="AB371" s="53" t="n"/>
      <c r="AC371" s="53" t="n"/>
      <c r="AD371" s="53" t="n"/>
      <c r="AE371" s="53" t="n"/>
      <c r="AF371" s="53" t="n"/>
      <c r="AG371" s="53" t="n"/>
      <c r="AH371" s="53" t="n"/>
      <c r="AI371" s="53" t="n"/>
    </row>
    <row r="372" ht="14.2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c r="AA372" s="53" t="n"/>
      <c r="AB372" s="53" t="n"/>
      <c r="AC372" s="53" t="n"/>
      <c r="AD372" s="53" t="n"/>
      <c r="AE372" s="53" t="n"/>
      <c r="AF372" s="53" t="n"/>
      <c r="AG372" s="53" t="n"/>
      <c r="AH372" s="53" t="n"/>
      <c r="AI372" s="53" t="n"/>
    </row>
    <row r="373" ht="14.2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c r="AA373" s="53" t="n"/>
      <c r="AB373" s="53" t="n"/>
      <c r="AC373" s="53" t="n"/>
      <c r="AD373" s="53" t="n"/>
      <c r="AE373" s="53" t="n"/>
      <c r="AF373" s="53" t="n"/>
      <c r="AG373" s="53" t="n"/>
      <c r="AH373" s="53" t="n"/>
      <c r="AI373" s="53" t="n"/>
    </row>
    <row r="374" ht="14.2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c r="AA374" s="53" t="n"/>
      <c r="AB374" s="53" t="n"/>
      <c r="AC374" s="53" t="n"/>
      <c r="AD374" s="53" t="n"/>
      <c r="AE374" s="53" t="n"/>
      <c r="AF374" s="53" t="n"/>
      <c r="AG374" s="53" t="n"/>
      <c r="AH374" s="53" t="n"/>
      <c r="AI374" s="53" t="n"/>
    </row>
    <row r="375" ht="14.2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c r="AA375" s="53" t="n"/>
      <c r="AB375" s="53" t="n"/>
      <c r="AC375" s="53" t="n"/>
      <c r="AD375" s="53" t="n"/>
      <c r="AE375" s="53" t="n"/>
      <c r="AF375" s="53" t="n"/>
      <c r="AG375" s="53" t="n"/>
      <c r="AH375" s="53" t="n"/>
      <c r="AI375" s="53" t="n"/>
    </row>
    <row r="376" ht="14.2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c r="AA376" s="53" t="n"/>
      <c r="AB376" s="53" t="n"/>
      <c r="AC376" s="53" t="n"/>
      <c r="AD376" s="53" t="n"/>
      <c r="AE376" s="53" t="n"/>
      <c r="AF376" s="53" t="n"/>
      <c r="AG376" s="53" t="n"/>
      <c r="AH376" s="53" t="n"/>
      <c r="AI376" s="53" t="n"/>
    </row>
    <row r="377" ht="14.2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c r="AA377" s="53" t="n"/>
      <c r="AB377" s="53" t="n"/>
      <c r="AC377" s="53" t="n"/>
      <c r="AD377" s="53" t="n"/>
      <c r="AE377" s="53" t="n"/>
      <c r="AF377" s="53" t="n"/>
      <c r="AG377" s="53" t="n"/>
      <c r="AH377" s="53" t="n"/>
      <c r="AI377" s="53" t="n"/>
    </row>
    <row r="378" ht="14.2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c r="AA378" s="53" t="n"/>
      <c r="AB378" s="53" t="n"/>
      <c r="AC378" s="53" t="n"/>
      <c r="AD378" s="53" t="n"/>
      <c r="AE378" s="53" t="n"/>
      <c r="AF378" s="53" t="n"/>
      <c r="AG378" s="53" t="n"/>
      <c r="AH378" s="53" t="n"/>
      <c r="AI378" s="53" t="n"/>
    </row>
    <row r="379" ht="14.2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c r="AA379" s="53" t="n"/>
      <c r="AB379" s="53" t="n"/>
      <c r="AC379" s="53" t="n"/>
      <c r="AD379" s="53" t="n"/>
      <c r="AE379" s="53" t="n"/>
      <c r="AF379" s="53" t="n"/>
      <c r="AG379" s="53" t="n"/>
      <c r="AH379" s="53" t="n"/>
      <c r="AI379" s="53" t="n"/>
    </row>
    <row r="380" ht="14.2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c r="AA380" s="53" t="n"/>
      <c r="AB380" s="53" t="n"/>
      <c r="AC380" s="53" t="n"/>
      <c r="AD380" s="53" t="n"/>
      <c r="AE380" s="53" t="n"/>
      <c r="AF380" s="53" t="n"/>
      <c r="AG380" s="53" t="n"/>
      <c r="AH380" s="53" t="n"/>
      <c r="AI380" s="53" t="n"/>
    </row>
    <row r="381" ht="14.2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c r="AA381" s="53" t="n"/>
      <c r="AB381" s="53" t="n"/>
      <c r="AC381" s="53" t="n"/>
      <c r="AD381" s="53" t="n"/>
      <c r="AE381" s="53" t="n"/>
      <c r="AF381" s="53" t="n"/>
      <c r="AG381" s="53" t="n"/>
      <c r="AH381" s="53" t="n"/>
      <c r="AI381" s="53" t="n"/>
    </row>
    <row r="382" ht="14.2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c r="AA382" s="53" t="n"/>
      <c r="AB382" s="53" t="n"/>
      <c r="AC382" s="53" t="n"/>
      <c r="AD382" s="53" t="n"/>
      <c r="AE382" s="53" t="n"/>
      <c r="AF382" s="53" t="n"/>
      <c r="AG382" s="53" t="n"/>
      <c r="AH382" s="53" t="n"/>
      <c r="AI382" s="53" t="n"/>
    </row>
    <row r="383" ht="14.2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c r="AA383" s="53" t="n"/>
      <c r="AB383" s="53" t="n"/>
      <c r="AC383" s="53" t="n"/>
      <c r="AD383" s="53" t="n"/>
      <c r="AE383" s="53" t="n"/>
      <c r="AF383" s="53" t="n"/>
      <c r="AG383" s="53" t="n"/>
      <c r="AH383" s="53" t="n"/>
      <c r="AI383" s="53" t="n"/>
    </row>
    <row r="384" ht="14.2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c r="AA384" s="53" t="n"/>
      <c r="AB384" s="53" t="n"/>
      <c r="AC384" s="53" t="n"/>
      <c r="AD384" s="53" t="n"/>
      <c r="AE384" s="53" t="n"/>
      <c r="AF384" s="53" t="n"/>
      <c r="AG384" s="53" t="n"/>
      <c r="AH384" s="53" t="n"/>
      <c r="AI384" s="53" t="n"/>
    </row>
    <row r="385" ht="14.2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c r="AA385" s="53" t="n"/>
      <c r="AB385" s="53" t="n"/>
      <c r="AC385" s="53" t="n"/>
      <c r="AD385" s="53" t="n"/>
      <c r="AE385" s="53" t="n"/>
      <c r="AF385" s="53" t="n"/>
      <c r="AG385" s="53" t="n"/>
      <c r="AH385" s="53" t="n"/>
      <c r="AI385" s="53" t="n"/>
    </row>
    <row r="386" ht="14.2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c r="AA386" s="53" t="n"/>
      <c r="AB386" s="53" t="n"/>
      <c r="AC386" s="53" t="n"/>
      <c r="AD386" s="53" t="n"/>
      <c r="AE386" s="53" t="n"/>
      <c r="AF386" s="53" t="n"/>
      <c r="AG386" s="53" t="n"/>
      <c r="AH386" s="53" t="n"/>
      <c r="AI386" s="53" t="n"/>
    </row>
    <row r="387" ht="14.2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c r="AA387" s="53" t="n"/>
      <c r="AB387" s="53" t="n"/>
      <c r="AC387" s="53" t="n"/>
      <c r="AD387" s="53" t="n"/>
      <c r="AE387" s="53" t="n"/>
      <c r="AF387" s="53" t="n"/>
      <c r="AG387" s="53" t="n"/>
      <c r="AH387" s="53" t="n"/>
      <c r="AI387" s="53" t="n"/>
    </row>
    <row r="388" ht="14.2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c r="AA388" s="53" t="n"/>
      <c r="AB388" s="53" t="n"/>
      <c r="AC388" s="53" t="n"/>
      <c r="AD388" s="53" t="n"/>
      <c r="AE388" s="53" t="n"/>
      <c r="AF388" s="53" t="n"/>
      <c r="AG388" s="53" t="n"/>
      <c r="AH388" s="53" t="n"/>
      <c r="AI388" s="53" t="n"/>
    </row>
    <row r="389" ht="14.2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c r="AA389" s="53" t="n"/>
      <c r="AB389" s="53" t="n"/>
      <c r="AC389" s="53" t="n"/>
      <c r="AD389" s="53" t="n"/>
      <c r="AE389" s="53" t="n"/>
      <c r="AF389" s="53" t="n"/>
      <c r="AG389" s="53" t="n"/>
      <c r="AH389" s="53" t="n"/>
      <c r="AI389" s="53" t="n"/>
    </row>
    <row r="390" ht="14.2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c r="AA390" s="53" t="n"/>
      <c r="AB390" s="53" t="n"/>
      <c r="AC390" s="53" t="n"/>
      <c r="AD390" s="53" t="n"/>
      <c r="AE390" s="53" t="n"/>
      <c r="AF390" s="53" t="n"/>
      <c r="AG390" s="53" t="n"/>
      <c r="AH390" s="53" t="n"/>
      <c r="AI390" s="53" t="n"/>
    </row>
    <row r="391" ht="14.2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c r="AA391" s="53" t="n"/>
      <c r="AB391" s="53" t="n"/>
      <c r="AC391" s="53" t="n"/>
      <c r="AD391" s="53" t="n"/>
      <c r="AE391" s="53" t="n"/>
      <c r="AF391" s="53" t="n"/>
      <c r="AG391" s="53" t="n"/>
      <c r="AH391" s="53" t="n"/>
      <c r="AI391" s="53" t="n"/>
    </row>
    <row r="392" ht="14.2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c r="AA392" s="53" t="n"/>
      <c r="AB392" s="53" t="n"/>
      <c r="AC392" s="53" t="n"/>
      <c r="AD392" s="53" t="n"/>
      <c r="AE392" s="53" t="n"/>
      <c r="AF392" s="53" t="n"/>
      <c r="AG392" s="53" t="n"/>
      <c r="AH392" s="53" t="n"/>
      <c r="AI392" s="53" t="n"/>
    </row>
    <row r="393" ht="14.2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c r="AA393" s="53" t="n"/>
      <c r="AB393" s="53" t="n"/>
      <c r="AC393" s="53" t="n"/>
      <c r="AD393" s="53" t="n"/>
      <c r="AE393" s="53" t="n"/>
      <c r="AF393" s="53" t="n"/>
      <c r="AG393" s="53" t="n"/>
      <c r="AH393" s="53" t="n"/>
      <c r="AI393" s="53" t="n"/>
    </row>
    <row r="394" ht="14.2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c r="AA394" s="53" t="n"/>
      <c r="AB394" s="53" t="n"/>
      <c r="AC394" s="53" t="n"/>
      <c r="AD394" s="53" t="n"/>
      <c r="AE394" s="53" t="n"/>
      <c r="AF394" s="53" t="n"/>
      <c r="AG394" s="53" t="n"/>
      <c r="AH394" s="53" t="n"/>
      <c r="AI394" s="53" t="n"/>
    </row>
    <row r="395" ht="14.2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c r="AA395" s="53" t="n"/>
      <c r="AB395" s="53" t="n"/>
      <c r="AC395" s="53" t="n"/>
      <c r="AD395" s="53" t="n"/>
      <c r="AE395" s="53" t="n"/>
      <c r="AF395" s="53" t="n"/>
      <c r="AG395" s="53" t="n"/>
      <c r="AH395" s="53" t="n"/>
      <c r="AI395" s="53" t="n"/>
    </row>
    <row r="396" ht="14.2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c r="AA396" s="53" t="n"/>
      <c r="AB396" s="53" t="n"/>
      <c r="AC396" s="53" t="n"/>
      <c r="AD396" s="53" t="n"/>
      <c r="AE396" s="53" t="n"/>
      <c r="AF396" s="53" t="n"/>
      <c r="AG396" s="53" t="n"/>
      <c r="AH396" s="53" t="n"/>
      <c r="AI396" s="53" t="n"/>
    </row>
    <row r="397" ht="14.2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c r="AA397" s="53" t="n"/>
      <c r="AB397" s="53" t="n"/>
      <c r="AC397" s="53" t="n"/>
      <c r="AD397" s="53" t="n"/>
      <c r="AE397" s="53" t="n"/>
      <c r="AF397" s="53" t="n"/>
      <c r="AG397" s="53" t="n"/>
      <c r="AH397" s="53" t="n"/>
      <c r="AI397" s="53" t="n"/>
    </row>
    <row r="398" ht="14.2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c r="AA398" s="53" t="n"/>
      <c r="AB398" s="53" t="n"/>
      <c r="AC398" s="53" t="n"/>
      <c r="AD398" s="53" t="n"/>
      <c r="AE398" s="53" t="n"/>
      <c r="AF398" s="53" t="n"/>
      <c r="AG398" s="53" t="n"/>
      <c r="AH398" s="53" t="n"/>
      <c r="AI398" s="53" t="n"/>
    </row>
    <row r="399" ht="14.2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c r="AA399" s="53" t="n"/>
      <c r="AB399" s="53" t="n"/>
      <c r="AC399" s="53" t="n"/>
      <c r="AD399" s="53" t="n"/>
      <c r="AE399" s="53" t="n"/>
      <c r="AF399" s="53" t="n"/>
      <c r="AG399" s="53" t="n"/>
      <c r="AH399" s="53" t="n"/>
      <c r="AI399" s="53" t="n"/>
    </row>
    <row r="400" ht="14.2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c r="AA400" s="53" t="n"/>
      <c r="AB400" s="53" t="n"/>
      <c r="AC400" s="53" t="n"/>
      <c r="AD400" s="53" t="n"/>
      <c r="AE400" s="53" t="n"/>
      <c r="AF400" s="53" t="n"/>
      <c r="AG400" s="53" t="n"/>
      <c r="AH400" s="53" t="n"/>
      <c r="AI400" s="53" t="n"/>
    </row>
    <row r="401" ht="14.2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c r="AA401" s="53" t="n"/>
      <c r="AB401" s="53" t="n"/>
      <c r="AC401" s="53" t="n"/>
      <c r="AD401" s="53" t="n"/>
      <c r="AE401" s="53" t="n"/>
      <c r="AF401" s="53" t="n"/>
      <c r="AG401" s="53" t="n"/>
      <c r="AH401" s="53" t="n"/>
      <c r="AI401" s="53" t="n"/>
    </row>
    <row r="402" ht="14.2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c r="AA402" s="53" t="n"/>
      <c r="AB402" s="53" t="n"/>
      <c r="AC402" s="53" t="n"/>
      <c r="AD402" s="53" t="n"/>
      <c r="AE402" s="53" t="n"/>
      <c r="AF402" s="53" t="n"/>
      <c r="AG402" s="53" t="n"/>
      <c r="AH402" s="53" t="n"/>
      <c r="AI402" s="53" t="n"/>
    </row>
    <row r="403" ht="14.2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c r="AA403" s="53" t="n"/>
      <c r="AB403" s="53" t="n"/>
      <c r="AC403" s="53" t="n"/>
      <c r="AD403" s="53" t="n"/>
      <c r="AE403" s="53" t="n"/>
      <c r="AF403" s="53" t="n"/>
      <c r="AG403" s="53" t="n"/>
      <c r="AH403" s="53" t="n"/>
      <c r="AI403" s="53" t="n"/>
    </row>
    <row r="404" ht="14.2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c r="AA404" s="53" t="n"/>
      <c r="AB404" s="53" t="n"/>
      <c r="AC404" s="53" t="n"/>
      <c r="AD404" s="53" t="n"/>
      <c r="AE404" s="53" t="n"/>
      <c r="AF404" s="53" t="n"/>
      <c r="AG404" s="53" t="n"/>
      <c r="AH404" s="53" t="n"/>
      <c r="AI404" s="53" t="n"/>
    </row>
    <row r="405" ht="14.2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c r="AA405" s="53" t="n"/>
      <c r="AB405" s="53" t="n"/>
      <c r="AC405" s="53" t="n"/>
      <c r="AD405" s="53" t="n"/>
      <c r="AE405" s="53" t="n"/>
      <c r="AF405" s="53" t="n"/>
      <c r="AG405" s="53" t="n"/>
      <c r="AH405" s="53" t="n"/>
      <c r="AI405" s="53" t="n"/>
    </row>
    <row r="406" ht="14.2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c r="AA406" s="53" t="n"/>
      <c r="AB406" s="53" t="n"/>
      <c r="AC406" s="53" t="n"/>
      <c r="AD406" s="53" t="n"/>
      <c r="AE406" s="53" t="n"/>
      <c r="AF406" s="53" t="n"/>
      <c r="AG406" s="53" t="n"/>
      <c r="AH406" s="53" t="n"/>
      <c r="AI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c r="AA407" s="53" t="n"/>
      <c r="AB407" s="53" t="n"/>
      <c r="AC407" s="53" t="n"/>
      <c r="AD407" s="53" t="n"/>
      <c r="AE407" s="53" t="n"/>
      <c r="AF407" s="53" t="n"/>
      <c r="AG407" s="53" t="n"/>
      <c r="AH407" s="53" t="n"/>
      <c r="AI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c r="AA408" s="53" t="n"/>
      <c r="AB408" s="53" t="n"/>
      <c r="AC408" s="53" t="n"/>
      <c r="AD408" s="53" t="n"/>
      <c r="AE408" s="53" t="n"/>
      <c r="AF408" s="53" t="n"/>
      <c r="AG408" s="53" t="n"/>
      <c r="AH408" s="53" t="n"/>
      <c r="AI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c r="AA409" s="53" t="n"/>
      <c r="AB409" s="53" t="n"/>
      <c r="AC409" s="53" t="n"/>
      <c r="AD409" s="53" t="n"/>
      <c r="AE409" s="53" t="n"/>
      <c r="AF409" s="53" t="n"/>
      <c r="AG409" s="53" t="n"/>
      <c r="AH409" s="53" t="n"/>
      <c r="AI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c r="AA410" s="53" t="n"/>
      <c r="AB410" s="53" t="n"/>
      <c r="AC410" s="53" t="n"/>
      <c r="AD410" s="53" t="n"/>
      <c r="AE410" s="53" t="n"/>
      <c r="AF410" s="53" t="n"/>
      <c r="AG410" s="53" t="n"/>
      <c r="AH410" s="53" t="n"/>
      <c r="AI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c r="AA411" s="53" t="n"/>
      <c r="AB411" s="53" t="n"/>
      <c r="AC411" s="53" t="n"/>
      <c r="AD411" s="53" t="n"/>
      <c r="AE411" s="53" t="n"/>
      <c r="AF411" s="53" t="n"/>
      <c r="AG411" s="53" t="n"/>
      <c r="AH411" s="53" t="n"/>
      <c r="AI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c r="AA412" s="53" t="n"/>
      <c r="AB412" s="53" t="n"/>
      <c r="AC412" s="53" t="n"/>
      <c r="AD412" s="53" t="n"/>
      <c r="AE412" s="53" t="n"/>
      <c r="AF412" s="53" t="n"/>
      <c r="AG412" s="53" t="n"/>
      <c r="AH412" s="53" t="n"/>
      <c r="AI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c r="AA413" s="53" t="n"/>
      <c r="AB413" s="53" t="n"/>
      <c r="AC413" s="53" t="n"/>
      <c r="AD413" s="53" t="n"/>
      <c r="AE413" s="53" t="n"/>
      <c r="AF413" s="53" t="n"/>
      <c r="AG413" s="53" t="n"/>
      <c r="AH413" s="53" t="n"/>
      <c r="AI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c r="AA414" s="53" t="n"/>
      <c r="AB414" s="53" t="n"/>
      <c r="AC414" s="53" t="n"/>
      <c r="AD414" s="53" t="n"/>
      <c r="AE414" s="53" t="n"/>
      <c r="AF414" s="53" t="n"/>
      <c r="AG414" s="53" t="n"/>
      <c r="AH414" s="53" t="n"/>
      <c r="AI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c r="AA415" s="53" t="n"/>
      <c r="AB415" s="53" t="n"/>
      <c r="AC415" s="53" t="n"/>
      <c r="AD415" s="53" t="n"/>
      <c r="AE415" s="53" t="n"/>
      <c r="AF415" s="53" t="n"/>
      <c r="AG415" s="53" t="n"/>
      <c r="AH415" s="53" t="n"/>
      <c r="AI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c r="AA416" s="53" t="n"/>
      <c r="AB416" s="53" t="n"/>
      <c r="AC416" s="53" t="n"/>
      <c r="AD416" s="53" t="n"/>
      <c r="AE416" s="53" t="n"/>
      <c r="AF416" s="53" t="n"/>
      <c r="AG416" s="53" t="n"/>
      <c r="AH416" s="53" t="n"/>
      <c r="AI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c r="AA417" s="53" t="n"/>
      <c r="AB417" s="53" t="n"/>
      <c r="AC417" s="53" t="n"/>
      <c r="AD417" s="53" t="n"/>
      <c r="AE417" s="53" t="n"/>
      <c r="AF417" s="53" t="n"/>
      <c r="AG417" s="53" t="n"/>
      <c r="AH417" s="53" t="n"/>
      <c r="AI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c r="AA418" s="53" t="n"/>
      <c r="AB418" s="53" t="n"/>
      <c r="AC418" s="53" t="n"/>
      <c r="AD418" s="53" t="n"/>
      <c r="AE418" s="53" t="n"/>
      <c r="AF418" s="53" t="n"/>
      <c r="AG418" s="53" t="n"/>
      <c r="AH418" s="53" t="n"/>
      <c r="AI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c r="AA419" s="53" t="n"/>
      <c r="AB419" s="53" t="n"/>
      <c r="AC419" s="53" t="n"/>
      <c r="AD419" s="53" t="n"/>
      <c r="AE419" s="53" t="n"/>
      <c r="AF419" s="53" t="n"/>
      <c r="AG419" s="53" t="n"/>
      <c r="AH419" s="53" t="n"/>
      <c r="AI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c r="AA420" s="53" t="n"/>
      <c r="AB420" s="53" t="n"/>
      <c r="AC420" s="53" t="n"/>
      <c r="AD420" s="53" t="n"/>
      <c r="AE420" s="53" t="n"/>
      <c r="AF420" s="53" t="n"/>
      <c r="AG420" s="53" t="n"/>
      <c r="AH420" s="53" t="n"/>
      <c r="AI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c r="AA421" s="53" t="n"/>
      <c r="AB421" s="53" t="n"/>
      <c r="AC421" s="53" t="n"/>
      <c r="AD421" s="53" t="n"/>
      <c r="AE421" s="53" t="n"/>
      <c r="AF421" s="53" t="n"/>
      <c r="AG421" s="53" t="n"/>
      <c r="AH421" s="53" t="n"/>
      <c r="AI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c r="AA422" s="53" t="n"/>
      <c r="AB422" s="53" t="n"/>
      <c r="AC422" s="53" t="n"/>
      <c r="AD422" s="53" t="n"/>
      <c r="AE422" s="53" t="n"/>
      <c r="AF422" s="53" t="n"/>
      <c r="AG422" s="53" t="n"/>
      <c r="AH422" s="53" t="n"/>
      <c r="AI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c r="AA423" s="53" t="n"/>
      <c r="AB423" s="53" t="n"/>
      <c r="AC423" s="53" t="n"/>
      <c r="AD423" s="53" t="n"/>
      <c r="AE423" s="53" t="n"/>
      <c r="AF423" s="53" t="n"/>
      <c r="AG423" s="53" t="n"/>
      <c r="AH423" s="53" t="n"/>
      <c r="AI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c r="AA424" s="53" t="n"/>
      <c r="AB424" s="53" t="n"/>
      <c r="AC424" s="53" t="n"/>
      <c r="AD424" s="53" t="n"/>
      <c r="AE424" s="53" t="n"/>
      <c r="AF424" s="53" t="n"/>
      <c r="AG424" s="53" t="n"/>
      <c r="AH424" s="53" t="n"/>
      <c r="AI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c r="AA425" s="53" t="n"/>
      <c r="AB425" s="53" t="n"/>
      <c r="AC425" s="53" t="n"/>
      <c r="AD425" s="53" t="n"/>
      <c r="AE425" s="53" t="n"/>
      <c r="AF425" s="53" t="n"/>
      <c r="AG425" s="53" t="n"/>
      <c r="AH425" s="53" t="n"/>
      <c r="AI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c r="AA426" s="53" t="n"/>
      <c r="AB426" s="53" t="n"/>
      <c r="AC426" s="53" t="n"/>
      <c r="AD426" s="53" t="n"/>
      <c r="AE426" s="53" t="n"/>
      <c r="AF426" s="53" t="n"/>
      <c r="AG426" s="53" t="n"/>
      <c r="AH426" s="53" t="n"/>
      <c r="AI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c r="AA427" s="53" t="n"/>
      <c r="AB427" s="53" t="n"/>
      <c r="AC427" s="53" t="n"/>
      <c r="AD427" s="53" t="n"/>
      <c r="AE427" s="53" t="n"/>
      <c r="AF427" s="53" t="n"/>
      <c r="AG427" s="53" t="n"/>
      <c r="AH427" s="53" t="n"/>
      <c r="AI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c r="AA428" s="53" t="n"/>
      <c r="AB428" s="53" t="n"/>
      <c r="AC428" s="53" t="n"/>
      <c r="AD428" s="53" t="n"/>
      <c r="AE428" s="53" t="n"/>
      <c r="AF428" s="53" t="n"/>
      <c r="AG428" s="53" t="n"/>
      <c r="AH428" s="53" t="n"/>
      <c r="AI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c r="AA429" s="53" t="n"/>
      <c r="AB429" s="53" t="n"/>
      <c r="AC429" s="53" t="n"/>
      <c r="AD429" s="53" t="n"/>
      <c r="AE429" s="53" t="n"/>
      <c r="AF429" s="53" t="n"/>
      <c r="AG429" s="53" t="n"/>
      <c r="AH429" s="53" t="n"/>
      <c r="AI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c r="AA430" s="53" t="n"/>
      <c r="AB430" s="53" t="n"/>
      <c r="AC430" s="53" t="n"/>
      <c r="AD430" s="53" t="n"/>
      <c r="AE430" s="53" t="n"/>
      <c r="AF430" s="53" t="n"/>
      <c r="AG430" s="53" t="n"/>
      <c r="AH430" s="53" t="n"/>
      <c r="AI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c r="AA431" s="53" t="n"/>
      <c r="AB431" s="53" t="n"/>
      <c r="AC431" s="53" t="n"/>
      <c r="AD431" s="53" t="n"/>
      <c r="AE431" s="53" t="n"/>
      <c r="AF431" s="53" t="n"/>
      <c r="AG431" s="53" t="n"/>
      <c r="AH431" s="53" t="n"/>
      <c r="AI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c r="AA432" s="53" t="n"/>
      <c r="AB432" s="53" t="n"/>
      <c r="AC432" s="53" t="n"/>
      <c r="AD432" s="53" t="n"/>
      <c r="AE432" s="53" t="n"/>
      <c r="AF432" s="53" t="n"/>
      <c r="AG432" s="53" t="n"/>
      <c r="AH432" s="53" t="n"/>
      <c r="AI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c r="AA433" s="53" t="n"/>
      <c r="AB433" s="53" t="n"/>
      <c r="AC433" s="53" t="n"/>
      <c r="AD433" s="53" t="n"/>
      <c r="AE433" s="53" t="n"/>
      <c r="AF433" s="53" t="n"/>
      <c r="AG433" s="53" t="n"/>
      <c r="AH433" s="53" t="n"/>
      <c r="AI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c r="AA434" s="53" t="n"/>
      <c r="AB434" s="53" t="n"/>
      <c r="AC434" s="53" t="n"/>
      <c r="AD434" s="53" t="n"/>
      <c r="AE434" s="53" t="n"/>
      <c r="AF434" s="53" t="n"/>
      <c r="AG434" s="53" t="n"/>
      <c r="AH434" s="53" t="n"/>
      <c r="AI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c r="AA435" s="53" t="n"/>
      <c r="AB435" s="53" t="n"/>
      <c r="AC435" s="53" t="n"/>
      <c r="AD435" s="53" t="n"/>
      <c r="AE435" s="53" t="n"/>
      <c r="AF435" s="53" t="n"/>
      <c r="AG435" s="53" t="n"/>
      <c r="AH435" s="53" t="n"/>
      <c r="AI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c r="AA436" s="53" t="n"/>
      <c r="AB436" s="53" t="n"/>
      <c r="AC436" s="53" t="n"/>
      <c r="AD436" s="53" t="n"/>
      <c r="AE436" s="53" t="n"/>
      <c r="AF436" s="53" t="n"/>
      <c r="AG436" s="53" t="n"/>
      <c r="AH436" s="53" t="n"/>
      <c r="AI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c r="AA437" s="53" t="n"/>
      <c r="AB437" s="53" t="n"/>
      <c r="AC437" s="53" t="n"/>
      <c r="AD437" s="53" t="n"/>
      <c r="AE437" s="53" t="n"/>
      <c r="AF437" s="53" t="n"/>
      <c r="AG437" s="53" t="n"/>
      <c r="AH437" s="53" t="n"/>
      <c r="AI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c r="AA438" s="53" t="n"/>
      <c r="AB438" s="53" t="n"/>
      <c r="AC438" s="53" t="n"/>
      <c r="AD438" s="53" t="n"/>
      <c r="AE438" s="53" t="n"/>
      <c r="AF438" s="53" t="n"/>
      <c r="AG438" s="53" t="n"/>
      <c r="AH438" s="53" t="n"/>
      <c r="AI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c r="AA439" s="53" t="n"/>
      <c r="AB439" s="53" t="n"/>
      <c r="AC439" s="53" t="n"/>
      <c r="AD439" s="53" t="n"/>
      <c r="AE439" s="53" t="n"/>
      <c r="AF439" s="53" t="n"/>
      <c r="AG439" s="53" t="n"/>
      <c r="AH439" s="53" t="n"/>
      <c r="AI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c r="AA440" s="53" t="n"/>
      <c r="AB440" s="53" t="n"/>
      <c r="AC440" s="53" t="n"/>
      <c r="AD440" s="53" t="n"/>
      <c r="AE440" s="53" t="n"/>
      <c r="AF440" s="53" t="n"/>
      <c r="AG440" s="53" t="n"/>
      <c r="AH440" s="53" t="n"/>
      <c r="AI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c r="AA441" s="53" t="n"/>
      <c r="AB441" s="53" t="n"/>
      <c r="AC441" s="53" t="n"/>
      <c r="AD441" s="53" t="n"/>
      <c r="AE441" s="53" t="n"/>
      <c r="AF441" s="53" t="n"/>
      <c r="AG441" s="53" t="n"/>
      <c r="AH441" s="53" t="n"/>
      <c r="AI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c r="AA442" s="53" t="n"/>
      <c r="AB442" s="53" t="n"/>
      <c r="AC442" s="53" t="n"/>
      <c r="AD442" s="53" t="n"/>
      <c r="AE442" s="53" t="n"/>
      <c r="AF442" s="53" t="n"/>
      <c r="AG442" s="53" t="n"/>
      <c r="AH442" s="53" t="n"/>
      <c r="AI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c r="AA443" s="53" t="n"/>
      <c r="AB443" s="53" t="n"/>
      <c r="AC443" s="53" t="n"/>
      <c r="AD443" s="53" t="n"/>
      <c r="AE443" s="53" t="n"/>
      <c r="AF443" s="53" t="n"/>
      <c r="AG443" s="53" t="n"/>
      <c r="AH443" s="53" t="n"/>
      <c r="AI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c r="AA444" s="53" t="n"/>
      <c r="AB444" s="53" t="n"/>
      <c r="AC444" s="53" t="n"/>
      <c r="AD444" s="53" t="n"/>
      <c r="AE444" s="53" t="n"/>
      <c r="AF444" s="53" t="n"/>
      <c r="AG444" s="53" t="n"/>
      <c r="AH444" s="53" t="n"/>
      <c r="AI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c r="AA445" s="53" t="n"/>
      <c r="AB445" s="53" t="n"/>
      <c r="AC445" s="53" t="n"/>
      <c r="AD445" s="53" t="n"/>
      <c r="AE445" s="53" t="n"/>
      <c r="AF445" s="53" t="n"/>
      <c r="AG445" s="53" t="n"/>
      <c r="AH445" s="53" t="n"/>
      <c r="AI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c r="AA446" s="53" t="n"/>
      <c r="AB446" s="53" t="n"/>
      <c r="AC446" s="53" t="n"/>
      <c r="AD446" s="53" t="n"/>
      <c r="AE446" s="53" t="n"/>
      <c r="AF446" s="53" t="n"/>
      <c r="AG446" s="53" t="n"/>
      <c r="AH446" s="53" t="n"/>
      <c r="AI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c r="AA447" s="53" t="n"/>
      <c r="AB447" s="53" t="n"/>
      <c r="AC447" s="53" t="n"/>
      <c r="AD447" s="53" t="n"/>
      <c r="AE447" s="53" t="n"/>
      <c r="AF447" s="53" t="n"/>
      <c r="AG447" s="53" t="n"/>
      <c r="AH447" s="53" t="n"/>
      <c r="AI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c r="AA448" s="53" t="n"/>
      <c r="AB448" s="53" t="n"/>
      <c r="AC448" s="53" t="n"/>
      <c r="AD448" s="53" t="n"/>
      <c r="AE448" s="53" t="n"/>
      <c r="AF448" s="53" t="n"/>
      <c r="AG448" s="53" t="n"/>
      <c r="AH448" s="53" t="n"/>
      <c r="AI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c r="AA449" s="53" t="n"/>
      <c r="AB449" s="53" t="n"/>
      <c r="AC449" s="53" t="n"/>
      <c r="AD449" s="53" t="n"/>
      <c r="AE449" s="53" t="n"/>
      <c r="AF449" s="53" t="n"/>
      <c r="AG449" s="53" t="n"/>
      <c r="AH449" s="53" t="n"/>
      <c r="AI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c r="AA450" s="53" t="n"/>
      <c r="AB450" s="53" t="n"/>
      <c r="AC450" s="53" t="n"/>
      <c r="AD450" s="53" t="n"/>
      <c r="AE450" s="53" t="n"/>
      <c r="AF450" s="53" t="n"/>
      <c r="AG450" s="53" t="n"/>
      <c r="AH450" s="53" t="n"/>
      <c r="AI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c r="AA451" s="53" t="n"/>
      <c r="AB451" s="53" t="n"/>
      <c r="AC451" s="53" t="n"/>
      <c r="AD451" s="53" t="n"/>
      <c r="AE451" s="53" t="n"/>
      <c r="AF451" s="53" t="n"/>
      <c r="AG451" s="53" t="n"/>
      <c r="AH451" s="53" t="n"/>
      <c r="AI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c r="AA452" s="53" t="n"/>
      <c r="AB452" s="53" t="n"/>
      <c r="AC452" s="53" t="n"/>
      <c r="AD452" s="53" t="n"/>
      <c r="AE452" s="53" t="n"/>
      <c r="AF452" s="53" t="n"/>
      <c r="AG452" s="53" t="n"/>
      <c r="AH452" s="53" t="n"/>
      <c r="AI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c r="AA453" s="53" t="n"/>
      <c r="AB453" s="53" t="n"/>
      <c r="AC453" s="53" t="n"/>
      <c r="AD453" s="53" t="n"/>
      <c r="AE453" s="53" t="n"/>
      <c r="AF453" s="53" t="n"/>
      <c r="AG453" s="53" t="n"/>
      <c r="AH453" s="53" t="n"/>
      <c r="AI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c r="AA454" s="53" t="n"/>
      <c r="AB454" s="53" t="n"/>
      <c r="AC454" s="53" t="n"/>
      <c r="AD454" s="53" t="n"/>
      <c r="AE454" s="53" t="n"/>
      <c r="AF454" s="53" t="n"/>
      <c r="AG454" s="53" t="n"/>
      <c r="AH454" s="53" t="n"/>
      <c r="AI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c r="AA455" s="53" t="n"/>
      <c r="AB455" s="53" t="n"/>
      <c r="AC455" s="53" t="n"/>
      <c r="AD455" s="53" t="n"/>
      <c r="AE455" s="53" t="n"/>
      <c r="AF455" s="53" t="n"/>
      <c r="AG455" s="53" t="n"/>
      <c r="AH455" s="53" t="n"/>
      <c r="AI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c r="AA456" s="53" t="n"/>
      <c r="AB456" s="53" t="n"/>
      <c r="AC456" s="53" t="n"/>
      <c r="AD456" s="53" t="n"/>
      <c r="AE456" s="53" t="n"/>
      <c r="AF456" s="53" t="n"/>
      <c r="AG456" s="53" t="n"/>
      <c r="AH456" s="53" t="n"/>
      <c r="AI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c r="AA457" s="53" t="n"/>
      <c r="AB457" s="53" t="n"/>
      <c r="AC457" s="53" t="n"/>
      <c r="AD457" s="53" t="n"/>
      <c r="AE457" s="53" t="n"/>
      <c r="AF457" s="53" t="n"/>
      <c r="AG457" s="53" t="n"/>
      <c r="AH457" s="53" t="n"/>
      <c r="AI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c r="AA458" s="53" t="n"/>
      <c r="AB458" s="53" t="n"/>
      <c r="AC458" s="53" t="n"/>
      <c r="AD458" s="53" t="n"/>
      <c r="AE458" s="53" t="n"/>
      <c r="AF458" s="53" t="n"/>
      <c r="AG458" s="53" t="n"/>
      <c r="AH458" s="53" t="n"/>
      <c r="AI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c r="AA459" s="53" t="n"/>
      <c r="AB459" s="53" t="n"/>
      <c r="AC459" s="53" t="n"/>
      <c r="AD459" s="53" t="n"/>
      <c r="AE459" s="53" t="n"/>
      <c r="AF459" s="53" t="n"/>
      <c r="AG459" s="53" t="n"/>
      <c r="AH459" s="53" t="n"/>
      <c r="AI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c r="AA460" s="53" t="n"/>
      <c r="AB460" s="53" t="n"/>
      <c r="AC460" s="53" t="n"/>
      <c r="AD460" s="53" t="n"/>
      <c r="AE460" s="53" t="n"/>
      <c r="AF460" s="53" t="n"/>
      <c r="AG460" s="53" t="n"/>
      <c r="AH460" s="53" t="n"/>
      <c r="AI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c r="AA461" s="53" t="n"/>
      <c r="AB461" s="53" t="n"/>
      <c r="AC461" s="53" t="n"/>
      <c r="AD461" s="53" t="n"/>
      <c r="AE461" s="53" t="n"/>
      <c r="AF461" s="53" t="n"/>
      <c r="AG461" s="53" t="n"/>
      <c r="AH461" s="53" t="n"/>
      <c r="AI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c r="AA462" s="53" t="n"/>
      <c r="AB462" s="53" t="n"/>
      <c r="AC462" s="53" t="n"/>
      <c r="AD462" s="53" t="n"/>
      <c r="AE462" s="53" t="n"/>
      <c r="AF462" s="53" t="n"/>
      <c r="AG462" s="53" t="n"/>
      <c r="AH462" s="53" t="n"/>
      <c r="AI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c r="AA463" s="53" t="n"/>
      <c r="AB463" s="53" t="n"/>
      <c r="AC463" s="53" t="n"/>
      <c r="AD463" s="53" t="n"/>
      <c r="AE463" s="53" t="n"/>
      <c r="AF463" s="53" t="n"/>
      <c r="AG463" s="53" t="n"/>
      <c r="AH463" s="53" t="n"/>
      <c r="AI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c r="AA464" s="53" t="n"/>
      <c r="AB464" s="53" t="n"/>
      <c r="AC464" s="53" t="n"/>
      <c r="AD464" s="53" t="n"/>
      <c r="AE464" s="53" t="n"/>
      <c r="AF464" s="53" t="n"/>
      <c r="AG464" s="53" t="n"/>
      <c r="AH464" s="53" t="n"/>
      <c r="AI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c r="AA465" s="53" t="n"/>
      <c r="AB465" s="53" t="n"/>
      <c r="AC465" s="53" t="n"/>
      <c r="AD465" s="53" t="n"/>
      <c r="AE465" s="53" t="n"/>
      <c r="AF465" s="53" t="n"/>
      <c r="AG465" s="53" t="n"/>
      <c r="AH465" s="53" t="n"/>
      <c r="AI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c r="AA466" s="53" t="n"/>
      <c r="AB466" s="53" t="n"/>
      <c r="AC466" s="53" t="n"/>
      <c r="AD466" s="53" t="n"/>
      <c r="AE466" s="53" t="n"/>
      <c r="AF466" s="53" t="n"/>
      <c r="AG466" s="53" t="n"/>
      <c r="AH466" s="53" t="n"/>
      <c r="AI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c r="AA467" s="53" t="n"/>
      <c r="AB467" s="53" t="n"/>
      <c r="AC467" s="53" t="n"/>
      <c r="AD467" s="53" t="n"/>
      <c r="AE467" s="53" t="n"/>
      <c r="AF467" s="53" t="n"/>
      <c r="AG467" s="53" t="n"/>
      <c r="AH467" s="53" t="n"/>
      <c r="AI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c r="AA468" s="53" t="n"/>
      <c r="AB468" s="53" t="n"/>
      <c r="AC468" s="53" t="n"/>
      <c r="AD468" s="53" t="n"/>
      <c r="AE468" s="53" t="n"/>
      <c r="AF468" s="53" t="n"/>
      <c r="AG468" s="53" t="n"/>
      <c r="AH468" s="53" t="n"/>
      <c r="AI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c r="AA469" s="53" t="n"/>
      <c r="AB469" s="53" t="n"/>
      <c r="AC469" s="53" t="n"/>
      <c r="AD469" s="53" t="n"/>
      <c r="AE469" s="53" t="n"/>
      <c r="AF469" s="53" t="n"/>
      <c r="AG469" s="53" t="n"/>
      <c r="AH469" s="53" t="n"/>
      <c r="AI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c r="AA470" s="53" t="n"/>
      <c r="AB470" s="53" t="n"/>
      <c r="AC470" s="53" t="n"/>
      <c r="AD470" s="53" t="n"/>
      <c r="AE470" s="53" t="n"/>
      <c r="AF470" s="53" t="n"/>
      <c r="AG470" s="53" t="n"/>
      <c r="AH470" s="53" t="n"/>
      <c r="AI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c r="AA471" s="53" t="n"/>
      <c r="AB471" s="53" t="n"/>
      <c r="AC471" s="53" t="n"/>
      <c r="AD471" s="53" t="n"/>
      <c r="AE471" s="53" t="n"/>
      <c r="AF471" s="53" t="n"/>
      <c r="AG471" s="53" t="n"/>
      <c r="AH471" s="53" t="n"/>
      <c r="AI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c r="AA472" s="53" t="n"/>
      <c r="AB472" s="53" t="n"/>
      <c r="AC472" s="53" t="n"/>
      <c r="AD472" s="53" t="n"/>
      <c r="AE472" s="53" t="n"/>
      <c r="AF472" s="53" t="n"/>
      <c r="AG472" s="53" t="n"/>
      <c r="AH472" s="53" t="n"/>
      <c r="AI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c r="AA473" s="53" t="n"/>
      <c r="AB473" s="53" t="n"/>
      <c r="AC473" s="53" t="n"/>
      <c r="AD473" s="53" t="n"/>
      <c r="AE473" s="53" t="n"/>
      <c r="AF473" s="53" t="n"/>
      <c r="AG473" s="53" t="n"/>
      <c r="AH473" s="53" t="n"/>
      <c r="AI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c r="AA474" s="53" t="n"/>
      <c r="AB474" s="53" t="n"/>
      <c r="AC474" s="53" t="n"/>
      <c r="AD474" s="53" t="n"/>
      <c r="AE474" s="53" t="n"/>
      <c r="AF474" s="53" t="n"/>
      <c r="AG474" s="53" t="n"/>
      <c r="AH474" s="53" t="n"/>
      <c r="AI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c r="AA475" s="53" t="n"/>
      <c r="AB475" s="53" t="n"/>
      <c r="AC475" s="53" t="n"/>
      <c r="AD475" s="53" t="n"/>
      <c r="AE475" s="53" t="n"/>
      <c r="AF475" s="53" t="n"/>
      <c r="AG475" s="53" t="n"/>
      <c r="AH475" s="53" t="n"/>
      <c r="AI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c r="AA476" s="53" t="n"/>
      <c r="AB476" s="53" t="n"/>
      <c r="AC476" s="53" t="n"/>
      <c r="AD476" s="53" t="n"/>
      <c r="AE476" s="53" t="n"/>
      <c r="AF476" s="53" t="n"/>
      <c r="AG476" s="53" t="n"/>
      <c r="AH476" s="53" t="n"/>
      <c r="AI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c r="AA477" s="53" t="n"/>
      <c r="AB477" s="53" t="n"/>
      <c r="AC477" s="53" t="n"/>
      <c r="AD477" s="53" t="n"/>
      <c r="AE477" s="53" t="n"/>
      <c r="AF477" s="53" t="n"/>
      <c r="AG477" s="53" t="n"/>
      <c r="AH477" s="53" t="n"/>
      <c r="AI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c r="AA478" s="53" t="n"/>
      <c r="AB478" s="53" t="n"/>
      <c r="AC478" s="53" t="n"/>
      <c r="AD478" s="53" t="n"/>
      <c r="AE478" s="53" t="n"/>
      <c r="AF478" s="53" t="n"/>
      <c r="AG478" s="53" t="n"/>
      <c r="AH478" s="53" t="n"/>
      <c r="AI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c r="AA479" s="53" t="n"/>
      <c r="AB479" s="53" t="n"/>
      <c r="AC479" s="53" t="n"/>
      <c r="AD479" s="53" t="n"/>
      <c r="AE479" s="53" t="n"/>
      <c r="AF479" s="53" t="n"/>
      <c r="AG479" s="53" t="n"/>
      <c r="AH479" s="53" t="n"/>
      <c r="AI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c r="AA480" s="53" t="n"/>
      <c r="AB480" s="53" t="n"/>
      <c r="AC480" s="53" t="n"/>
      <c r="AD480" s="53" t="n"/>
      <c r="AE480" s="53" t="n"/>
      <c r="AF480" s="53" t="n"/>
      <c r="AG480" s="53" t="n"/>
      <c r="AH480" s="53" t="n"/>
      <c r="AI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c r="AA481" s="53" t="n"/>
      <c r="AB481" s="53" t="n"/>
      <c r="AC481" s="53" t="n"/>
      <c r="AD481" s="53" t="n"/>
      <c r="AE481" s="53" t="n"/>
      <c r="AF481" s="53" t="n"/>
      <c r="AG481" s="53" t="n"/>
      <c r="AH481" s="53" t="n"/>
      <c r="AI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c r="AA482" s="53" t="n"/>
      <c r="AB482" s="53" t="n"/>
      <c r="AC482" s="53" t="n"/>
      <c r="AD482" s="53" t="n"/>
      <c r="AE482" s="53" t="n"/>
      <c r="AF482" s="53" t="n"/>
      <c r="AG482" s="53" t="n"/>
      <c r="AH482" s="53" t="n"/>
      <c r="AI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c r="AA483" s="53" t="n"/>
      <c r="AB483" s="53" t="n"/>
      <c r="AC483" s="53" t="n"/>
      <c r="AD483" s="53" t="n"/>
      <c r="AE483" s="53" t="n"/>
      <c r="AF483" s="53" t="n"/>
      <c r="AG483" s="53" t="n"/>
      <c r="AH483" s="53" t="n"/>
      <c r="AI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c r="AA484" s="53" t="n"/>
      <c r="AB484" s="53" t="n"/>
      <c r="AC484" s="53" t="n"/>
      <c r="AD484" s="53" t="n"/>
      <c r="AE484" s="53" t="n"/>
      <c r="AF484" s="53" t="n"/>
      <c r="AG484" s="53" t="n"/>
      <c r="AH484" s="53" t="n"/>
      <c r="AI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c r="AA485" s="53" t="n"/>
      <c r="AB485" s="53" t="n"/>
      <c r="AC485" s="53" t="n"/>
      <c r="AD485" s="53" t="n"/>
      <c r="AE485" s="53" t="n"/>
      <c r="AF485" s="53" t="n"/>
      <c r="AG485" s="53" t="n"/>
      <c r="AH485" s="53" t="n"/>
      <c r="AI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c r="AA486" s="53" t="n"/>
      <c r="AB486" s="53" t="n"/>
      <c r="AC486" s="53" t="n"/>
      <c r="AD486" s="53" t="n"/>
      <c r="AE486" s="53" t="n"/>
      <c r="AF486" s="53" t="n"/>
      <c r="AG486" s="53" t="n"/>
      <c r="AH486" s="53" t="n"/>
      <c r="AI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c r="AA487" s="53" t="n"/>
      <c r="AB487" s="53" t="n"/>
      <c r="AC487" s="53" t="n"/>
      <c r="AD487" s="53" t="n"/>
      <c r="AE487" s="53" t="n"/>
      <c r="AF487" s="53" t="n"/>
      <c r="AG487" s="53" t="n"/>
      <c r="AH487" s="53" t="n"/>
      <c r="AI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c r="AA488" s="53" t="n"/>
      <c r="AB488" s="53" t="n"/>
      <c r="AC488" s="53" t="n"/>
      <c r="AD488" s="53" t="n"/>
      <c r="AE488" s="53" t="n"/>
      <c r="AF488" s="53" t="n"/>
      <c r="AG488" s="53" t="n"/>
      <c r="AH488" s="53" t="n"/>
      <c r="AI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c r="AA489" s="53" t="n"/>
      <c r="AB489" s="53" t="n"/>
      <c r="AC489" s="53" t="n"/>
      <c r="AD489" s="53" t="n"/>
      <c r="AE489" s="53" t="n"/>
      <c r="AF489" s="53" t="n"/>
      <c r="AG489" s="53" t="n"/>
      <c r="AH489" s="53" t="n"/>
      <c r="AI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c r="AA490" s="53" t="n"/>
      <c r="AB490" s="53" t="n"/>
      <c r="AC490" s="53" t="n"/>
      <c r="AD490" s="53" t="n"/>
      <c r="AE490" s="53" t="n"/>
      <c r="AF490" s="53" t="n"/>
      <c r="AG490" s="53" t="n"/>
      <c r="AH490" s="53" t="n"/>
      <c r="AI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c r="AA491" s="53" t="n"/>
      <c r="AB491" s="53" t="n"/>
      <c r="AC491" s="53" t="n"/>
      <c r="AD491" s="53" t="n"/>
      <c r="AE491" s="53" t="n"/>
      <c r="AF491" s="53" t="n"/>
      <c r="AG491" s="53" t="n"/>
      <c r="AH491" s="53" t="n"/>
      <c r="AI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c r="AA492" s="53" t="n"/>
      <c r="AB492" s="53" t="n"/>
      <c r="AC492" s="53" t="n"/>
      <c r="AD492" s="53" t="n"/>
      <c r="AE492" s="53" t="n"/>
      <c r="AF492" s="53" t="n"/>
      <c r="AG492" s="53" t="n"/>
      <c r="AH492" s="53" t="n"/>
      <c r="AI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c r="AA493" s="53" t="n"/>
      <c r="AB493" s="53" t="n"/>
      <c r="AC493" s="53" t="n"/>
      <c r="AD493" s="53" t="n"/>
      <c r="AE493" s="53" t="n"/>
      <c r="AF493" s="53" t="n"/>
      <c r="AG493" s="53" t="n"/>
      <c r="AH493" s="53" t="n"/>
      <c r="AI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c r="AA494" s="53" t="n"/>
      <c r="AB494" s="53" t="n"/>
      <c r="AC494" s="53" t="n"/>
      <c r="AD494" s="53" t="n"/>
      <c r="AE494" s="53" t="n"/>
      <c r="AF494" s="53" t="n"/>
      <c r="AG494" s="53" t="n"/>
      <c r="AH494" s="53" t="n"/>
      <c r="AI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c r="AA495" s="53" t="n"/>
      <c r="AB495" s="53" t="n"/>
      <c r="AC495" s="53" t="n"/>
      <c r="AD495" s="53" t="n"/>
      <c r="AE495" s="53" t="n"/>
      <c r="AF495" s="53" t="n"/>
      <c r="AG495" s="53" t="n"/>
      <c r="AH495" s="53" t="n"/>
      <c r="AI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c r="AA496" s="53" t="n"/>
      <c r="AB496" s="53" t="n"/>
      <c r="AC496" s="53" t="n"/>
      <c r="AD496" s="53" t="n"/>
      <c r="AE496" s="53" t="n"/>
      <c r="AF496" s="53" t="n"/>
      <c r="AG496" s="53" t="n"/>
      <c r="AH496" s="53" t="n"/>
      <c r="AI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c r="AA497" s="53" t="n"/>
      <c r="AB497" s="53" t="n"/>
      <c r="AC497" s="53" t="n"/>
      <c r="AD497" s="53" t="n"/>
      <c r="AE497" s="53" t="n"/>
      <c r="AF497" s="53" t="n"/>
      <c r="AG497" s="53" t="n"/>
      <c r="AH497" s="53" t="n"/>
      <c r="AI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c r="AA498" s="53" t="n"/>
      <c r="AB498" s="53" t="n"/>
      <c r="AC498" s="53" t="n"/>
      <c r="AD498" s="53" t="n"/>
      <c r="AE498" s="53" t="n"/>
      <c r="AF498" s="53" t="n"/>
      <c r="AG498" s="53" t="n"/>
      <c r="AH498" s="53" t="n"/>
      <c r="AI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c r="AA499" s="53" t="n"/>
      <c r="AB499" s="53" t="n"/>
      <c r="AC499" s="53" t="n"/>
      <c r="AD499" s="53" t="n"/>
      <c r="AE499" s="53" t="n"/>
      <c r="AF499" s="53" t="n"/>
      <c r="AG499" s="53" t="n"/>
      <c r="AH499" s="53" t="n"/>
      <c r="AI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c r="AA500" s="53" t="n"/>
      <c r="AB500" s="53" t="n"/>
      <c r="AC500" s="53" t="n"/>
      <c r="AD500" s="53" t="n"/>
      <c r="AE500" s="53" t="n"/>
      <c r="AF500" s="53" t="n"/>
      <c r="AG500" s="53" t="n"/>
      <c r="AH500" s="53" t="n"/>
      <c r="AI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c r="AA501" s="53" t="n"/>
      <c r="AB501" s="53" t="n"/>
      <c r="AC501" s="53" t="n"/>
      <c r="AD501" s="53" t="n"/>
      <c r="AE501" s="53" t="n"/>
      <c r="AF501" s="53" t="n"/>
      <c r="AG501" s="53" t="n"/>
      <c r="AH501" s="53" t="n"/>
      <c r="AI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c r="AA502" s="53" t="n"/>
      <c r="AB502" s="53" t="n"/>
      <c r="AC502" s="53" t="n"/>
      <c r="AD502" s="53" t="n"/>
      <c r="AE502" s="53" t="n"/>
      <c r="AF502" s="53" t="n"/>
      <c r="AG502" s="53" t="n"/>
      <c r="AH502" s="53" t="n"/>
      <c r="AI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c r="AA503" s="53" t="n"/>
      <c r="AB503" s="53" t="n"/>
      <c r="AC503" s="53" t="n"/>
      <c r="AD503" s="53" t="n"/>
      <c r="AE503" s="53" t="n"/>
      <c r="AF503" s="53" t="n"/>
      <c r="AG503" s="53" t="n"/>
      <c r="AH503" s="53" t="n"/>
      <c r="AI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c r="AA504" s="53" t="n"/>
      <c r="AB504" s="53" t="n"/>
      <c r="AC504" s="53" t="n"/>
      <c r="AD504" s="53" t="n"/>
      <c r="AE504" s="53" t="n"/>
      <c r="AF504" s="53" t="n"/>
      <c r="AG504" s="53" t="n"/>
      <c r="AH504" s="53" t="n"/>
      <c r="AI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c r="AA505" s="53" t="n"/>
      <c r="AB505" s="53" t="n"/>
      <c r="AC505" s="53" t="n"/>
      <c r="AD505" s="53" t="n"/>
      <c r="AE505" s="53" t="n"/>
      <c r="AF505" s="53" t="n"/>
      <c r="AG505" s="53" t="n"/>
      <c r="AH505" s="53" t="n"/>
      <c r="AI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c r="AA506" s="53" t="n"/>
      <c r="AB506" s="53" t="n"/>
      <c r="AC506" s="53" t="n"/>
      <c r="AD506" s="53" t="n"/>
      <c r="AE506" s="53" t="n"/>
      <c r="AF506" s="53" t="n"/>
      <c r="AG506" s="53" t="n"/>
      <c r="AH506" s="53" t="n"/>
      <c r="AI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c r="AA507" s="53" t="n"/>
      <c r="AB507" s="53" t="n"/>
      <c r="AC507" s="53" t="n"/>
      <c r="AD507" s="53" t="n"/>
      <c r="AE507" s="53" t="n"/>
      <c r="AF507" s="53" t="n"/>
      <c r="AG507" s="53" t="n"/>
      <c r="AH507" s="53" t="n"/>
      <c r="AI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c r="AA508" s="53" t="n"/>
      <c r="AB508" s="53" t="n"/>
      <c r="AC508" s="53" t="n"/>
      <c r="AD508" s="53" t="n"/>
      <c r="AE508" s="53" t="n"/>
      <c r="AF508" s="53" t="n"/>
      <c r="AG508" s="53" t="n"/>
      <c r="AH508" s="53" t="n"/>
      <c r="AI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c r="AA509" s="53" t="n"/>
      <c r="AB509" s="53" t="n"/>
      <c r="AC509" s="53" t="n"/>
      <c r="AD509" s="53" t="n"/>
      <c r="AE509" s="53" t="n"/>
      <c r="AF509" s="53" t="n"/>
      <c r="AG509" s="53" t="n"/>
      <c r="AH509" s="53" t="n"/>
      <c r="AI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c r="AA510" s="53" t="n"/>
      <c r="AB510" s="53" t="n"/>
      <c r="AC510" s="53" t="n"/>
      <c r="AD510" s="53" t="n"/>
      <c r="AE510" s="53" t="n"/>
      <c r="AF510" s="53" t="n"/>
      <c r="AG510" s="53" t="n"/>
      <c r="AH510" s="53" t="n"/>
      <c r="AI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c r="AA511" s="53" t="n"/>
      <c r="AB511" s="53" t="n"/>
      <c r="AC511" s="53" t="n"/>
      <c r="AD511" s="53" t="n"/>
      <c r="AE511" s="53" t="n"/>
      <c r="AF511" s="53" t="n"/>
      <c r="AG511" s="53" t="n"/>
      <c r="AH511" s="53" t="n"/>
      <c r="AI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c r="AA512" s="53" t="n"/>
      <c r="AB512" s="53" t="n"/>
      <c r="AC512" s="53" t="n"/>
      <c r="AD512" s="53" t="n"/>
      <c r="AE512" s="53" t="n"/>
      <c r="AF512" s="53" t="n"/>
      <c r="AG512" s="53" t="n"/>
      <c r="AH512" s="53" t="n"/>
      <c r="AI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c r="AA513" s="53" t="n"/>
      <c r="AB513" s="53" t="n"/>
      <c r="AC513" s="53" t="n"/>
      <c r="AD513" s="53" t="n"/>
      <c r="AE513" s="53" t="n"/>
      <c r="AF513" s="53" t="n"/>
      <c r="AG513" s="53" t="n"/>
      <c r="AH513" s="53" t="n"/>
      <c r="AI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c r="AA514" s="53" t="n"/>
      <c r="AB514" s="53" t="n"/>
      <c r="AC514" s="53" t="n"/>
      <c r="AD514" s="53" t="n"/>
      <c r="AE514" s="53" t="n"/>
      <c r="AF514" s="53" t="n"/>
      <c r="AG514" s="53" t="n"/>
      <c r="AH514" s="53" t="n"/>
      <c r="AI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c r="AA515" s="53" t="n"/>
      <c r="AB515" s="53" t="n"/>
      <c r="AC515" s="53" t="n"/>
      <c r="AD515" s="53" t="n"/>
      <c r="AE515" s="53" t="n"/>
      <c r="AF515" s="53" t="n"/>
      <c r="AG515" s="53" t="n"/>
      <c r="AH515" s="53" t="n"/>
      <c r="AI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c r="AA516" s="53" t="n"/>
      <c r="AB516" s="53" t="n"/>
      <c r="AC516" s="53" t="n"/>
      <c r="AD516" s="53" t="n"/>
      <c r="AE516" s="53" t="n"/>
      <c r="AF516" s="53" t="n"/>
      <c r="AG516" s="53" t="n"/>
      <c r="AH516" s="53" t="n"/>
      <c r="AI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c r="AA517" s="53" t="n"/>
      <c r="AB517" s="53" t="n"/>
      <c r="AC517" s="53" t="n"/>
      <c r="AD517" s="53" t="n"/>
      <c r="AE517" s="53" t="n"/>
      <c r="AF517" s="53" t="n"/>
      <c r="AG517" s="53" t="n"/>
      <c r="AH517" s="53" t="n"/>
      <c r="AI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c r="AA518" s="53" t="n"/>
      <c r="AB518" s="53" t="n"/>
      <c r="AC518" s="53" t="n"/>
      <c r="AD518" s="53" t="n"/>
      <c r="AE518" s="53" t="n"/>
      <c r="AF518" s="53" t="n"/>
      <c r="AG518" s="53" t="n"/>
      <c r="AH518" s="53" t="n"/>
      <c r="AI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c r="AA519" s="53" t="n"/>
      <c r="AB519" s="53" t="n"/>
      <c r="AC519" s="53" t="n"/>
      <c r="AD519" s="53" t="n"/>
      <c r="AE519" s="53" t="n"/>
      <c r="AF519" s="53" t="n"/>
      <c r="AG519" s="53" t="n"/>
      <c r="AH519" s="53" t="n"/>
      <c r="AI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c r="AA520" s="53" t="n"/>
      <c r="AB520" s="53" t="n"/>
      <c r="AC520" s="53" t="n"/>
      <c r="AD520" s="53" t="n"/>
      <c r="AE520" s="53" t="n"/>
      <c r="AF520" s="53" t="n"/>
      <c r="AG520" s="53" t="n"/>
      <c r="AH520" s="53" t="n"/>
      <c r="AI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c r="AA521" s="53" t="n"/>
      <c r="AB521" s="53" t="n"/>
      <c r="AC521" s="53" t="n"/>
      <c r="AD521" s="53" t="n"/>
      <c r="AE521" s="53" t="n"/>
      <c r="AF521" s="53" t="n"/>
      <c r="AG521" s="53" t="n"/>
      <c r="AH521" s="53" t="n"/>
      <c r="AI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c r="AA522" s="53" t="n"/>
      <c r="AB522" s="53" t="n"/>
      <c r="AC522" s="53" t="n"/>
      <c r="AD522" s="53" t="n"/>
      <c r="AE522" s="53" t="n"/>
      <c r="AF522" s="53" t="n"/>
      <c r="AG522" s="53" t="n"/>
      <c r="AH522" s="53" t="n"/>
      <c r="AI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c r="AA523" s="53" t="n"/>
      <c r="AB523" s="53" t="n"/>
      <c r="AC523" s="53" t="n"/>
      <c r="AD523" s="53" t="n"/>
      <c r="AE523" s="53" t="n"/>
      <c r="AF523" s="53" t="n"/>
      <c r="AG523" s="53" t="n"/>
      <c r="AH523" s="53" t="n"/>
      <c r="AI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c r="AA524" s="53" t="n"/>
      <c r="AB524" s="53" t="n"/>
      <c r="AC524" s="53" t="n"/>
      <c r="AD524" s="53" t="n"/>
      <c r="AE524" s="53" t="n"/>
      <c r="AF524" s="53" t="n"/>
      <c r="AG524" s="53" t="n"/>
      <c r="AH524" s="53" t="n"/>
      <c r="AI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c r="AA525" s="53" t="n"/>
      <c r="AB525" s="53" t="n"/>
      <c r="AC525" s="53" t="n"/>
      <c r="AD525" s="53" t="n"/>
      <c r="AE525" s="53" t="n"/>
      <c r="AF525" s="53" t="n"/>
      <c r="AG525" s="53" t="n"/>
      <c r="AH525" s="53" t="n"/>
      <c r="AI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c r="AA526" s="53" t="n"/>
      <c r="AB526" s="53" t="n"/>
      <c r="AC526" s="53" t="n"/>
      <c r="AD526" s="53" t="n"/>
      <c r="AE526" s="53" t="n"/>
      <c r="AF526" s="53" t="n"/>
      <c r="AG526" s="53" t="n"/>
      <c r="AH526" s="53" t="n"/>
      <c r="AI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c r="AA527" s="53" t="n"/>
      <c r="AB527" s="53" t="n"/>
      <c r="AC527" s="53" t="n"/>
      <c r="AD527" s="53" t="n"/>
      <c r="AE527" s="53" t="n"/>
      <c r="AF527" s="53" t="n"/>
      <c r="AG527" s="53" t="n"/>
      <c r="AH527" s="53" t="n"/>
      <c r="AI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c r="AA528" s="53" t="n"/>
      <c r="AB528" s="53" t="n"/>
      <c r="AC528" s="53" t="n"/>
      <c r="AD528" s="53" t="n"/>
      <c r="AE528" s="53" t="n"/>
      <c r="AF528" s="53" t="n"/>
      <c r="AG528" s="53" t="n"/>
      <c r="AH528" s="53" t="n"/>
      <c r="AI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c r="AA529" s="53" t="n"/>
      <c r="AB529" s="53" t="n"/>
      <c r="AC529" s="53" t="n"/>
      <c r="AD529" s="53" t="n"/>
      <c r="AE529" s="53" t="n"/>
      <c r="AF529" s="53" t="n"/>
      <c r="AG529" s="53" t="n"/>
      <c r="AH529" s="53" t="n"/>
      <c r="AI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c r="AA530" s="53" t="n"/>
      <c r="AB530" s="53" t="n"/>
      <c r="AC530" s="53" t="n"/>
      <c r="AD530" s="53" t="n"/>
      <c r="AE530" s="53" t="n"/>
      <c r="AF530" s="53" t="n"/>
      <c r="AG530" s="53" t="n"/>
      <c r="AH530" s="53" t="n"/>
      <c r="AI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c r="AA531" s="53" t="n"/>
      <c r="AB531" s="53" t="n"/>
      <c r="AC531" s="53" t="n"/>
      <c r="AD531" s="53" t="n"/>
      <c r="AE531" s="53" t="n"/>
      <c r="AF531" s="53" t="n"/>
      <c r="AG531" s="53" t="n"/>
      <c r="AH531" s="53" t="n"/>
      <c r="AI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c r="AA532" s="53" t="n"/>
      <c r="AB532" s="53" t="n"/>
      <c r="AC532" s="53" t="n"/>
      <c r="AD532" s="53" t="n"/>
      <c r="AE532" s="53" t="n"/>
      <c r="AF532" s="53" t="n"/>
      <c r="AG532" s="53" t="n"/>
      <c r="AH532" s="53" t="n"/>
      <c r="AI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c r="AA533" s="53" t="n"/>
      <c r="AB533" s="53" t="n"/>
      <c r="AC533" s="53" t="n"/>
      <c r="AD533" s="53" t="n"/>
      <c r="AE533" s="53" t="n"/>
      <c r="AF533" s="53" t="n"/>
      <c r="AG533" s="53" t="n"/>
      <c r="AH533" s="53" t="n"/>
      <c r="AI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c r="AA534" s="53" t="n"/>
      <c r="AB534" s="53" t="n"/>
      <c r="AC534" s="53" t="n"/>
      <c r="AD534" s="53" t="n"/>
      <c r="AE534" s="53" t="n"/>
      <c r="AF534" s="53" t="n"/>
      <c r="AG534" s="53" t="n"/>
      <c r="AH534" s="53" t="n"/>
      <c r="AI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c r="AA535" s="53" t="n"/>
      <c r="AB535" s="53" t="n"/>
      <c r="AC535" s="53" t="n"/>
      <c r="AD535" s="53" t="n"/>
      <c r="AE535" s="53" t="n"/>
      <c r="AF535" s="53" t="n"/>
      <c r="AG535" s="53" t="n"/>
      <c r="AH535" s="53" t="n"/>
      <c r="AI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c r="AA536" s="53" t="n"/>
      <c r="AB536" s="53" t="n"/>
      <c r="AC536" s="53" t="n"/>
      <c r="AD536" s="53" t="n"/>
      <c r="AE536" s="53" t="n"/>
      <c r="AF536" s="53" t="n"/>
      <c r="AG536" s="53" t="n"/>
      <c r="AH536" s="53" t="n"/>
      <c r="AI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c r="AA537" s="53" t="n"/>
      <c r="AB537" s="53" t="n"/>
      <c r="AC537" s="53" t="n"/>
      <c r="AD537" s="53" t="n"/>
      <c r="AE537" s="53" t="n"/>
      <c r="AF537" s="53" t="n"/>
      <c r="AG537" s="53" t="n"/>
      <c r="AH537" s="53" t="n"/>
      <c r="AI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c r="AA538" s="53" t="n"/>
      <c r="AB538" s="53" t="n"/>
      <c r="AC538" s="53" t="n"/>
      <c r="AD538" s="53" t="n"/>
      <c r="AE538" s="53" t="n"/>
      <c r="AF538" s="53" t="n"/>
      <c r="AG538" s="53" t="n"/>
      <c r="AH538" s="53" t="n"/>
      <c r="AI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c r="AA539" s="53" t="n"/>
      <c r="AB539" s="53" t="n"/>
      <c r="AC539" s="53" t="n"/>
      <c r="AD539" s="53" t="n"/>
      <c r="AE539" s="53" t="n"/>
      <c r="AF539" s="53" t="n"/>
      <c r="AG539" s="53" t="n"/>
      <c r="AH539" s="53" t="n"/>
      <c r="AI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c r="AA540" s="53" t="n"/>
      <c r="AB540" s="53" t="n"/>
      <c r="AC540" s="53" t="n"/>
      <c r="AD540" s="53" t="n"/>
      <c r="AE540" s="53" t="n"/>
      <c r="AF540" s="53" t="n"/>
      <c r="AG540" s="53" t="n"/>
      <c r="AH540" s="53" t="n"/>
      <c r="AI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c r="AA541" s="53" t="n"/>
      <c r="AB541" s="53" t="n"/>
      <c r="AC541" s="53" t="n"/>
      <c r="AD541" s="53" t="n"/>
      <c r="AE541" s="53" t="n"/>
      <c r="AF541" s="53" t="n"/>
      <c r="AG541" s="53" t="n"/>
      <c r="AH541" s="53" t="n"/>
      <c r="AI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c r="AA542" s="53" t="n"/>
      <c r="AB542" s="53" t="n"/>
      <c r="AC542" s="53" t="n"/>
      <c r="AD542" s="53" t="n"/>
      <c r="AE542" s="53" t="n"/>
      <c r="AF542" s="53" t="n"/>
      <c r="AG542" s="53" t="n"/>
      <c r="AH542" s="53" t="n"/>
      <c r="AI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c r="AA543" s="53" t="n"/>
      <c r="AB543" s="53" t="n"/>
      <c r="AC543" s="53" t="n"/>
      <c r="AD543" s="53" t="n"/>
      <c r="AE543" s="53" t="n"/>
      <c r="AF543" s="53" t="n"/>
      <c r="AG543" s="53" t="n"/>
      <c r="AH543" s="53" t="n"/>
      <c r="AI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c r="AA544" s="53" t="n"/>
      <c r="AB544" s="53" t="n"/>
      <c r="AC544" s="53" t="n"/>
      <c r="AD544" s="53" t="n"/>
      <c r="AE544" s="53" t="n"/>
      <c r="AF544" s="53" t="n"/>
      <c r="AG544" s="53" t="n"/>
      <c r="AH544" s="53" t="n"/>
      <c r="AI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c r="AA545" s="53" t="n"/>
      <c r="AB545" s="53" t="n"/>
      <c r="AC545" s="53" t="n"/>
      <c r="AD545" s="53" t="n"/>
      <c r="AE545" s="53" t="n"/>
      <c r="AF545" s="53" t="n"/>
      <c r="AG545" s="53" t="n"/>
      <c r="AH545" s="53" t="n"/>
      <c r="AI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c r="AA546" s="53" t="n"/>
      <c r="AB546" s="53" t="n"/>
      <c r="AC546" s="53" t="n"/>
      <c r="AD546" s="53" t="n"/>
      <c r="AE546" s="53" t="n"/>
      <c r="AF546" s="53" t="n"/>
      <c r="AG546" s="53" t="n"/>
      <c r="AH546" s="53" t="n"/>
      <c r="AI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c r="AA547" s="53" t="n"/>
      <c r="AB547" s="53" t="n"/>
      <c r="AC547" s="53" t="n"/>
      <c r="AD547" s="53" t="n"/>
      <c r="AE547" s="53" t="n"/>
      <c r="AF547" s="53" t="n"/>
      <c r="AG547" s="53" t="n"/>
      <c r="AH547" s="53" t="n"/>
      <c r="AI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c r="AA548" s="53" t="n"/>
      <c r="AB548" s="53" t="n"/>
      <c r="AC548" s="53" t="n"/>
      <c r="AD548" s="53" t="n"/>
      <c r="AE548" s="53" t="n"/>
      <c r="AF548" s="53" t="n"/>
      <c r="AG548" s="53" t="n"/>
      <c r="AH548" s="53" t="n"/>
      <c r="AI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c r="AA549" s="53" t="n"/>
      <c r="AB549" s="53" t="n"/>
      <c r="AC549" s="53" t="n"/>
      <c r="AD549" s="53" t="n"/>
      <c r="AE549" s="53" t="n"/>
      <c r="AF549" s="53" t="n"/>
      <c r="AG549" s="53" t="n"/>
      <c r="AH549" s="53" t="n"/>
      <c r="AI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c r="AA550" s="53" t="n"/>
      <c r="AB550" s="53" t="n"/>
      <c r="AC550" s="53" t="n"/>
      <c r="AD550" s="53" t="n"/>
      <c r="AE550" s="53" t="n"/>
      <c r="AF550" s="53" t="n"/>
      <c r="AG550" s="53" t="n"/>
      <c r="AH550" s="53" t="n"/>
      <c r="AI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c r="AA551" s="53" t="n"/>
      <c r="AB551" s="53" t="n"/>
      <c r="AC551" s="53" t="n"/>
      <c r="AD551" s="53" t="n"/>
      <c r="AE551" s="53" t="n"/>
      <c r="AF551" s="53" t="n"/>
      <c r="AG551" s="53" t="n"/>
      <c r="AH551" s="53" t="n"/>
      <c r="AI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c r="AA552" s="53" t="n"/>
      <c r="AB552" s="53" t="n"/>
      <c r="AC552" s="53" t="n"/>
      <c r="AD552" s="53" t="n"/>
      <c r="AE552" s="53" t="n"/>
      <c r="AF552" s="53" t="n"/>
      <c r="AG552" s="53" t="n"/>
      <c r="AH552" s="53" t="n"/>
      <c r="AI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c r="AA553" s="53" t="n"/>
      <c r="AB553" s="53" t="n"/>
      <c r="AC553" s="53" t="n"/>
      <c r="AD553" s="53" t="n"/>
      <c r="AE553" s="53" t="n"/>
      <c r="AF553" s="53" t="n"/>
      <c r="AG553" s="53" t="n"/>
      <c r="AH553" s="53" t="n"/>
      <c r="AI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c r="AA554" s="53" t="n"/>
      <c r="AB554" s="53" t="n"/>
      <c r="AC554" s="53" t="n"/>
      <c r="AD554" s="53" t="n"/>
      <c r="AE554" s="53" t="n"/>
      <c r="AF554" s="53" t="n"/>
      <c r="AG554" s="53" t="n"/>
      <c r="AH554" s="53" t="n"/>
      <c r="AI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c r="AA555" s="53" t="n"/>
      <c r="AB555" s="53" t="n"/>
      <c r="AC555" s="53" t="n"/>
      <c r="AD555" s="53" t="n"/>
      <c r="AE555" s="53" t="n"/>
      <c r="AF555" s="53" t="n"/>
      <c r="AG555" s="53" t="n"/>
      <c r="AH555" s="53" t="n"/>
      <c r="AI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c r="AA556" s="53" t="n"/>
      <c r="AB556" s="53" t="n"/>
      <c r="AC556" s="53" t="n"/>
      <c r="AD556" s="53" t="n"/>
      <c r="AE556" s="53" t="n"/>
      <c r="AF556" s="53" t="n"/>
      <c r="AG556" s="53" t="n"/>
      <c r="AH556" s="53" t="n"/>
      <c r="AI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c r="AA557" s="53" t="n"/>
      <c r="AB557" s="53" t="n"/>
      <c r="AC557" s="53" t="n"/>
      <c r="AD557" s="53" t="n"/>
      <c r="AE557" s="53" t="n"/>
      <c r="AF557" s="53" t="n"/>
      <c r="AG557" s="53" t="n"/>
      <c r="AH557" s="53" t="n"/>
      <c r="AI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c r="AA558" s="53" t="n"/>
      <c r="AB558" s="53" t="n"/>
      <c r="AC558" s="53" t="n"/>
      <c r="AD558" s="53" t="n"/>
      <c r="AE558" s="53" t="n"/>
      <c r="AF558" s="53" t="n"/>
      <c r="AG558" s="53" t="n"/>
      <c r="AH558" s="53" t="n"/>
      <c r="AI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c r="AA559" s="53" t="n"/>
      <c r="AB559" s="53" t="n"/>
      <c r="AC559" s="53" t="n"/>
      <c r="AD559" s="53" t="n"/>
      <c r="AE559" s="53" t="n"/>
      <c r="AF559" s="53" t="n"/>
      <c r="AG559" s="53" t="n"/>
      <c r="AH559" s="53" t="n"/>
      <c r="AI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c r="AA560" s="53" t="n"/>
      <c r="AB560" s="53" t="n"/>
      <c r="AC560" s="53" t="n"/>
      <c r="AD560" s="53" t="n"/>
      <c r="AE560" s="53" t="n"/>
      <c r="AF560" s="53" t="n"/>
      <c r="AG560" s="53" t="n"/>
      <c r="AH560" s="53" t="n"/>
      <c r="AI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c r="AA561" s="53" t="n"/>
      <c r="AB561" s="53" t="n"/>
      <c r="AC561" s="53" t="n"/>
      <c r="AD561" s="53" t="n"/>
      <c r="AE561" s="53" t="n"/>
      <c r="AF561" s="53" t="n"/>
      <c r="AG561" s="53" t="n"/>
      <c r="AH561" s="53" t="n"/>
      <c r="AI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c r="AA562" s="53" t="n"/>
      <c r="AB562" s="53" t="n"/>
      <c r="AC562" s="53" t="n"/>
      <c r="AD562" s="53" t="n"/>
      <c r="AE562" s="53" t="n"/>
      <c r="AF562" s="53" t="n"/>
      <c r="AG562" s="53" t="n"/>
      <c r="AH562" s="53" t="n"/>
      <c r="AI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c r="AA563" s="53" t="n"/>
      <c r="AB563" s="53" t="n"/>
      <c r="AC563" s="53" t="n"/>
      <c r="AD563" s="53" t="n"/>
      <c r="AE563" s="53" t="n"/>
      <c r="AF563" s="53" t="n"/>
      <c r="AG563" s="53" t="n"/>
      <c r="AH563" s="53" t="n"/>
      <c r="AI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c r="AA564" s="53" t="n"/>
      <c r="AB564" s="53" t="n"/>
      <c r="AC564" s="53" t="n"/>
      <c r="AD564" s="53" t="n"/>
      <c r="AE564" s="53" t="n"/>
      <c r="AF564" s="53" t="n"/>
      <c r="AG564" s="53" t="n"/>
      <c r="AH564" s="53" t="n"/>
      <c r="AI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c r="AA565" s="53" t="n"/>
      <c r="AB565" s="53" t="n"/>
      <c r="AC565" s="53" t="n"/>
      <c r="AD565" s="53" t="n"/>
      <c r="AE565" s="53" t="n"/>
      <c r="AF565" s="53" t="n"/>
      <c r="AG565" s="53" t="n"/>
      <c r="AH565" s="53" t="n"/>
      <c r="AI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c r="AA566" s="53" t="n"/>
      <c r="AB566" s="53" t="n"/>
      <c r="AC566" s="53" t="n"/>
      <c r="AD566" s="53" t="n"/>
      <c r="AE566" s="53" t="n"/>
      <c r="AF566" s="53" t="n"/>
      <c r="AG566" s="53" t="n"/>
      <c r="AH566" s="53" t="n"/>
      <c r="AI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c r="AA567" s="53" t="n"/>
      <c r="AB567" s="53" t="n"/>
      <c r="AC567" s="53" t="n"/>
      <c r="AD567" s="53" t="n"/>
      <c r="AE567" s="53" t="n"/>
      <c r="AF567" s="53" t="n"/>
      <c r="AG567" s="53" t="n"/>
      <c r="AH567" s="53" t="n"/>
      <c r="AI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c r="AA568" s="53" t="n"/>
      <c r="AB568" s="53" t="n"/>
      <c r="AC568" s="53" t="n"/>
      <c r="AD568" s="53" t="n"/>
      <c r="AE568" s="53" t="n"/>
      <c r="AF568" s="53" t="n"/>
      <c r="AG568" s="53" t="n"/>
      <c r="AH568" s="53" t="n"/>
      <c r="AI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c r="AA569" s="53" t="n"/>
      <c r="AB569" s="53" t="n"/>
      <c r="AC569" s="53" t="n"/>
      <c r="AD569" s="53" t="n"/>
      <c r="AE569" s="53" t="n"/>
      <c r="AF569" s="53" t="n"/>
      <c r="AG569" s="53" t="n"/>
      <c r="AH569" s="53" t="n"/>
      <c r="AI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c r="AA570" s="53" t="n"/>
      <c r="AB570" s="53" t="n"/>
      <c r="AC570" s="53" t="n"/>
      <c r="AD570" s="53" t="n"/>
      <c r="AE570" s="53" t="n"/>
      <c r="AF570" s="53" t="n"/>
      <c r="AG570" s="53" t="n"/>
      <c r="AH570" s="53" t="n"/>
      <c r="AI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c r="AA571" s="53" t="n"/>
      <c r="AB571" s="53" t="n"/>
      <c r="AC571" s="53" t="n"/>
      <c r="AD571" s="53" t="n"/>
      <c r="AE571" s="53" t="n"/>
      <c r="AF571" s="53" t="n"/>
      <c r="AG571" s="53" t="n"/>
      <c r="AH571" s="53" t="n"/>
      <c r="AI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c r="AA572" s="53" t="n"/>
      <c r="AB572" s="53" t="n"/>
      <c r="AC572" s="53" t="n"/>
      <c r="AD572" s="53" t="n"/>
      <c r="AE572" s="53" t="n"/>
      <c r="AF572" s="53" t="n"/>
      <c r="AG572" s="53" t="n"/>
      <c r="AH572" s="53" t="n"/>
      <c r="AI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c r="AA573" s="53" t="n"/>
      <c r="AB573" s="53" t="n"/>
      <c r="AC573" s="53" t="n"/>
      <c r="AD573" s="53" t="n"/>
      <c r="AE573" s="53" t="n"/>
      <c r="AF573" s="53" t="n"/>
      <c r="AG573" s="53" t="n"/>
      <c r="AH573" s="53" t="n"/>
      <c r="AI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c r="AA574" s="53" t="n"/>
      <c r="AB574" s="53" t="n"/>
      <c r="AC574" s="53" t="n"/>
      <c r="AD574" s="53" t="n"/>
      <c r="AE574" s="53" t="n"/>
      <c r="AF574" s="53" t="n"/>
      <c r="AG574" s="53" t="n"/>
      <c r="AH574" s="53" t="n"/>
      <c r="AI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c r="AA575" s="53" t="n"/>
      <c r="AB575" s="53" t="n"/>
      <c r="AC575" s="53" t="n"/>
      <c r="AD575" s="53" t="n"/>
      <c r="AE575" s="53" t="n"/>
      <c r="AF575" s="53" t="n"/>
      <c r="AG575" s="53" t="n"/>
      <c r="AH575" s="53" t="n"/>
      <c r="AI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c r="AA576" s="53" t="n"/>
      <c r="AB576" s="53" t="n"/>
      <c r="AC576" s="53" t="n"/>
      <c r="AD576" s="53" t="n"/>
      <c r="AE576" s="53" t="n"/>
      <c r="AF576" s="53" t="n"/>
      <c r="AG576" s="53" t="n"/>
      <c r="AH576" s="53" t="n"/>
      <c r="AI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c r="AA577" s="53" t="n"/>
      <c r="AB577" s="53" t="n"/>
      <c r="AC577" s="53" t="n"/>
      <c r="AD577" s="53" t="n"/>
      <c r="AE577" s="53" t="n"/>
      <c r="AF577" s="53" t="n"/>
      <c r="AG577" s="53" t="n"/>
      <c r="AH577" s="53" t="n"/>
      <c r="AI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c r="AA578" s="53" t="n"/>
      <c r="AB578" s="53" t="n"/>
      <c r="AC578" s="53" t="n"/>
      <c r="AD578" s="53" t="n"/>
      <c r="AE578" s="53" t="n"/>
      <c r="AF578" s="53" t="n"/>
      <c r="AG578" s="53" t="n"/>
      <c r="AH578" s="53" t="n"/>
      <c r="AI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c r="AA579" s="53" t="n"/>
      <c r="AB579" s="53" t="n"/>
      <c r="AC579" s="53" t="n"/>
      <c r="AD579" s="53" t="n"/>
      <c r="AE579" s="53" t="n"/>
      <c r="AF579" s="53" t="n"/>
      <c r="AG579" s="53" t="n"/>
      <c r="AH579" s="53" t="n"/>
      <c r="AI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c r="AA580" s="53" t="n"/>
      <c r="AB580" s="53" t="n"/>
      <c r="AC580" s="53" t="n"/>
      <c r="AD580" s="53" t="n"/>
      <c r="AE580" s="53" t="n"/>
      <c r="AF580" s="53" t="n"/>
      <c r="AG580" s="53" t="n"/>
      <c r="AH580" s="53" t="n"/>
      <c r="AI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c r="AA581" s="53" t="n"/>
      <c r="AB581" s="53" t="n"/>
      <c r="AC581" s="53" t="n"/>
      <c r="AD581" s="53" t="n"/>
      <c r="AE581" s="53" t="n"/>
      <c r="AF581" s="53" t="n"/>
      <c r="AG581" s="53" t="n"/>
      <c r="AH581" s="53" t="n"/>
      <c r="AI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c r="AA582" s="53" t="n"/>
      <c r="AB582" s="53" t="n"/>
      <c r="AC582" s="53" t="n"/>
      <c r="AD582" s="53" t="n"/>
      <c r="AE582" s="53" t="n"/>
      <c r="AF582" s="53" t="n"/>
      <c r="AG582" s="53" t="n"/>
      <c r="AH582" s="53" t="n"/>
      <c r="AI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c r="AA583" s="53" t="n"/>
      <c r="AB583" s="53" t="n"/>
      <c r="AC583" s="53" t="n"/>
      <c r="AD583" s="53" t="n"/>
      <c r="AE583" s="53" t="n"/>
      <c r="AF583" s="53" t="n"/>
      <c r="AG583" s="53" t="n"/>
      <c r="AH583" s="53" t="n"/>
      <c r="AI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c r="AA584" s="53" t="n"/>
      <c r="AB584" s="53" t="n"/>
      <c r="AC584" s="53" t="n"/>
      <c r="AD584" s="53" t="n"/>
      <c r="AE584" s="53" t="n"/>
      <c r="AF584" s="53" t="n"/>
      <c r="AG584" s="53" t="n"/>
      <c r="AH584" s="53" t="n"/>
      <c r="AI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c r="AA585" s="53" t="n"/>
      <c r="AB585" s="53" t="n"/>
      <c r="AC585" s="53" t="n"/>
      <c r="AD585" s="53" t="n"/>
      <c r="AE585" s="53" t="n"/>
      <c r="AF585" s="53" t="n"/>
      <c r="AG585" s="53" t="n"/>
      <c r="AH585" s="53" t="n"/>
      <c r="AI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c r="AA586" s="53" t="n"/>
      <c r="AB586" s="53" t="n"/>
      <c r="AC586" s="53" t="n"/>
      <c r="AD586" s="53" t="n"/>
      <c r="AE586" s="53" t="n"/>
      <c r="AF586" s="53" t="n"/>
      <c r="AG586" s="53" t="n"/>
      <c r="AH586" s="53" t="n"/>
      <c r="AI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c r="AA587" s="53" t="n"/>
      <c r="AB587" s="53" t="n"/>
      <c r="AC587" s="53" t="n"/>
      <c r="AD587" s="53" t="n"/>
      <c r="AE587" s="53" t="n"/>
      <c r="AF587" s="53" t="n"/>
      <c r="AG587" s="53" t="n"/>
      <c r="AH587" s="53" t="n"/>
      <c r="AI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c r="AA588" s="53" t="n"/>
      <c r="AB588" s="53" t="n"/>
      <c r="AC588" s="53" t="n"/>
      <c r="AD588" s="53" t="n"/>
      <c r="AE588" s="53" t="n"/>
      <c r="AF588" s="53" t="n"/>
      <c r="AG588" s="53" t="n"/>
      <c r="AH588" s="53" t="n"/>
      <c r="AI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c r="AA589" s="53" t="n"/>
      <c r="AB589" s="53" t="n"/>
      <c r="AC589" s="53" t="n"/>
      <c r="AD589" s="53" t="n"/>
      <c r="AE589" s="53" t="n"/>
      <c r="AF589" s="53" t="n"/>
      <c r="AG589" s="53" t="n"/>
      <c r="AH589" s="53" t="n"/>
      <c r="AI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c r="AA590" s="53" t="n"/>
      <c r="AB590" s="53" t="n"/>
      <c r="AC590" s="53" t="n"/>
      <c r="AD590" s="53" t="n"/>
      <c r="AE590" s="53" t="n"/>
      <c r="AF590" s="53" t="n"/>
      <c r="AG590" s="53" t="n"/>
      <c r="AH590" s="53" t="n"/>
      <c r="AI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c r="AA591" s="53" t="n"/>
      <c r="AB591" s="53" t="n"/>
      <c r="AC591" s="53" t="n"/>
      <c r="AD591" s="53" t="n"/>
      <c r="AE591" s="53" t="n"/>
      <c r="AF591" s="53" t="n"/>
      <c r="AG591" s="53" t="n"/>
      <c r="AH591" s="53" t="n"/>
      <c r="AI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c r="AA592" s="53" t="n"/>
      <c r="AB592" s="53" t="n"/>
      <c r="AC592" s="53" t="n"/>
      <c r="AD592" s="53" t="n"/>
      <c r="AE592" s="53" t="n"/>
      <c r="AF592" s="53" t="n"/>
      <c r="AG592" s="53" t="n"/>
      <c r="AH592" s="53" t="n"/>
      <c r="AI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c r="AA593" s="53" t="n"/>
      <c r="AB593" s="53" t="n"/>
      <c r="AC593" s="53" t="n"/>
      <c r="AD593" s="53" t="n"/>
      <c r="AE593" s="53" t="n"/>
      <c r="AF593" s="53" t="n"/>
      <c r="AG593" s="53" t="n"/>
      <c r="AH593" s="53" t="n"/>
      <c r="AI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c r="AA594" s="53" t="n"/>
      <c r="AB594" s="53" t="n"/>
      <c r="AC594" s="53" t="n"/>
      <c r="AD594" s="53" t="n"/>
      <c r="AE594" s="53" t="n"/>
      <c r="AF594" s="53" t="n"/>
      <c r="AG594" s="53" t="n"/>
      <c r="AH594" s="53" t="n"/>
      <c r="AI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c r="AA595" s="53" t="n"/>
      <c r="AB595" s="53" t="n"/>
      <c r="AC595" s="53" t="n"/>
      <c r="AD595" s="53" t="n"/>
      <c r="AE595" s="53" t="n"/>
      <c r="AF595" s="53" t="n"/>
      <c r="AG595" s="53" t="n"/>
      <c r="AH595" s="53" t="n"/>
      <c r="AI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c r="AA596" s="53" t="n"/>
      <c r="AB596" s="53" t="n"/>
      <c r="AC596" s="53" t="n"/>
      <c r="AD596" s="53" t="n"/>
      <c r="AE596" s="53" t="n"/>
      <c r="AF596" s="53" t="n"/>
      <c r="AG596" s="53" t="n"/>
      <c r="AH596" s="53" t="n"/>
      <c r="AI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c r="AA597" s="53" t="n"/>
      <c r="AB597" s="53" t="n"/>
      <c r="AC597" s="53" t="n"/>
      <c r="AD597" s="53" t="n"/>
      <c r="AE597" s="53" t="n"/>
      <c r="AF597" s="53" t="n"/>
      <c r="AG597" s="53" t="n"/>
      <c r="AH597" s="53" t="n"/>
      <c r="AI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c r="AA598" s="53" t="n"/>
      <c r="AB598" s="53" t="n"/>
      <c r="AC598" s="53" t="n"/>
      <c r="AD598" s="53" t="n"/>
      <c r="AE598" s="53" t="n"/>
      <c r="AF598" s="53" t="n"/>
      <c r="AG598" s="53" t="n"/>
      <c r="AH598" s="53" t="n"/>
      <c r="AI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c r="AA599" s="53" t="n"/>
      <c r="AB599" s="53" t="n"/>
      <c r="AC599" s="53" t="n"/>
      <c r="AD599" s="53" t="n"/>
      <c r="AE599" s="53" t="n"/>
      <c r="AF599" s="53" t="n"/>
      <c r="AG599" s="53" t="n"/>
      <c r="AH599" s="53" t="n"/>
      <c r="AI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c r="AA600" s="53" t="n"/>
      <c r="AB600" s="53" t="n"/>
      <c r="AC600" s="53" t="n"/>
      <c r="AD600" s="53" t="n"/>
      <c r="AE600" s="53" t="n"/>
      <c r="AF600" s="53" t="n"/>
      <c r="AG600" s="53" t="n"/>
      <c r="AH600" s="53" t="n"/>
      <c r="AI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c r="AA601" s="53" t="n"/>
      <c r="AB601" s="53" t="n"/>
      <c r="AC601" s="53" t="n"/>
      <c r="AD601" s="53" t="n"/>
      <c r="AE601" s="53" t="n"/>
      <c r="AF601" s="53" t="n"/>
      <c r="AG601" s="53" t="n"/>
      <c r="AH601" s="53" t="n"/>
      <c r="AI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c r="AA602" s="53" t="n"/>
      <c r="AB602" s="53" t="n"/>
      <c r="AC602" s="53" t="n"/>
      <c r="AD602" s="53" t="n"/>
      <c r="AE602" s="53" t="n"/>
      <c r="AF602" s="53" t="n"/>
      <c r="AG602" s="53" t="n"/>
      <c r="AH602" s="53" t="n"/>
      <c r="AI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c r="AA603" s="53" t="n"/>
      <c r="AB603" s="53" t="n"/>
      <c r="AC603" s="53" t="n"/>
      <c r="AD603" s="53" t="n"/>
      <c r="AE603" s="53" t="n"/>
      <c r="AF603" s="53" t="n"/>
      <c r="AG603" s="53" t="n"/>
      <c r="AH603" s="53" t="n"/>
      <c r="AI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c r="AA604" s="53" t="n"/>
      <c r="AB604" s="53" t="n"/>
      <c r="AC604" s="53" t="n"/>
      <c r="AD604" s="53" t="n"/>
      <c r="AE604" s="53" t="n"/>
      <c r="AF604" s="53" t="n"/>
      <c r="AG604" s="53" t="n"/>
      <c r="AH604" s="53" t="n"/>
      <c r="AI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c r="AA605" s="53" t="n"/>
      <c r="AB605" s="53" t="n"/>
      <c r="AC605" s="53" t="n"/>
      <c r="AD605" s="53" t="n"/>
      <c r="AE605" s="53" t="n"/>
      <c r="AF605" s="53" t="n"/>
      <c r="AG605" s="53" t="n"/>
      <c r="AH605" s="53" t="n"/>
      <c r="AI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c r="AA606" s="53" t="n"/>
      <c r="AB606" s="53" t="n"/>
      <c r="AC606" s="53" t="n"/>
      <c r="AD606" s="53" t="n"/>
      <c r="AE606" s="53" t="n"/>
      <c r="AF606" s="53" t="n"/>
      <c r="AG606" s="53" t="n"/>
      <c r="AH606" s="53" t="n"/>
      <c r="AI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c r="AA607" s="53" t="n"/>
      <c r="AB607" s="53" t="n"/>
      <c r="AC607" s="53" t="n"/>
      <c r="AD607" s="53" t="n"/>
      <c r="AE607" s="53" t="n"/>
      <c r="AF607" s="53" t="n"/>
      <c r="AG607" s="53" t="n"/>
      <c r="AH607" s="53" t="n"/>
      <c r="AI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c r="AA608" s="53" t="n"/>
      <c r="AB608" s="53" t="n"/>
      <c r="AC608" s="53" t="n"/>
      <c r="AD608" s="53" t="n"/>
      <c r="AE608" s="53" t="n"/>
      <c r="AF608" s="53" t="n"/>
      <c r="AG608" s="53" t="n"/>
      <c r="AH608" s="53" t="n"/>
      <c r="AI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c r="AA609" s="53" t="n"/>
      <c r="AB609" s="53" t="n"/>
      <c r="AC609" s="53" t="n"/>
      <c r="AD609" s="53" t="n"/>
      <c r="AE609" s="53" t="n"/>
      <c r="AF609" s="53" t="n"/>
      <c r="AG609" s="53" t="n"/>
      <c r="AH609" s="53" t="n"/>
      <c r="AI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c r="AA610" s="53" t="n"/>
      <c r="AB610" s="53" t="n"/>
      <c r="AC610" s="53" t="n"/>
      <c r="AD610" s="53" t="n"/>
      <c r="AE610" s="53" t="n"/>
      <c r="AF610" s="53" t="n"/>
      <c r="AG610" s="53" t="n"/>
      <c r="AH610" s="53" t="n"/>
      <c r="AI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c r="AA611" s="53" t="n"/>
      <c r="AB611" s="53" t="n"/>
      <c r="AC611" s="53" t="n"/>
      <c r="AD611" s="53" t="n"/>
      <c r="AE611" s="53" t="n"/>
      <c r="AF611" s="53" t="n"/>
      <c r="AG611" s="53" t="n"/>
      <c r="AH611" s="53" t="n"/>
      <c r="AI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c r="AA612" s="53" t="n"/>
      <c r="AB612" s="53" t="n"/>
      <c r="AC612" s="53" t="n"/>
      <c r="AD612" s="53" t="n"/>
      <c r="AE612" s="53" t="n"/>
      <c r="AF612" s="53" t="n"/>
      <c r="AG612" s="53" t="n"/>
      <c r="AH612" s="53" t="n"/>
      <c r="AI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c r="AA613" s="53" t="n"/>
      <c r="AB613" s="53" t="n"/>
      <c r="AC613" s="53" t="n"/>
      <c r="AD613" s="53" t="n"/>
      <c r="AE613" s="53" t="n"/>
      <c r="AF613" s="53" t="n"/>
      <c r="AG613" s="53" t="n"/>
      <c r="AH613" s="53" t="n"/>
      <c r="AI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c r="AA614" s="53" t="n"/>
      <c r="AB614" s="53" t="n"/>
      <c r="AC614" s="53" t="n"/>
      <c r="AD614" s="53" t="n"/>
      <c r="AE614" s="53" t="n"/>
      <c r="AF614" s="53" t="n"/>
      <c r="AG614" s="53" t="n"/>
      <c r="AH614" s="53" t="n"/>
      <c r="AI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c r="AA615" s="53" t="n"/>
      <c r="AB615" s="53" t="n"/>
      <c r="AC615" s="53" t="n"/>
      <c r="AD615" s="53" t="n"/>
      <c r="AE615" s="53" t="n"/>
      <c r="AF615" s="53" t="n"/>
      <c r="AG615" s="53" t="n"/>
      <c r="AH615" s="53" t="n"/>
      <c r="AI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c r="AA616" s="53" t="n"/>
      <c r="AB616" s="53" t="n"/>
      <c r="AC616" s="53" t="n"/>
      <c r="AD616" s="53" t="n"/>
      <c r="AE616" s="53" t="n"/>
      <c r="AF616" s="53" t="n"/>
      <c r="AG616" s="53" t="n"/>
      <c r="AH616" s="53" t="n"/>
      <c r="AI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c r="AA617" s="53" t="n"/>
      <c r="AB617" s="53" t="n"/>
      <c r="AC617" s="53" t="n"/>
      <c r="AD617" s="53" t="n"/>
      <c r="AE617" s="53" t="n"/>
      <c r="AF617" s="53" t="n"/>
      <c r="AG617" s="53" t="n"/>
      <c r="AH617" s="53" t="n"/>
      <c r="AI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c r="AA618" s="53" t="n"/>
      <c r="AB618" s="53" t="n"/>
      <c r="AC618" s="53" t="n"/>
      <c r="AD618" s="53" t="n"/>
      <c r="AE618" s="53" t="n"/>
      <c r="AF618" s="53" t="n"/>
      <c r="AG618" s="53" t="n"/>
      <c r="AH618" s="53" t="n"/>
      <c r="AI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c r="AA619" s="53" t="n"/>
      <c r="AB619" s="53" t="n"/>
      <c r="AC619" s="53" t="n"/>
      <c r="AD619" s="53" t="n"/>
      <c r="AE619" s="53" t="n"/>
      <c r="AF619" s="53" t="n"/>
      <c r="AG619" s="53" t="n"/>
      <c r="AH619" s="53" t="n"/>
      <c r="AI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c r="AA620" s="53" t="n"/>
      <c r="AB620" s="53" t="n"/>
      <c r="AC620" s="53" t="n"/>
      <c r="AD620" s="53" t="n"/>
      <c r="AE620" s="53" t="n"/>
      <c r="AF620" s="53" t="n"/>
      <c r="AG620" s="53" t="n"/>
      <c r="AH620" s="53" t="n"/>
      <c r="AI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c r="AA621" s="53" t="n"/>
      <c r="AB621" s="53" t="n"/>
      <c r="AC621" s="53" t="n"/>
      <c r="AD621" s="53" t="n"/>
      <c r="AE621" s="53" t="n"/>
      <c r="AF621" s="53" t="n"/>
      <c r="AG621" s="53" t="n"/>
      <c r="AH621" s="53" t="n"/>
      <c r="AI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c r="AA622" s="53" t="n"/>
      <c r="AB622" s="53" t="n"/>
      <c r="AC622" s="53" t="n"/>
      <c r="AD622" s="53" t="n"/>
      <c r="AE622" s="53" t="n"/>
      <c r="AF622" s="53" t="n"/>
      <c r="AG622" s="53" t="n"/>
      <c r="AH622" s="53" t="n"/>
      <c r="AI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c r="AA623" s="53" t="n"/>
      <c r="AB623" s="53" t="n"/>
      <c r="AC623" s="53" t="n"/>
      <c r="AD623" s="53" t="n"/>
      <c r="AE623" s="53" t="n"/>
      <c r="AF623" s="53" t="n"/>
      <c r="AG623" s="53" t="n"/>
      <c r="AH623" s="53" t="n"/>
      <c r="AI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c r="AA624" s="53" t="n"/>
      <c r="AB624" s="53" t="n"/>
      <c r="AC624" s="53" t="n"/>
      <c r="AD624" s="53" t="n"/>
      <c r="AE624" s="53" t="n"/>
      <c r="AF624" s="53" t="n"/>
      <c r="AG624" s="53" t="n"/>
      <c r="AH624" s="53" t="n"/>
      <c r="AI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c r="AA625" s="53" t="n"/>
      <c r="AB625" s="53" t="n"/>
      <c r="AC625" s="53" t="n"/>
      <c r="AD625" s="53" t="n"/>
      <c r="AE625" s="53" t="n"/>
      <c r="AF625" s="53" t="n"/>
      <c r="AG625" s="53" t="n"/>
      <c r="AH625" s="53" t="n"/>
      <c r="AI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c r="AA626" s="53" t="n"/>
      <c r="AB626" s="53" t="n"/>
      <c r="AC626" s="53" t="n"/>
      <c r="AD626" s="53" t="n"/>
      <c r="AE626" s="53" t="n"/>
      <c r="AF626" s="53" t="n"/>
      <c r="AG626" s="53" t="n"/>
      <c r="AH626" s="53" t="n"/>
      <c r="AI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c r="AA627" s="53" t="n"/>
      <c r="AB627" s="53" t="n"/>
      <c r="AC627" s="53" t="n"/>
      <c r="AD627" s="53" t="n"/>
      <c r="AE627" s="53" t="n"/>
      <c r="AF627" s="53" t="n"/>
      <c r="AG627" s="53" t="n"/>
      <c r="AH627" s="53" t="n"/>
      <c r="AI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c r="AA628" s="53" t="n"/>
      <c r="AB628" s="53" t="n"/>
      <c r="AC628" s="53" t="n"/>
      <c r="AD628" s="53" t="n"/>
      <c r="AE628" s="53" t="n"/>
      <c r="AF628" s="53" t="n"/>
      <c r="AG628" s="53" t="n"/>
      <c r="AH628" s="53" t="n"/>
      <c r="AI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c r="AA629" s="53" t="n"/>
      <c r="AB629" s="53" t="n"/>
      <c r="AC629" s="53" t="n"/>
      <c r="AD629" s="53" t="n"/>
      <c r="AE629" s="53" t="n"/>
      <c r="AF629" s="53" t="n"/>
      <c r="AG629" s="53" t="n"/>
      <c r="AH629" s="53" t="n"/>
      <c r="AI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c r="AA630" s="53" t="n"/>
      <c r="AB630" s="53" t="n"/>
      <c r="AC630" s="53" t="n"/>
      <c r="AD630" s="53" t="n"/>
      <c r="AE630" s="53" t="n"/>
      <c r="AF630" s="53" t="n"/>
      <c r="AG630" s="53" t="n"/>
      <c r="AH630" s="53" t="n"/>
      <c r="AI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c r="AA631" s="53" t="n"/>
      <c r="AB631" s="53" t="n"/>
      <c r="AC631" s="53" t="n"/>
      <c r="AD631" s="53" t="n"/>
      <c r="AE631" s="53" t="n"/>
      <c r="AF631" s="53" t="n"/>
      <c r="AG631" s="53" t="n"/>
      <c r="AH631" s="53" t="n"/>
      <c r="AI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c r="AA632" s="53" t="n"/>
      <c r="AB632" s="53" t="n"/>
      <c r="AC632" s="53" t="n"/>
      <c r="AD632" s="53" t="n"/>
      <c r="AE632" s="53" t="n"/>
      <c r="AF632" s="53" t="n"/>
      <c r="AG632" s="53" t="n"/>
      <c r="AH632" s="53" t="n"/>
      <c r="AI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c r="AA633" s="53" t="n"/>
      <c r="AB633" s="53" t="n"/>
      <c r="AC633" s="53" t="n"/>
      <c r="AD633" s="53" t="n"/>
      <c r="AE633" s="53" t="n"/>
      <c r="AF633" s="53" t="n"/>
      <c r="AG633" s="53" t="n"/>
      <c r="AH633" s="53" t="n"/>
      <c r="AI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c r="AA634" s="53" t="n"/>
      <c r="AB634" s="53" t="n"/>
      <c r="AC634" s="53" t="n"/>
      <c r="AD634" s="53" t="n"/>
      <c r="AE634" s="53" t="n"/>
      <c r="AF634" s="53" t="n"/>
      <c r="AG634" s="53" t="n"/>
      <c r="AH634" s="53" t="n"/>
      <c r="AI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c r="AA635" s="53" t="n"/>
      <c r="AB635" s="53" t="n"/>
      <c r="AC635" s="53" t="n"/>
      <c r="AD635" s="53" t="n"/>
      <c r="AE635" s="53" t="n"/>
      <c r="AF635" s="53" t="n"/>
      <c r="AG635" s="53" t="n"/>
      <c r="AH635" s="53" t="n"/>
      <c r="AI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c r="AA636" s="53" t="n"/>
      <c r="AB636" s="53" t="n"/>
      <c r="AC636" s="53" t="n"/>
      <c r="AD636" s="53" t="n"/>
      <c r="AE636" s="53" t="n"/>
      <c r="AF636" s="53" t="n"/>
      <c r="AG636" s="53" t="n"/>
      <c r="AH636" s="53" t="n"/>
      <c r="AI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c r="AA637" s="53" t="n"/>
      <c r="AB637" s="53" t="n"/>
      <c r="AC637" s="53" t="n"/>
      <c r="AD637" s="53" t="n"/>
      <c r="AE637" s="53" t="n"/>
      <c r="AF637" s="53" t="n"/>
      <c r="AG637" s="53" t="n"/>
      <c r="AH637" s="53" t="n"/>
      <c r="AI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c r="AA638" s="53" t="n"/>
      <c r="AB638" s="53" t="n"/>
      <c r="AC638" s="53" t="n"/>
      <c r="AD638" s="53" t="n"/>
      <c r="AE638" s="53" t="n"/>
      <c r="AF638" s="53" t="n"/>
      <c r="AG638" s="53" t="n"/>
      <c r="AH638" s="53" t="n"/>
      <c r="AI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c r="AA639" s="53" t="n"/>
      <c r="AB639" s="53" t="n"/>
      <c r="AC639" s="53" t="n"/>
      <c r="AD639" s="53" t="n"/>
      <c r="AE639" s="53" t="n"/>
      <c r="AF639" s="53" t="n"/>
      <c r="AG639" s="53" t="n"/>
      <c r="AH639" s="53" t="n"/>
      <c r="AI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c r="AA640" s="53" t="n"/>
      <c r="AB640" s="53" t="n"/>
      <c r="AC640" s="53" t="n"/>
      <c r="AD640" s="53" t="n"/>
      <c r="AE640" s="53" t="n"/>
      <c r="AF640" s="53" t="n"/>
      <c r="AG640" s="53" t="n"/>
      <c r="AH640" s="53" t="n"/>
      <c r="AI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c r="AA641" s="53" t="n"/>
      <c r="AB641" s="53" t="n"/>
      <c r="AC641" s="53" t="n"/>
      <c r="AD641" s="53" t="n"/>
      <c r="AE641" s="53" t="n"/>
      <c r="AF641" s="53" t="n"/>
      <c r="AG641" s="53" t="n"/>
      <c r="AH641" s="53" t="n"/>
      <c r="AI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c r="AA642" s="53" t="n"/>
      <c r="AB642" s="53" t="n"/>
      <c r="AC642" s="53" t="n"/>
      <c r="AD642" s="53" t="n"/>
      <c r="AE642" s="53" t="n"/>
      <c r="AF642" s="53" t="n"/>
      <c r="AG642" s="53" t="n"/>
      <c r="AH642" s="53" t="n"/>
      <c r="AI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c r="AA643" s="53" t="n"/>
      <c r="AB643" s="53" t="n"/>
      <c r="AC643" s="53" t="n"/>
      <c r="AD643" s="53" t="n"/>
      <c r="AE643" s="53" t="n"/>
      <c r="AF643" s="53" t="n"/>
      <c r="AG643" s="53" t="n"/>
      <c r="AH643" s="53" t="n"/>
      <c r="AI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c r="AA644" s="53" t="n"/>
      <c r="AB644" s="53" t="n"/>
      <c r="AC644" s="53" t="n"/>
      <c r="AD644" s="53" t="n"/>
      <c r="AE644" s="53" t="n"/>
      <c r="AF644" s="53" t="n"/>
      <c r="AG644" s="53" t="n"/>
      <c r="AH644" s="53" t="n"/>
      <c r="AI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c r="AA645" s="53" t="n"/>
      <c r="AB645" s="53" t="n"/>
      <c r="AC645" s="53" t="n"/>
      <c r="AD645" s="53" t="n"/>
      <c r="AE645" s="53" t="n"/>
      <c r="AF645" s="53" t="n"/>
      <c r="AG645" s="53" t="n"/>
      <c r="AH645" s="53" t="n"/>
      <c r="AI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c r="AA646" s="53" t="n"/>
      <c r="AB646" s="53" t="n"/>
      <c r="AC646" s="53" t="n"/>
      <c r="AD646" s="53" t="n"/>
      <c r="AE646" s="53" t="n"/>
      <c r="AF646" s="53" t="n"/>
      <c r="AG646" s="53" t="n"/>
      <c r="AH646" s="53" t="n"/>
      <c r="AI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c r="AA647" s="53" t="n"/>
      <c r="AB647" s="53" t="n"/>
      <c r="AC647" s="53" t="n"/>
      <c r="AD647" s="53" t="n"/>
      <c r="AE647" s="53" t="n"/>
      <c r="AF647" s="53" t="n"/>
      <c r="AG647" s="53" t="n"/>
      <c r="AH647" s="53" t="n"/>
      <c r="AI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c r="AA648" s="53" t="n"/>
      <c r="AB648" s="53" t="n"/>
      <c r="AC648" s="53" t="n"/>
      <c r="AD648" s="53" t="n"/>
      <c r="AE648" s="53" t="n"/>
      <c r="AF648" s="53" t="n"/>
      <c r="AG648" s="53" t="n"/>
      <c r="AH648" s="53" t="n"/>
      <c r="AI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c r="AA649" s="53" t="n"/>
      <c r="AB649" s="53" t="n"/>
      <c r="AC649" s="53" t="n"/>
      <c r="AD649" s="53" t="n"/>
      <c r="AE649" s="53" t="n"/>
      <c r="AF649" s="53" t="n"/>
      <c r="AG649" s="53" t="n"/>
      <c r="AH649" s="53" t="n"/>
      <c r="AI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c r="AA650" s="53" t="n"/>
      <c r="AB650" s="53" t="n"/>
      <c r="AC650" s="53" t="n"/>
      <c r="AD650" s="53" t="n"/>
      <c r="AE650" s="53" t="n"/>
      <c r="AF650" s="53" t="n"/>
      <c r="AG650" s="53" t="n"/>
      <c r="AH650" s="53" t="n"/>
      <c r="AI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c r="AA651" s="53" t="n"/>
      <c r="AB651" s="53" t="n"/>
      <c r="AC651" s="53" t="n"/>
      <c r="AD651" s="53" t="n"/>
      <c r="AE651" s="53" t="n"/>
      <c r="AF651" s="53" t="n"/>
      <c r="AG651" s="53" t="n"/>
      <c r="AH651" s="53" t="n"/>
      <c r="AI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c r="AA652" s="53" t="n"/>
      <c r="AB652" s="53" t="n"/>
      <c r="AC652" s="53" t="n"/>
      <c r="AD652" s="53" t="n"/>
      <c r="AE652" s="53" t="n"/>
      <c r="AF652" s="53" t="n"/>
      <c r="AG652" s="53" t="n"/>
      <c r="AH652" s="53" t="n"/>
      <c r="AI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c r="AA653" s="53" t="n"/>
      <c r="AB653" s="53" t="n"/>
      <c r="AC653" s="53" t="n"/>
      <c r="AD653" s="53" t="n"/>
      <c r="AE653" s="53" t="n"/>
      <c r="AF653" s="53" t="n"/>
      <c r="AG653" s="53" t="n"/>
      <c r="AH653" s="53" t="n"/>
      <c r="AI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c r="AA654" s="53" t="n"/>
      <c r="AB654" s="53" t="n"/>
      <c r="AC654" s="53" t="n"/>
      <c r="AD654" s="53" t="n"/>
      <c r="AE654" s="53" t="n"/>
      <c r="AF654" s="53" t="n"/>
      <c r="AG654" s="53" t="n"/>
      <c r="AH654" s="53" t="n"/>
      <c r="AI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c r="AA655" s="53" t="n"/>
      <c r="AB655" s="53" t="n"/>
      <c r="AC655" s="53" t="n"/>
      <c r="AD655" s="53" t="n"/>
      <c r="AE655" s="53" t="n"/>
      <c r="AF655" s="53" t="n"/>
      <c r="AG655" s="53" t="n"/>
      <c r="AH655" s="53" t="n"/>
      <c r="AI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c r="AA656" s="53" t="n"/>
      <c r="AB656" s="53" t="n"/>
      <c r="AC656" s="53" t="n"/>
      <c r="AD656" s="53" t="n"/>
      <c r="AE656" s="53" t="n"/>
      <c r="AF656" s="53" t="n"/>
      <c r="AG656" s="53" t="n"/>
      <c r="AH656" s="53" t="n"/>
      <c r="AI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c r="AA657" s="53" t="n"/>
      <c r="AB657" s="53" t="n"/>
      <c r="AC657" s="53" t="n"/>
      <c r="AD657" s="53" t="n"/>
      <c r="AE657" s="53" t="n"/>
      <c r="AF657" s="53" t="n"/>
      <c r="AG657" s="53" t="n"/>
      <c r="AH657" s="53" t="n"/>
      <c r="AI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c r="AA658" s="53" t="n"/>
      <c r="AB658" s="53" t="n"/>
      <c r="AC658" s="53" t="n"/>
      <c r="AD658" s="53" t="n"/>
      <c r="AE658" s="53" t="n"/>
      <c r="AF658" s="53" t="n"/>
      <c r="AG658" s="53" t="n"/>
      <c r="AH658" s="53" t="n"/>
      <c r="AI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c r="AA659" s="53" t="n"/>
      <c r="AB659" s="53" t="n"/>
      <c r="AC659" s="53" t="n"/>
      <c r="AD659" s="53" t="n"/>
      <c r="AE659" s="53" t="n"/>
      <c r="AF659" s="53" t="n"/>
      <c r="AG659" s="53" t="n"/>
      <c r="AH659" s="53" t="n"/>
      <c r="AI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c r="AA660" s="53" t="n"/>
      <c r="AB660" s="53" t="n"/>
      <c r="AC660" s="53" t="n"/>
      <c r="AD660" s="53" t="n"/>
      <c r="AE660" s="53" t="n"/>
      <c r="AF660" s="53" t="n"/>
      <c r="AG660" s="53" t="n"/>
      <c r="AH660" s="53" t="n"/>
      <c r="AI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c r="AA661" s="53" t="n"/>
      <c r="AB661" s="53" t="n"/>
      <c r="AC661" s="53" t="n"/>
      <c r="AD661" s="53" t="n"/>
      <c r="AE661" s="53" t="n"/>
      <c r="AF661" s="53" t="n"/>
      <c r="AG661" s="53" t="n"/>
      <c r="AH661" s="53" t="n"/>
      <c r="AI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c r="AA662" s="53" t="n"/>
      <c r="AB662" s="53" t="n"/>
      <c r="AC662" s="53" t="n"/>
      <c r="AD662" s="53" t="n"/>
      <c r="AE662" s="53" t="n"/>
      <c r="AF662" s="53" t="n"/>
      <c r="AG662" s="53" t="n"/>
      <c r="AH662" s="53" t="n"/>
      <c r="AI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c r="AA663" s="53" t="n"/>
      <c r="AB663" s="53" t="n"/>
      <c r="AC663" s="53" t="n"/>
      <c r="AD663" s="53" t="n"/>
      <c r="AE663" s="53" t="n"/>
      <c r="AF663" s="53" t="n"/>
      <c r="AG663" s="53" t="n"/>
      <c r="AH663" s="53" t="n"/>
      <c r="AI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c r="AA664" s="53" t="n"/>
      <c r="AB664" s="53" t="n"/>
      <c r="AC664" s="53" t="n"/>
      <c r="AD664" s="53" t="n"/>
      <c r="AE664" s="53" t="n"/>
      <c r="AF664" s="53" t="n"/>
      <c r="AG664" s="53" t="n"/>
      <c r="AH664" s="53" t="n"/>
      <c r="AI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c r="AA665" s="53" t="n"/>
      <c r="AB665" s="53" t="n"/>
      <c r="AC665" s="53" t="n"/>
      <c r="AD665" s="53" t="n"/>
      <c r="AE665" s="53" t="n"/>
      <c r="AF665" s="53" t="n"/>
      <c r="AG665" s="53" t="n"/>
      <c r="AH665" s="53" t="n"/>
      <c r="AI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c r="AA666" s="53" t="n"/>
      <c r="AB666" s="53" t="n"/>
      <c r="AC666" s="53" t="n"/>
      <c r="AD666" s="53" t="n"/>
      <c r="AE666" s="53" t="n"/>
      <c r="AF666" s="53" t="n"/>
      <c r="AG666" s="53" t="n"/>
      <c r="AH666" s="53" t="n"/>
      <c r="AI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c r="AA667" s="53" t="n"/>
      <c r="AB667" s="53" t="n"/>
      <c r="AC667" s="53" t="n"/>
      <c r="AD667" s="53" t="n"/>
      <c r="AE667" s="53" t="n"/>
      <c r="AF667" s="53" t="n"/>
      <c r="AG667" s="53" t="n"/>
      <c r="AH667" s="53" t="n"/>
      <c r="AI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c r="AA668" s="53" t="n"/>
      <c r="AB668" s="53" t="n"/>
      <c r="AC668" s="53" t="n"/>
      <c r="AD668" s="53" t="n"/>
      <c r="AE668" s="53" t="n"/>
      <c r="AF668" s="53" t="n"/>
      <c r="AG668" s="53" t="n"/>
      <c r="AH668" s="53" t="n"/>
      <c r="AI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c r="AA669" s="53" t="n"/>
      <c r="AB669" s="53" t="n"/>
      <c r="AC669" s="53" t="n"/>
      <c r="AD669" s="53" t="n"/>
      <c r="AE669" s="53" t="n"/>
      <c r="AF669" s="53" t="n"/>
      <c r="AG669" s="53" t="n"/>
      <c r="AH669" s="53" t="n"/>
      <c r="AI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c r="AA670" s="53" t="n"/>
      <c r="AB670" s="53" t="n"/>
      <c r="AC670" s="53" t="n"/>
      <c r="AD670" s="53" t="n"/>
      <c r="AE670" s="53" t="n"/>
      <c r="AF670" s="53" t="n"/>
      <c r="AG670" s="53" t="n"/>
      <c r="AH670" s="53" t="n"/>
      <c r="AI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c r="AA671" s="53" t="n"/>
      <c r="AB671" s="53" t="n"/>
      <c r="AC671" s="53" t="n"/>
      <c r="AD671" s="53" t="n"/>
      <c r="AE671" s="53" t="n"/>
      <c r="AF671" s="53" t="n"/>
      <c r="AG671" s="53" t="n"/>
      <c r="AH671" s="53" t="n"/>
      <c r="AI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c r="AA672" s="53" t="n"/>
      <c r="AB672" s="53" t="n"/>
      <c r="AC672" s="53" t="n"/>
      <c r="AD672" s="53" t="n"/>
      <c r="AE672" s="53" t="n"/>
      <c r="AF672" s="53" t="n"/>
      <c r="AG672" s="53" t="n"/>
      <c r="AH672" s="53" t="n"/>
      <c r="AI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c r="AA673" s="53" t="n"/>
      <c r="AB673" s="53" t="n"/>
      <c r="AC673" s="53" t="n"/>
      <c r="AD673" s="53" t="n"/>
      <c r="AE673" s="53" t="n"/>
      <c r="AF673" s="53" t="n"/>
      <c r="AG673" s="53" t="n"/>
      <c r="AH673" s="53" t="n"/>
      <c r="AI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c r="AA674" s="53" t="n"/>
      <c r="AB674" s="53" t="n"/>
      <c r="AC674" s="53" t="n"/>
      <c r="AD674" s="53" t="n"/>
      <c r="AE674" s="53" t="n"/>
      <c r="AF674" s="53" t="n"/>
      <c r="AG674" s="53" t="n"/>
      <c r="AH674" s="53" t="n"/>
      <c r="AI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c r="AA675" s="53" t="n"/>
      <c r="AB675" s="53" t="n"/>
      <c r="AC675" s="53" t="n"/>
      <c r="AD675" s="53" t="n"/>
      <c r="AE675" s="53" t="n"/>
      <c r="AF675" s="53" t="n"/>
      <c r="AG675" s="53" t="n"/>
      <c r="AH675" s="53" t="n"/>
      <c r="AI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c r="AA676" s="53" t="n"/>
      <c r="AB676" s="53" t="n"/>
      <c r="AC676" s="53" t="n"/>
      <c r="AD676" s="53" t="n"/>
      <c r="AE676" s="53" t="n"/>
      <c r="AF676" s="53" t="n"/>
      <c r="AG676" s="53" t="n"/>
      <c r="AH676" s="53" t="n"/>
      <c r="AI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c r="AA677" s="53" t="n"/>
      <c r="AB677" s="53" t="n"/>
      <c r="AC677" s="53" t="n"/>
      <c r="AD677" s="53" t="n"/>
      <c r="AE677" s="53" t="n"/>
      <c r="AF677" s="53" t="n"/>
      <c r="AG677" s="53" t="n"/>
      <c r="AH677" s="53" t="n"/>
      <c r="AI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c r="AA678" s="53" t="n"/>
      <c r="AB678" s="53" t="n"/>
      <c r="AC678" s="53" t="n"/>
      <c r="AD678" s="53" t="n"/>
      <c r="AE678" s="53" t="n"/>
      <c r="AF678" s="53" t="n"/>
      <c r="AG678" s="53" t="n"/>
      <c r="AH678" s="53" t="n"/>
      <c r="AI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c r="AA679" s="53" t="n"/>
      <c r="AB679" s="53" t="n"/>
      <c r="AC679" s="53" t="n"/>
      <c r="AD679" s="53" t="n"/>
      <c r="AE679" s="53" t="n"/>
      <c r="AF679" s="53" t="n"/>
      <c r="AG679" s="53" t="n"/>
      <c r="AH679" s="53" t="n"/>
      <c r="AI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c r="AA680" s="53" t="n"/>
      <c r="AB680" s="53" t="n"/>
      <c r="AC680" s="53" t="n"/>
      <c r="AD680" s="53" t="n"/>
      <c r="AE680" s="53" t="n"/>
      <c r="AF680" s="53" t="n"/>
      <c r="AG680" s="53" t="n"/>
      <c r="AH680" s="53" t="n"/>
      <c r="AI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c r="AA681" s="53" t="n"/>
      <c r="AB681" s="53" t="n"/>
      <c r="AC681" s="53" t="n"/>
      <c r="AD681" s="53" t="n"/>
      <c r="AE681" s="53" t="n"/>
      <c r="AF681" s="53" t="n"/>
      <c r="AG681" s="53" t="n"/>
      <c r="AH681" s="53" t="n"/>
      <c r="AI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c r="AA682" s="53" t="n"/>
      <c r="AB682" s="53" t="n"/>
      <c r="AC682" s="53" t="n"/>
      <c r="AD682" s="53" t="n"/>
      <c r="AE682" s="53" t="n"/>
      <c r="AF682" s="53" t="n"/>
      <c r="AG682" s="53" t="n"/>
      <c r="AH682" s="53" t="n"/>
      <c r="AI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c r="AA683" s="53" t="n"/>
      <c r="AB683" s="53" t="n"/>
      <c r="AC683" s="53" t="n"/>
      <c r="AD683" s="53" t="n"/>
      <c r="AE683" s="53" t="n"/>
      <c r="AF683" s="53" t="n"/>
      <c r="AG683" s="53" t="n"/>
      <c r="AH683" s="53" t="n"/>
      <c r="AI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c r="AA684" s="53" t="n"/>
      <c r="AB684" s="53" t="n"/>
      <c r="AC684" s="53" t="n"/>
      <c r="AD684" s="53" t="n"/>
      <c r="AE684" s="53" t="n"/>
      <c r="AF684" s="53" t="n"/>
      <c r="AG684" s="53" t="n"/>
      <c r="AH684" s="53" t="n"/>
      <c r="AI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c r="AA685" s="53" t="n"/>
      <c r="AB685" s="53" t="n"/>
      <c r="AC685" s="53" t="n"/>
      <c r="AD685" s="53" t="n"/>
      <c r="AE685" s="53" t="n"/>
      <c r="AF685" s="53" t="n"/>
      <c r="AG685" s="53" t="n"/>
      <c r="AH685" s="53" t="n"/>
      <c r="AI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c r="AA686" s="53" t="n"/>
      <c r="AB686" s="53" t="n"/>
      <c r="AC686" s="53" t="n"/>
      <c r="AD686" s="53" t="n"/>
      <c r="AE686" s="53" t="n"/>
      <c r="AF686" s="53" t="n"/>
      <c r="AG686" s="53" t="n"/>
      <c r="AH686" s="53" t="n"/>
      <c r="AI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c r="AA687" s="53" t="n"/>
      <c r="AB687" s="53" t="n"/>
      <c r="AC687" s="53" t="n"/>
      <c r="AD687" s="53" t="n"/>
      <c r="AE687" s="53" t="n"/>
      <c r="AF687" s="53" t="n"/>
      <c r="AG687" s="53" t="n"/>
      <c r="AH687" s="53" t="n"/>
      <c r="AI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c r="AA688" s="53" t="n"/>
      <c r="AB688" s="53" t="n"/>
      <c r="AC688" s="53" t="n"/>
      <c r="AD688" s="53" t="n"/>
      <c r="AE688" s="53" t="n"/>
      <c r="AF688" s="53" t="n"/>
      <c r="AG688" s="53" t="n"/>
      <c r="AH688" s="53" t="n"/>
      <c r="AI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c r="AA689" s="53" t="n"/>
      <c r="AB689" s="53" t="n"/>
      <c r="AC689" s="53" t="n"/>
      <c r="AD689" s="53" t="n"/>
      <c r="AE689" s="53" t="n"/>
      <c r="AF689" s="53" t="n"/>
      <c r="AG689" s="53" t="n"/>
      <c r="AH689" s="53" t="n"/>
      <c r="AI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c r="AA690" s="53" t="n"/>
      <c r="AB690" s="53" t="n"/>
      <c r="AC690" s="53" t="n"/>
      <c r="AD690" s="53" t="n"/>
      <c r="AE690" s="53" t="n"/>
      <c r="AF690" s="53" t="n"/>
      <c r="AG690" s="53" t="n"/>
      <c r="AH690" s="53" t="n"/>
      <c r="AI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c r="AA691" s="53" t="n"/>
      <c r="AB691" s="53" t="n"/>
      <c r="AC691" s="53" t="n"/>
      <c r="AD691" s="53" t="n"/>
      <c r="AE691" s="53" t="n"/>
      <c r="AF691" s="53" t="n"/>
      <c r="AG691" s="53" t="n"/>
      <c r="AH691" s="53" t="n"/>
      <c r="AI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c r="AA692" s="53" t="n"/>
      <c r="AB692" s="53" t="n"/>
      <c r="AC692" s="53" t="n"/>
      <c r="AD692" s="53" t="n"/>
      <c r="AE692" s="53" t="n"/>
      <c r="AF692" s="53" t="n"/>
      <c r="AG692" s="53" t="n"/>
      <c r="AH692" s="53" t="n"/>
      <c r="AI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c r="AA693" s="53" t="n"/>
      <c r="AB693" s="53" t="n"/>
      <c r="AC693" s="53" t="n"/>
      <c r="AD693" s="53" t="n"/>
      <c r="AE693" s="53" t="n"/>
      <c r="AF693" s="53" t="n"/>
      <c r="AG693" s="53" t="n"/>
      <c r="AH693" s="53" t="n"/>
      <c r="AI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c r="AA694" s="53" t="n"/>
      <c r="AB694" s="53" t="n"/>
      <c r="AC694" s="53" t="n"/>
      <c r="AD694" s="53" t="n"/>
      <c r="AE694" s="53" t="n"/>
      <c r="AF694" s="53" t="n"/>
      <c r="AG694" s="53" t="n"/>
      <c r="AH694" s="53" t="n"/>
      <c r="AI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c r="AA695" s="53" t="n"/>
      <c r="AB695" s="53" t="n"/>
      <c r="AC695" s="53" t="n"/>
      <c r="AD695" s="53" t="n"/>
      <c r="AE695" s="53" t="n"/>
      <c r="AF695" s="53" t="n"/>
      <c r="AG695" s="53" t="n"/>
      <c r="AH695" s="53" t="n"/>
      <c r="AI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c r="AA696" s="53" t="n"/>
      <c r="AB696" s="53" t="n"/>
      <c r="AC696" s="53" t="n"/>
      <c r="AD696" s="53" t="n"/>
      <c r="AE696" s="53" t="n"/>
      <c r="AF696" s="53" t="n"/>
      <c r="AG696" s="53" t="n"/>
      <c r="AH696" s="53" t="n"/>
      <c r="AI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c r="AA697" s="53" t="n"/>
      <c r="AB697" s="53" t="n"/>
      <c r="AC697" s="53" t="n"/>
      <c r="AD697" s="53" t="n"/>
      <c r="AE697" s="53" t="n"/>
      <c r="AF697" s="53" t="n"/>
      <c r="AG697" s="53" t="n"/>
      <c r="AH697" s="53" t="n"/>
      <c r="AI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c r="AA698" s="53" t="n"/>
      <c r="AB698" s="53" t="n"/>
      <c r="AC698" s="53" t="n"/>
      <c r="AD698" s="53" t="n"/>
      <c r="AE698" s="53" t="n"/>
      <c r="AF698" s="53" t="n"/>
      <c r="AG698" s="53" t="n"/>
      <c r="AH698" s="53" t="n"/>
      <c r="AI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c r="AA699" s="53" t="n"/>
      <c r="AB699" s="53" t="n"/>
      <c r="AC699" s="53" t="n"/>
      <c r="AD699" s="53" t="n"/>
      <c r="AE699" s="53" t="n"/>
      <c r="AF699" s="53" t="n"/>
      <c r="AG699" s="53" t="n"/>
      <c r="AH699" s="53" t="n"/>
      <c r="AI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c r="AA700" s="53" t="n"/>
      <c r="AB700" s="53" t="n"/>
      <c r="AC700" s="53" t="n"/>
      <c r="AD700" s="53" t="n"/>
      <c r="AE700" s="53" t="n"/>
      <c r="AF700" s="53" t="n"/>
      <c r="AG700" s="53" t="n"/>
      <c r="AH700" s="53" t="n"/>
      <c r="AI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c r="AA701" s="53" t="n"/>
      <c r="AB701" s="53" t="n"/>
      <c r="AC701" s="53" t="n"/>
      <c r="AD701" s="53" t="n"/>
      <c r="AE701" s="53" t="n"/>
      <c r="AF701" s="53" t="n"/>
      <c r="AG701" s="53" t="n"/>
      <c r="AH701" s="53" t="n"/>
      <c r="AI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c r="AA702" s="53" t="n"/>
      <c r="AB702" s="53" t="n"/>
      <c r="AC702" s="53" t="n"/>
      <c r="AD702" s="53" t="n"/>
      <c r="AE702" s="53" t="n"/>
      <c r="AF702" s="53" t="n"/>
      <c r="AG702" s="53" t="n"/>
      <c r="AH702" s="53" t="n"/>
      <c r="AI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c r="AA703" s="53" t="n"/>
      <c r="AB703" s="53" t="n"/>
      <c r="AC703" s="53" t="n"/>
      <c r="AD703" s="53" t="n"/>
      <c r="AE703" s="53" t="n"/>
      <c r="AF703" s="53" t="n"/>
      <c r="AG703" s="53" t="n"/>
      <c r="AH703" s="53" t="n"/>
      <c r="AI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c r="AA704" s="53" t="n"/>
      <c r="AB704" s="53" t="n"/>
      <c r="AC704" s="53" t="n"/>
      <c r="AD704" s="53" t="n"/>
      <c r="AE704" s="53" t="n"/>
      <c r="AF704" s="53" t="n"/>
      <c r="AG704" s="53" t="n"/>
      <c r="AH704" s="53" t="n"/>
      <c r="AI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c r="AA705" s="53" t="n"/>
      <c r="AB705" s="53" t="n"/>
      <c r="AC705" s="53" t="n"/>
      <c r="AD705" s="53" t="n"/>
      <c r="AE705" s="53" t="n"/>
      <c r="AF705" s="53" t="n"/>
      <c r="AG705" s="53" t="n"/>
      <c r="AH705" s="53" t="n"/>
      <c r="AI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c r="AA706" s="53" t="n"/>
      <c r="AB706" s="53" t="n"/>
      <c r="AC706" s="53" t="n"/>
      <c r="AD706" s="53" t="n"/>
      <c r="AE706" s="53" t="n"/>
      <c r="AF706" s="53" t="n"/>
      <c r="AG706" s="53" t="n"/>
      <c r="AH706" s="53" t="n"/>
      <c r="AI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c r="AA707" s="53" t="n"/>
      <c r="AB707" s="53" t="n"/>
      <c r="AC707" s="53" t="n"/>
      <c r="AD707" s="53" t="n"/>
      <c r="AE707" s="53" t="n"/>
      <c r="AF707" s="53" t="n"/>
      <c r="AG707" s="53" t="n"/>
      <c r="AH707" s="53" t="n"/>
      <c r="AI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c r="AA708" s="53" t="n"/>
      <c r="AB708" s="53" t="n"/>
      <c r="AC708" s="53" t="n"/>
      <c r="AD708" s="53" t="n"/>
      <c r="AE708" s="53" t="n"/>
      <c r="AF708" s="53" t="n"/>
      <c r="AG708" s="53" t="n"/>
      <c r="AH708" s="53" t="n"/>
      <c r="AI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c r="AA709" s="53" t="n"/>
      <c r="AB709" s="53" t="n"/>
      <c r="AC709" s="53" t="n"/>
      <c r="AD709" s="53" t="n"/>
      <c r="AE709" s="53" t="n"/>
      <c r="AF709" s="53" t="n"/>
      <c r="AG709" s="53" t="n"/>
      <c r="AH709" s="53" t="n"/>
      <c r="AI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c r="AA710" s="53" t="n"/>
      <c r="AB710" s="53" t="n"/>
      <c r="AC710" s="53" t="n"/>
      <c r="AD710" s="53" t="n"/>
      <c r="AE710" s="53" t="n"/>
      <c r="AF710" s="53" t="n"/>
      <c r="AG710" s="53" t="n"/>
      <c r="AH710" s="53" t="n"/>
      <c r="AI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c r="AA711" s="53" t="n"/>
      <c r="AB711" s="53" t="n"/>
      <c r="AC711" s="53" t="n"/>
      <c r="AD711" s="53" t="n"/>
      <c r="AE711" s="53" t="n"/>
      <c r="AF711" s="53" t="n"/>
      <c r="AG711" s="53" t="n"/>
      <c r="AH711" s="53" t="n"/>
      <c r="AI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c r="AA712" s="53" t="n"/>
      <c r="AB712" s="53" t="n"/>
      <c r="AC712" s="53" t="n"/>
      <c r="AD712" s="53" t="n"/>
      <c r="AE712" s="53" t="n"/>
      <c r="AF712" s="53" t="n"/>
      <c r="AG712" s="53" t="n"/>
      <c r="AH712" s="53" t="n"/>
      <c r="AI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c r="AA713" s="53" t="n"/>
      <c r="AB713" s="53" t="n"/>
      <c r="AC713" s="53" t="n"/>
      <c r="AD713" s="53" t="n"/>
      <c r="AE713" s="53" t="n"/>
      <c r="AF713" s="53" t="n"/>
      <c r="AG713" s="53" t="n"/>
      <c r="AH713" s="53" t="n"/>
      <c r="AI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c r="AA714" s="53" t="n"/>
      <c r="AB714" s="53" t="n"/>
      <c r="AC714" s="53" t="n"/>
      <c r="AD714" s="53" t="n"/>
      <c r="AE714" s="53" t="n"/>
      <c r="AF714" s="53" t="n"/>
      <c r="AG714" s="53" t="n"/>
      <c r="AH714" s="53" t="n"/>
      <c r="AI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c r="AA715" s="53" t="n"/>
      <c r="AB715" s="53" t="n"/>
      <c r="AC715" s="53" t="n"/>
      <c r="AD715" s="53" t="n"/>
      <c r="AE715" s="53" t="n"/>
      <c r="AF715" s="53" t="n"/>
      <c r="AG715" s="53" t="n"/>
      <c r="AH715" s="53" t="n"/>
      <c r="AI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c r="AA716" s="53" t="n"/>
      <c r="AB716" s="53" t="n"/>
      <c r="AC716" s="53" t="n"/>
      <c r="AD716" s="53" t="n"/>
      <c r="AE716" s="53" t="n"/>
      <c r="AF716" s="53" t="n"/>
      <c r="AG716" s="53" t="n"/>
      <c r="AH716" s="53" t="n"/>
      <c r="AI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c r="AA717" s="53" t="n"/>
      <c r="AB717" s="53" t="n"/>
      <c r="AC717" s="53" t="n"/>
      <c r="AD717" s="53" t="n"/>
      <c r="AE717" s="53" t="n"/>
      <c r="AF717" s="53" t="n"/>
      <c r="AG717" s="53" t="n"/>
      <c r="AH717" s="53" t="n"/>
      <c r="AI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c r="AA718" s="53" t="n"/>
      <c r="AB718" s="53" t="n"/>
      <c r="AC718" s="53" t="n"/>
      <c r="AD718" s="53" t="n"/>
      <c r="AE718" s="53" t="n"/>
      <c r="AF718" s="53" t="n"/>
      <c r="AG718" s="53" t="n"/>
      <c r="AH718" s="53" t="n"/>
      <c r="AI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c r="AA719" s="53" t="n"/>
      <c r="AB719" s="53" t="n"/>
      <c r="AC719" s="53" t="n"/>
      <c r="AD719" s="53" t="n"/>
      <c r="AE719" s="53" t="n"/>
      <c r="AF719" s="53" t="n"/>
      <c r="AG719" s="53" t="n"/>
      <c r="AH719" s="53" t="n"/>
      <c r="AI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c r="AA720" s="53" t="n"/>
      <c r="AB720" s="53" t="n"/>
      <c r="AC720" s="53" t="n"/>
      <c r="AD720" s="53" t="n"/>
      <c r="AE720" s="53" t="n"/>
      <c r="AF720" s="53" t="n"/>
      <c r="AG720" s="53" t="n"/>
      <c r="AH720" s="53" t="n"/>
      <c r="AI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c r="AA721" s="53" t="n"/>
      <c r="AB721" s="53" t="n"/>
      <c r="AC721" s="53" t="n"/>
      <c r="AD721" s="53" t="n"/>
      <c r="AE721" s="53" t="n"/>
      <c r="AF721" s="53" t="n"/>
      <c r="AG721" s="53" t="n"/>
      <c r="AH721" s="53" t="n"/>
      <c r="AI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c r="AA722" s="53" t="n"/>
      <c r="AB722" s="53" t="n"/>
      <c r="AC722" s="53" t="n"/>
      <c r="AD722" s="53" t="n"/>
      <c r="AE722" s="53" t="n"/>
      <c r="AF722" s="53" t="n"/>
      <c r="AG722" s="53" t="n"/>
      <c r="AH722" s="53" t="n"/>
      <c r="AI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c r="AA723" s="53" t="n"/>
      <c r="AB723" s="53" t="n"/>
      <c r="AC723" s="53" t="n"/>
      <c r="AD723" s="53" t="n"/>
      <c r="AE723" s="53" t="n"/>
      <c r="AF723" s="53" t="n"/>
      <c r="AG723" s="53" t="n"/>
      <c r="AH723" s="53" t="n"/>
      <c r="AI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c r="AA724" s="53" t="n"/>
      <c r="AB724" s="53" t="n"/>
      <c r="AC724" s="53" t="n"/>
      <c r="AD724" s="53" t="n"/>
      <c r="AE724" s="53" t="n"/>
      <c r="AF724" s="53" t="n"/>
      <c r="AG724" s="53" t="n"/>
      <c r="AH724" s="53" t="n"/>
      <c r="AI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c r="AA725" s="53" t="n"/>
      <c r="AB725" s="53" t="n"/>
      <c r="AC725" s="53" t="n"/>
      <c r="AD725" s="53" t="n"/>
      <c r="AE725" s="53" t="n"/>
      <c r="AF725" s="53" t="n"/>
      <c r="AG725" s="53" t="n"/>
      <c r="AH725" s="53" t="n"/>
      <c r="AI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c r="AA726" s="53" t="n"/>
      <c r="AB726" s="53" t="n"/>
      <c r="AC726" s="53" t="n"/>
      <c r="AD726" s="53" t="n"/>
      <c r="AE726" s="53" t="n"/>
      <c r="AF726" s="53" t="n"/>
      <c r="AG726" s="53" t="n"/>
      <c r="AH726" s="53" t="n"/>
      <c r="AI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c r="AA727" s="53" t="n"/>
      <c r="AB727" s="53" t="n"/>
      <c r="AC727" s="53" t="n"/>
      <c r="AD727" s="53" t="n"/>
      <c r="AE727" s="53" t="n"/>
      <c r="AF727" s="53" t="n"/>
      <c r="AG727" s="53" t="n"/>
      <c r="AH727" s="53" t="n"/>
      <c r="AI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c r="AA728" s="53" t="n"/>
      <c r="AB728" s="53" t="n"/>
      <c r="AC728" s="53" t="n"/>
      <c r="AD728" s="53" t="n"/>
      <c r="AE728" s="53" t="n"/>
      <c r="AF728" s="53" t="n"/>
      <c r="AG728" s="53" t="n"/>
      <c r="AH728" s="53" t="n"/>
      <c r="AI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c r="AA729" s="53" t="n"/>
      <c r="AB729" s="53" t="n"/>
      <c r="AC729" s="53" t="n"/>
      <c r="AD729" s="53" t="n"/>
      <c r="AE729" s="53" t="n"/>
      <c r="AF729" s="53" t="n"/>
      <c r="AG729" s="53" t="n"/>
      <c r="AH729" s="53" t="n"/>
      <c r="AI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c r="AA730" s="53" t="n"/>
      <c r="AB730" s="53" t="n"/>
      <c r="AC730" s="53" t="n"/>
      <c r="AD730" s="53" t="n"/>
      <c r="AE730" s="53" t="n"/>
      <c r="AF730" s="53" t="n"/>
      <c r="AG730" s="53" t="n"/>
      <c r="AH730" s="53" t="n"/>
      <c r="AI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c r="AA731" s="53" t="n"/>
      <c r="AB731" s="53" t="n"/>
      <c r="AC731" s="53" t="n"/>
      <c r="AD731" s="53" t="n"/>
      <c r="AE731" s="53" t="n"/>
      <c r="AF731" s="53" t="n"/>
      <c r="AG731" s="53" t="n"/>
      <c r="AH731" s="53" t="n"/>
      <c r="AI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c r="AA732" s="53" t="n"/>
      <c r="AB732" s="53" t="n"/>
      <c r="AC732" s="53" t="n"/>
      <c r="AD732" s="53" t="n"/>
      <c r="AE732" s="53" t="n"/>
      <c r="AF732" s="53" t="n"/>
      <c r="AG732" s="53" t="n"/>
      <c r="AH732" s="53" t="n"/>
      <c r="AI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c r="AA733" s="53" t="n"/>
      <c r="AB733" s="53" t="n"/>
      <c r="AC733" s="53" t="n"/>
      <c r="AD733" s="53" t="n"/>
      <c r="AE733" s="53" t="n"/>
      <c r="AF733" s="53" t="n"/>
      <c r="AG733" s="53" t="n"/>
      <c r="AH733" s="53" t="n"/>
      <c r="AI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c r="AA734" s="53" t="n"/>
      <c r="AB734" s="53" t="n"/>
      <c r="AC734" s="53" t="n"/>
      <c r="AD734" s="53" t="n"/>
      <c r="AE734" s="53" t="n"/>
      <c r="AF734" s="53" t="n"/>
      <c r="AG734" s="53" t="n"/>
      <c r="AH734" s="53" t="n"/>
      <c r="AI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c r="AA735" s="53" t="n"/>
      <c r="AB735" s="53" t="n"/>
      <c r="AC735" s="53" t="n"/>
      <c r="AD735" s="53" t="n"/>
      <c r="AE735" s="53" t="n"/>
      <c r="AF735" s="53" t="n"/>
      <c r="AG735" s="53" t="n"/>
      <c r="AH735" s="53" t="n"/>
      <c r="AI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c r="AA736" s="53" t="n"/>
      <c r="AB736" s="53" t="n"/>
      <c r="AC736" s="53" t="n"/>
      <c r="AD736" s="53" t="n"/>
      <c r="AE736" s="53" t="n"/>
      <c r="AF736" s="53" t="n"/>
      <c r="AG736" s="53" t="n"/>
      <c r="AH736" s="53" t="n"/>
      <c r="AI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c r="AA737" s="53" t="n"/>
      <c r="AB737" s="53" t="n"/>
      <c r="AC737" s="53" t="n"/>
      <c r="AD737" s="53" t="n"/>
      <c r="AE737" s="53" t="n"/>
      <c r="AF737" s="53" t="n"/>
      <c r="AG737" s="53" t="n"/>
      <c r="AH737" s="53" t="n"/>
      <c r="AI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c r="AA738" s="53" t="n"/>
      <c r="AB738" s="53" t="n"/>
      <c r="AC738" s="53" t="n"/>
      <c r="AD738" s="53" t="n"/>
      <c r="AE738" s="53" t="n"/>
      <c r="AF738" s="53" t="n"/>
      <c r="AG738" s="53" t="n"/>
      <c r="AH738" s="53" t="n"/>
      <c r="AI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c r="AA739" s="53" t="n"/>
      <c r="AB739" s="53" t="n"/>
      <c r="AC739" s="53" t="n"/>
      <c r="AD739" s="53" t="n"/>
      <c r="AE739" s="53" t="n"/>
      <c r="AF739" s="53" t="n"/>
      <c r="AG739" s="53" t="n"/>
      <c r="AH739" s="53" t="n"/>
      <c r="AI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c r="AA740" s="53" t="n"/>
      <c r="AB740" s="53" t="n"/>
      <c r="AC740" s="53" t="n"/>
      <c r="AD740" s="53" t="n"/>
      <c r="AE740" s="53" t="n"/>
      <c r="AF740" s="53" t="n"/>
      <c r="AG740" s="53" t="n"/>
      <c r="AH740" s="53" t="n"/>
      <c r="AI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c r="AA741" s="53" t="n"/>
      <c r="AB741" s="53" t="n"/>
      <c r="AC741" s="53" t="n"/>
      <c r="AD741" s="53" t="n"/>
      <c r="AE741" s="53" t="n"/>
      <c r="AF741" s="53" t="n"/>
      <c r="AG741" s="53" t="n"/>
      <c r="AH741" s="53" t="n"/>
      <c r="AI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c r="AA742" s="53" t="n"/>
      <c r="AB742" s="53" t="n"/>
      <c r="AC742" s="53" t="n"/>
      <c r="AD742" s="53" t="n"/>
      <c r="AE742" s="53" t="n"/>
      <c r="AF742" s="53" t="n"/>
      <c r="AG742" s="53" t="n"/>
      <c r="AH742" s="53" t="n"/>
      <c r="AI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c r="AA743" s="53" t="n"/>
      <c r="AB743" s="53" t="n"/>
      <c r="AC743" s="53" t="n"/>
      <c r="AD743" s="53" t="n"/>
      <c r="AE743" s="53" t="n"/>
      <c r="AF743" s="53" t="n"/>
      <c r="AG743" s="53" t="n"/>
      <c r="AH743" s="53" t="n"/>
      <c r="AI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c r="AA744" s="53" t="n"/>
      <c r="AB744" s="53" t="n"/>
      <c r="AC744" s="53" t="n"/>
      <c r="AD744" s="53" t="n"/>
      <c r="AE744" s="53" t="n"/>
      <c r="AF744" s="53" t="n"/>
      <c r="AG744" s="53" t="n"/>
      <c r="AH744" s="53" t="n"/>
      <c r="AI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c r="AA745" s="53" t="n"/>
      <c r="AB745" s="53" t="n"/>
      <c r="AC745" s="53" t="n"/>
      <c r="AD745" s="53" t="n"/>
      <c r="AE745" s="53" t="n"/>
      <c r="AF745" s="53" t="n"/>
      <c r="AG745" s="53" t="n"/>
      <c r="AH745" s="53" t="n"/>
      <c r="AI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c r="AA746" s="53" t="n"/>
      <c r="AB746" s="53" t="n"/>
      <c r="AC746" s="53" t="n"/>
      <c r="AD746" s="53" t="n"/>
      <c r="AE746" s="53" t="n"/>
      <c r="AF746" s="53" t="n"/>
      <c r="AG746" s="53" t="n"/>
      <c r="AH746" s="53" t="n"/>
      <c r="AI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c r="AA747" s="53" t="n"/>
      <c r="AB747" s="53" t="n"/>
      <c r="AC747" s="53" t="n"/>
      <c r="AD747" s="53" t="n"/>
      <c r="AE747" s="53" t="n"/>
      <c r="AF747" s="53" t="n"/>
      <c r="AG747" s="53" t="n"/>
      <c r="AH747" s="53" t="n"/>
      <c r="AI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c r="AA748" s="53" t="n"/>
      <c r="AB748" s="53" t="n"/>
      <c r="AC748" s="53" t="n"/>
      <c r="AD748" s="53" t="n"/>
      <c r="AE748" s="53" t="n"/>
      <c r="AF748" s="53" t="n"/>
      <c r="AG748" s="53" t="n"/>
      <c r="AH748" s="53" t="n"/>
      <c r="AI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c r="AA749" s="53" t="n"/>
      <c r="AB749" s="53" t="n"/>
      <c r="AC749" s="53" t="n"/>
      <c r="AD749" s="53" t="n"/>
      <c r="AE749" s="53" t="n"/>
      <c r="AF749" s="53" t="n"/>
      <c r="AG749" s="53" t="n"/>
      <c r="AH749" s="53" t="n"/>
      <c r="AI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c r="AA750" s="53" t="n"/>
      <c r="AB750" s="53" t="n"/>
      <c r="AC750" s="53" t="n"/>
      <c r="AD750" s="53" t="n"/>
      <c r="AE750" s="53" t="n"/>
      <c r="AF750" s="53" t="n"/>
      <c r="AG750" s="53" t="n"/>
      <c r="AH750" s="53" t="n"/>
      <c r="AI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c r="AA751" s="53" t="n"/>
      <c r="AB751" s="53" t="n"/>
      <c r="AC751" s="53" t="n"/>
      <c r="AD751" s="53" t="n"/>
      <c r="AE751" s="53" t="n"/>
      <c r="AF751" s="53" t="n"/>
      <c r="AG751" s="53" t="n"/>
      <c r="AH751" s="53" t="n"/>
      <c r="AI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c r="AA752" s="53" t="n"/>
      <c r="AB752" s="53" t="n"/>
      <c r="AC752" s="53" t="n"/>
      <c r="AD752" s="53" t="n"/>
      <c r="AE752" s="53" t="n"/>
      <c r="AF752" s="53" t="n"/>
      <c r="AG752" s="53" t="n"/>
      <c r="AH752" s="53" t="n"/>
      <c r="AI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c r="AA753" s="53" t="n"/>
      <c r="AB753" s="53" t="n"/>
      <c r="AC753" s="53" t="n"/>
      <c r="AD753" s="53" t="n"/>
      <c r="AE753" s="53" t="n"/>
      <c r="AF753" s="53" t="n"/>
      <c r="AG753" s="53" t="n"/>
      <c r="AH753" s="53" t="n"/>
      <c r="AI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c r="AA754" s="53" t="n"/>
      <c r="AB754" s="53" t="n"/>
      <c r="AC754" s="53" t="n"/>
      <c r="AD754" s="53" t="n"/>
      <c r="AE754" s="53" t="n"/>
      <c r="AF754" s="53" t="n"/>
      <c r="AG754" s="53" t="n"/>
      <c r="AH754" s="53" t="n"/>
      <c r="AI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c r="AA755" s="53" t="n"/>
      <c r="AB755" s="53" t="n"/>
      <c r="AC755" s="53" t="n"/>
      <c r="AD755" s="53" t="n"/>
      <c r="AE755" s="53" t="n"/>
      <c r="AF755" s="53" t="n"/>
      <c r="AG755" s="53" t="n"/>
      <c r="AH755" s="53" t="n"/>
      <c r="AI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c r="AA756" s="53" t="n"/>
      <c r="AB756" s="53" t="n"/>
      <c r="AC756" s="53" t="n"/>
      <c r="AD756" s="53" t="n"/>
      <c r="AE756" s="53" t="n"/>
      <c r="AF756" s="53" t="n"/>
      <c r="AG756" s="53" t="n"/>
      <c r="AH756" s="53" t="n"/>
      <c r="AI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c r="AA757" s="53" t="n"/>
      <c r="AB757" s="53" t="n"/>
      <c r="AC757" s="53" t="n"/>
      <c r="AD757" s="53" t="n"/>
      <c r="AE757" s="53" t="n"/>
      <c r="AF757" s="53" t="n"/>
      <c r="AG757" s="53" t="n"/>
      <c r="AH757" s="53" t="n"/>
      <c r="AI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c r="AA758" s="53" t="n"/>
      <c r="AB758" s="53" t="n"/>
      <c r="AC758" s="53" t="n"/>
      <c r="AD758" s="53" t="n"/>
      <c r="AE758" s="53" t="n"/>
      <c r="AF758" s="53" t="n"/>
      <c r="AG758" s="53" t="n"/>
      <c r="AH758" s="53" t="n"/>
      <c r="AI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c r="AA759" s="53" t="n"/>
      <c r="AB759" s="53" t="n"/>
      <c r="AC759" s="53" t="n"/>
      <c r="AD759" s="53" t="n"/>
      <c r="AE759" s="53" t="n"/>
      <c r="AF759" s="53" t="n"/>
      <c r="AG759" s="53" t="n"/>
      <c r="AH759" s="53" t="n"/>
      <c r="AI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c r="AA760" s="53" t="n"/>
      <c r="AB760" s="53" t="n"/>
      <c r="AC760" s="53" t="n"/>
      <c r="AD760" s="53" t="n"/>
      <c r="AE760" s="53" t="n"/>
      <c r="AF760" s="53" t="n"/>
      <c r="AG760" s="53" t="n"/>
      <c r="AH760" s="53" t="n"/>
      <c r="AI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c r="AA761" s="53" t="n"/>
      <c r="AB761" s="53" t="n"/>
      <c r="AC761" s="53" t="n"/>
      <c r="AD761" s="53" t="n"/>
      <c r="AE761" s="53" t="n"/>
      <c r="AF761" s="53" t="n"/>
      <c r="AG761" s="53" t="n"/>
      <c r="AH761" s="53" t="n"/>
      <c r="AI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c r="AA762" s="53" t="n"/>
      <c r="AB762" s="53" t="n"/>
      <c r="AC762" s="53" t="n"/>
      <c r="AD762" s="53" t="n"/>
      <c r="AE762" s="53" t="n"/>
      <c r="AF762" s="53" t="n"/>
      <c r="AG762" s="53" t="n"/>
      <c r="AH762" s="53" t="n"/>
      <c r="AI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c r="AA763" s="53" t="n"/>
      <c r="AB763" s="53" t="n"/>
      <c r="AC763" s="53" t="n"/>
      <c r="AD763" s="53" t="n"/>
      <c r="AE763" s="53" t="n"/>
      <c r="AF763" s="53" t="n"/>
      <c r="AG763" s="53" t="n"/>
      <c r="AH763" s="53" t="n"/>
      <c r="AI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c r="AA764" s="53" t="n"/>
      <c r="AB764" s="53" t="n"/>
      <c r="AC764" s="53" t="n"/>
      <c r="AD764" s="53" t="n"/>
      <c r="AE764" s="53" t="n"/>
      <c r="AF764" s="53" t="n"/>
      <c r="AG764" s="53" t="n"/>
      <c r="AH764" s="53" t="n"/>
      <c r="AI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c r="AA765" s="53" t="n"/>
      <c r="AB765" s="53" t="n"/>
      <c r="AC765" s="53" t="n"/>
      <c r="AD765" s="53" t="n"/>
      <c r="AE765" s="53" t="n"/>
      <c r="AF765" s="53" t="n"/>
      <c r="AG765" s="53" t="n"/>
      <c r="AH765" s="53" t="n"/>
      <c r="AI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c r="AA766" s="53" t="n"/>
      <c r="AB766" s="53" t="n"/>
      <c r="AC766" s="53" t="n"/>
      <c r="AD766" s="53" t="n"/>
      <c r="AE766" s="53" t="n"/>
      <c r="AF766" s="53" t="n"/>
      <c r="AG766" s="53" t="n"/>
      <c r="AH766" s="53" t="n"/>
      <c r="AI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c r="AA767" s="53" t="n"/>
      <c r="AB767" s="53" t="n"/>
      <c r="AC767" s="53" t="n"/>
      <c r="AD767" s="53" t="n"/>
      <c r="AE767" s="53" t="n"/>
      <c r="AF767" s="53" t="n"/>
      <c r="AG767" s="53" t="n"/>
      <c r="AH767" s="53" t="n"/>
      <c r="AI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c r="AA768" s="53" t="n"/>
      <c r="AB768" s="53" t="n"/>
      <c r="AC768" s="53" t="n"/>
      <c r="AD768" s="53" t="n"/>
      <c r="AE768" s="53" t="n"/>
      <c r="AF768" s="53" t="n"/>
      <c r="AG768" s="53" t="n"/>
      <c r="AH768" s="53" t="n"/>
      <c r="AI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c r="AA769" s="53" t="n"/>
      <c r="AB769" s="53" t="n"/>
      <c r="AC769" s="53" t="n"/>
      <c r="AD769" s="53" t="n"/>
      <c r="AE769" s="53" t="n"/>
      <c r="AF769" s="53" t="n"/>
      <c r="AG769" s="53" t="n"/>
      <c r="AH769" s="53" t="n"/>
      <c r="AI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c r="AA770" s="53" t="n"/>
      <c r="AB770" s="53" t="n"/>
      <c r="AC770" s="53" t="n"/>
      <c r="AD770" s="53" t="n"/>
      <c r="AE770" s="53" t="n"/>
      <c r="AF770" s="53" t="n"/>
      <c r="AG770" s="53" t="n"/>
      <c r="AH770" s="53" t="n"/>
      <c r="AI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c r="AA771" s="53" t="n"/>
      <c r="AB771" s="53" t="n"/>
      <c r="AC771" s="53" t="n"/>
      <c r="AD771" s="53" t="n"/>
      <c r="AE771" s="53" t="n"/>
      <c r="AF771" s="53" t="n"/>
      <c r="AG771" s="53" t="n"/>
      <c r="AH771" s="53" t="n"/>
      <c r="AI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c r="AA772" s="53" t="n"/>
      <c r="AB772" s="53" t="n"/>
      <c r="AC772" s="53" t="n"/>
      <c r="AD772" s="53" t="n"/>
      <c r="AE772" s="53" t="n"/>
      <c r="AF772" s="53" t="n"/>
      <c r="AG772" s="53" t="n"/>
      <c r="AH772" s="53" t="n"/>
      <c r="AI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c r="AA773" s="53" t="n"/>
      <c r="AB773" s="53" t="n"/>
      <c r="AC773" s="53" t="n"/>
      <c r="AD773" s="53" t="n"/>
      <c r="AE773" s="53" t="n"/>
      <c r="AF773" s="53" t="n"/>
      <c r="AG773" s="53" t="n"/>
      <c r="AH773" s="53" t="n"/>
      <c r="AI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c r="AA774" s="53" t="n"/>
      <c r="AB774" s="53" t="n"/>
      <c r="AC774" s="53" t="n"/>
      <c r="AD774" s="53" t="n"/>
      <c r="AE774" s="53" t="n"/>
      <c r="AF774" s="53" t="n"/>
      <c r="AG774" s="53" t="n"/>
      <c r="AH774" s="53" t="n"/>
      <c r="AI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c r="AA775" s="53" t="n"/>
      <c r="AB775" s="53" t="n"/>
      <c r="AC775" s="53" t="n"/>
      <c r="AD775" s="53" t="n"/>
      <c r="AE775" s="53" t="n"/>
      <c r="AF775" s="53" t="n"/>
      <c r="AG775" s="53" t="n"/>
      <c r="AH775" s="53" t="n"/>
      <c r="AI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c r="AA776" s="53" t="n"/>
      <c r="AB776" s="53" t="n"/>
      <c r="AC776" s="53" t="n"/>
      <c r="AD776" s="53" t="n"/>
      <c r="AE776" s="53" t="n"/>
      <c r="AF776" s="53" t="n"/>
      <c r="AG776" s="53" t="n"/>
      <c r="AH776" s="53" t="n"/>
      <c r="AI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c r="AA777" s="53" t="n"/>
      <c r="AB777" s="53" t="n"/>
      <c r="AC777" s="53" t="n"/>
      <c r="AD777" s="53" t="n"/>
      <c r="AE777" s="53" t="n"/>
      <c r="AF777" s="53" t="n"/>
      <c r="AG777" s="53" t="n"/>
      <c r="AH777" s="53" t="n"/>
      <c r="AI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c r="AA778" s="53" t="n"/>
      <c r="AB778" s="53" t="n"/>
      <c r="AC778" s="53" t="n"/>
      <c r="AD778" s="53" t="n"/>
      <c r="AE778" s="53" t="n"/>
      <c r="AF778" s="53" t="n"/>
      <c r="AG778" s="53" t="n"/>
      <c r="AH778" s="53" t="n"/>
      <c r="AI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c r="AA779" s="53" t="n"/>
      <c r="AB779" s="53" t="n"/>
      <c r="AC779" s="53" t="n"/>
      <c r="AD779" s="53" t="n"/>
      <c r="AE779" s="53" t="n"/>
      <c r="AF779" s="53" t="n"/>
      <c r="AG779" s="53" t="n"/>
      <c r="AH779" s="53" t="n"/>
      <c r="AI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c r="AA780" s="53" t="n"/>
      <c r="AB780" s="53" t="n"/>
      <c r="AC780" s="53" t="n"/>
      <c r="AD780" s="53" t="n"/>
      <c r="AE780" s="53" t="n"/>
      <c r="AF780" s="53" t="n"/>
      <c r="AG780" s="53" t="n"/>
      <c r="AH780" s="53" t="n"/>
      <c r="AI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c r="AA781" s="53" t="n"/>
      <c r="AB781" s="53" t="n"/>
      <c r="AC781" s="53" t="n"/>
      <c r="AD781" s="53" t="n"/>
      <c r="AE781" s="53" t="n"/>
      <c r="AF781" s="53" t="n"/>
      <c r="AG781" s="53" t="n"/>
      <c r="AH781" s="53" t="n"/>
      <c r="AI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c r="AA782" s="53" t="n"/>
      <c r="AB782" s="53" t="n"/>
      <c r="AC782" s="53" t="n"/>
      <c r="AD782" s="53" t="n"/>
      <c r="AE782" s="53" t="n"/>
      <c r="AF782" s="53" t="n"/>
      <c r="AG782" s="53" t="n"/>
      <c r="AH782" s="53" t="n"/>
      <c r="AI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c r="AA783" s="53" t="n"/>
      <c r="AB783" s="53" t="n"/>
      <c r="AC783" s="53" t="n"/>
      <c r="AD783" s="53" t="n"/>
      <c r="AE783" s="53" t="n"/>
      <c r="AF783" s="53" t="n"/>
      <c r="AG783" s="53" t="n"/>
      <c r="AH783" s="53" t="n"/>
      <c r="AI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c r="AA784" s="53" t="n"/>
      <c r="AB784" s="53" t="n"/>
      <c r="AC784" s="53" t="n"/>
      <c r="AD784" s="53" t="n"/>
      <c r="AE784" s="53" t="n"/>
      <c r="AF784" s="53" t="n"/>
      <c r="AG784" s="53" t="n"/>
      <c r="AH784" s="53" t="n"/>
      <c r="AI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c r="AA785" s="53" t="n"/>
      <c r="AB785" s="53" t="n"/>
      <c r="AC785" s="53" t="n"/>
      <c r="AD785" s="53" t="n"/>
      <c r="AE785" s="53" t="n"/>
      <c r="AF785" s="53" t="n"/>
      <c r="AG785" s="53" t="n"/>
      <c r="AH785" s="53" t="n"/>
      <c r="AI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c r="AA786" s="53" t="n"/>
      <c r="AB786" s="53" t="n"/>
      <c r="AC786" s="53" t="n"/>
      <c r="AD786" s="53" t="n"/>
      <c r="AE786" s="53" t="n"/>
      <c r="AF786" s="53" t="n"/>
      <c r="AG786" s="53" t="n"/>
      <c r="AH786" s="53" t="n"/>
      <c r="AI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c r="AA787" s="53" t="n"/>
      <c r="AB787" s="53" t="n"/>
      <c r="AC787" s="53" t="n"/>
      <c r="AD787" s="53" t="n"/>
      <c r="AE787" s="53" t="n"/>
      <c r="AF787" s="53" t="n"/>
      <c r="AG787" s="53" t="n"/>
      <c r="AH787" s="53" t="n"/>
      <c r="AI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c r="AA788" s="53" t="n"/>
      <c r="AB788" s="53" t="n"/>
      <c r="AC788" s="53" t="n"/>
      <c r="AD788" s="53" t="n"/>
      <c r="AE788" s="53" t="n"/>
      <c r="AF788" s="53" t="n"/>
      <c r="AG788" s="53" t="n"/>
      <c r="AH788" s="53" t="n"/>
      <c r="AI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c r="AA789" s="53" t="n"/>
      <c r="AB789" s="53" t="n"/>
      <c r="AC789" s="53" t="n"/>
      <c r="AD789" s="53" t="n"/>
      <c r="AE789" s="53" t="n"/>
      <c r="AF789" s="53" t="n"/>
      <c r="AG789" s="53" t="n"/>
      <c r="AH789" s="53" t="n"/>
      <c r="AI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c r="AA790" s="53" t="n"/>
      <c r="AB790" s="53" t="n"/>
      <c r="AC790" s="53" t="n"/>
      <c r="AD790" s="53" t="n"/>
      <c r="AE790" s="53" t="n"/>
      <c r="AF790" s="53" t="n"/>
      <c r="AG790" s="53" t="n"/>
      <c r="AH790" s="53" t="n"/>
      <c r="AI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c r="AA791" s="53" t="n"/>
      <c r="AB791" s="53" t="n"/>
      <c r="AC791" s="53" t="n"/>
      <c r="AD791" s="53" t="n"/>
      <c r="AE791" s="53" t="n"/>
      <c r="AF791" s="53" t="n"/>
      <c r="AG791" s="53" t="n"/>
      <c r="AH791" s="53" t="n"/>
      <c r="AI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c r="AA792" s="53" t="n"/>
      <c r="AB792" s="53" t="n"/>
      <c r="AC792" s="53" t="n"/>
      <c r="AD792" s="53" t="n"/>
      <c r="AE792" s="53" t="n"/>
      <c r="AF792" s="53" t="n"/>
      <c r="AG792" s="53" t="n"/>
      <c r="AH792" s="53" t="n"/>
      <c r="AI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c r="AA793" s="53" t="n"/>
      <c r="AB793" s="53" t="n"/>
      <c r="AC793" s="53" t="n"/>
      <c r="AD793" s="53" t="n"/>
      <c r="AE793" s="53" t="n"/>
      <c r="AF793" s="53" t="n"/>
      <c r="AG793" s="53" t="n"/>
      <c r="AH793" s="53" t="n"/>
      <c r="AI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c r="AA794" s="53" t="n"/>
      <c r="AB794" s="53" t="n"/>
      <c r="AC794" s="53" t="n"/>
      <c r="AD794" s="53" t="n"/>
      <c r="AE794" s="53" t="n"/>
      <c r="AF794" s="53" t="n"/>
      <c r="AG794" s="53" t="n"/>
      <c r="AH794" s="53" t="n"/>
      <c r="AI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c r="AA795" s="53" t="n"/>
      <c r="AB795" s="53" t="n"/>
      <c r="AC795" s="53" t="n"/>
      <c r="AD795" s="53" t="n"/>
      <c r="AE795" s="53" t="n"/>
      <c r="AF795" s="53" t="n"/>
      <c r="AG795" s="53" t="n"/>
      <c r="AH795" s="53" t="n"/>
      <c r="AI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c r="AA796" s="53" t="n"/>
      <c r="AB796" s="53" t="n"/>
      <c r="AC796" s="53" t="n"/>
      <c r="AD796" s="53" t="n"/>
      <c r="AE796" s="53" t="n"/>
      <c r="AF796" s="53" t="n"/>
      <c r="AG796" s="53" t="n"/>
      <c r="AH796" s="53" t="n"/>
      <c r="AI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c r="AA797" s="53" t="n"/>
      <c r="AB797" s="53" t="n"/>
      <c r="AC797" s="53" t="n"/>
      <c r="AD797" s="53" t="n"/>
      <c r="AE797" s="53" t="n"/>
      <c r="AF797" s="53" t="n"/>
      <c r="AG797" s="53" t="n"/>
      <c r="AH797" s="53" t="n"/>
      <c r="AI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c r="AA798" s="53" t="n"/>
      <c r="AB798" s="53" t="n"/>
      <c r="AC798" s="53" t="n"/>
      <c r="AD798" s="53" t="n"/>
      <c r="AE798" s="53" t="n"/>
      <c r="AF798" s="53" t="n"/>
      <c r="AG798" s="53" t="n"/>
      <c r="AH798" s="53" t="n"/>
      <c r="AI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c r="AA799" s="53" t="n"/>
      <c r="AB799" s="53" t="n"/>
      <c r="AC799" s="53" t="n"/>
      <c r="AD799" s="53" t="n"/>
      <c r="AE799" s="53" t="n"/>
      <c r="AF799" s="53" t="n"/>
      <c r="AG799" s="53" t="n"/>
      <c r="AH799" s="53" t="n"/>
      <c r="AI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c r="AA800" s="53" t="n"/>
      <c r="AB800" s="53" t="n"/>
      <c r="AC800" s="53" t="n"/>
      <c r="AD800" s="53" t="n"/>
      <c r="AE800" s="53" t="n"/>
      <c r="AF800" s="53" t="n"/>
      <c r="AG800" s="53" t="n"/>
      <c r="AH800" s="53" t="n"/>
      <c r="AI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c r="AA801" s="53" t="n"/>
      <c r="AB801" s="53" t="n"/>
      <c r="AC801" s="53" t="n"/>
      <c r="AD801" s="53" t="n"/>
      <c r="AE801" s="53" t="n"/>
      <c r="AF801" s="53" t="n"/>
      <c r="AG801" s="53" t="n"/>
      <c r="AH801" s="53" t="n"/>
      <c r="AI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c r="AA802" s="53" t="n"/>
      <c r="AB802" s="53" t="n"/>
      <c r="AC802" s="53" t="n"/>
      <c r="AD802" s="53" t="n"/>
      <c r="AE802" s="53" t="n"/>
      <c r="AF802" s="53" t="n"/>
      <c r="AG802" s="53" t="n"/>
      <c r="AH802" s="53" t="n"/>
      <c r="AI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c r="AA803" s="53" t="n"/>
      <c r="AB803" s="53" t="n"/>
      <c r="AC803" s="53" t="n"/>
      <c r="AD803" s="53" t="n"/>
      <c r="AE803" s="53" t="n"/>
      <c r="AF803" s="53" t="n"/>
      <c r="AG803" s="53" t="n"/>
      <c r="AH803" s="53" t="n"/>
      <c r="AI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c r="AA804" s="53" t="n"/>
      <c r="AB804" s="53" t="n"/>
      <c r="AC804" s="53" t="n"/>
      <c r="AD804" s="53" t="n"/>
      <c r="AE804" s="53" t="n"/>
      <c r="AF804" s="53" t="n"/>
      <c r="AG804" s="53" t="n"/>
      <c r="AH804" s="53" t="n"/>
      <c r="AI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c r="AA805" s="53" t="n"/>
      <c r="AB805" s="53" t="n"/>
      <c r="AC805" s="53" t="n"/>
      <c r="AD805" s="53" t="n"/>
      <c r="AE805" s="53" t="n"/>
      <c r="AF805" s="53" t="n"/>
      <c r="AG805" s="53" t="n"/>
      <c r="AH805" s="53" t="n"/>
      <c r="AI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c r="AA806" s="53" t="n"/>
      <c r="AB806" s="53" t="n"/>
      <c r="AC806" s="53" t="n"/>
      <c r="AD806" s="53" t="n"/>
      <c r="AE806" s="53" t="n"/>
      <c r="AF806" s="53" t="n"/>
      <c r="AG806" s="53" t="n"/>
      <c r="AH806" s="53" t="n"/>
      <c r="AI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c r="AA807" s="53" t="n"/>
      <c r="AB807" s="53" t="n"/>
      <c r="AC807" s="53" t="n"/>
      <c r="AD807" s="53" t="n"/>
      <c r="AE807" s="53" t="n"/>
      <c r="AF807" s="53" t="n"/>
      <c r="AG807" s="53" t="n"/>
      <c r="AH807" s="53" t="n"/>
      <c r="AI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c r="AA808" s="53" t="n"/>
      <c r="AB808" s="53" t="n"/>
      <c r="AC808" s="53" t="n"/>
      <c r="AD808" s="53" t="n"/>
      <c r="AE808" s="53" t="n"/>
      <c r="AF808" s="53" t="n"/>
      <c r="AG808" s="53" t="n"/>
      <c r="AH808" s="53" t="n"/>
      <c r="AI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c r="AA809" s="53" t="n"/>
      <c r="AB809" s="53" t="n"/>
      <c r="AC809" s="53" t="n"/>
      <c r="AD809" s="53" t="n"/>
      <c r="AE809" s="53" t="n"/>
      <c r="AF809" s="53" t="n"/>
      <c r="AG809" s="53" t="n"/>
      <c r="AH809" s="53" t="n"/>
      <c r="AI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c r="AA810" s="53" t="n"/>
      <c r="AB810" s="53" t="n"/>
      <c r="AC810" s="53" t="n"/>
      <c r="AD810" s="53" t="n"/>
      <c r="AE810" s="53" t="n"/>
      <c r="AF810" s="53" t="n"/>
      <c r="AG810" s="53" t="n"/>
      <c r="AH810" s="53" t="n"/>
      <c r="AI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c r="AA811" s="53" t="n"/>
      <c r="AB811" s="53" t="n"/>
      <c r="AC811" s="53" t="n"/>
      <c r="AD811" s="53" t="n"/>
      <c r="AE811" s="53" t="n"/>
      <c r="AF811" s="53" t="n"/>
      <c r="AG811" s="53" t="n"/>
      <c r="AH811" s="53" t="n"/>
      <c r="AI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c r="AA812" s="53" t="n"/>
      <c r="AB812" s="53" t="n"/>
      <c r="AC812" s="53" t="n"/>
      <c r="AD812" s="53" t="n"/>
      <c r="AE812" s="53" t="n"/>
      <c r="AF812" s="53" t="n"/>
      <c r="AG812" s="53" t="n"/>
      <c r="AH812" s="53" t="n"/>
      <c r="AI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c r="AA813" s="53" t="n"/>
      <c r="AB813" s="53" t="n"/>
      <c r="AC813" s="53" t="n"/>
      <c r="AD813" s="53" t="n"/>
      <c r="AE813" s="53" t="n"/>
      <c r="AF813" s="53" t="n"/>
      <c r="AG813" s="53" t="n"/>
      <c r="AH813" s="53" t="n"/>
      <c r="AI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c r="AA814" s="53" t="n"/>
      <c r="AB814" s="53" t="n"/>
      <c r="AC814" s="53" t="n"/>
      <c r="AD814" s="53" t="n"/>
      <c r="AE814" s="53" t="n"/>
      <c r="AF814" s="53" t="n"/>
      <c r="AG814" s="53" t="n"/>
      <c r="AH814" s="53" t="n"/>
      <c r="AI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c r="AA815" s="53" t="n"/>
      <c r="AB815" s="53" t="n"/>
      <c r="AC815" s="53" t="n"/>
      <c r="AD815" s="53" t="n"/>
      <c r="AE815" s="53" t="n"/>
      <c r="AF815" s="53" t="n"/>
      <c r="AG815" s="53" t="n"/>
      <c r="AH815" s="53" t="n"/>
      <c r="AI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c r="AA816" s="53" t="n"/>
      <c r="AB816" s="53" t="n"/>
      <c r="AC816" s="53" t="n"/>
      <c r="AD816" s="53" t="n"/>
      <c r="AE816" s="53" t="n"/>
      <c r="AF816" s="53" t="n"/>
      <c r="AG816" s="53" t="n"/>
      <c r="AH816" s="53" t="n"/>
      <c r="AI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c r="AA817" s="53" t="n"/>
      <c r="AB817" s="53" t="n"/>
      <c r="AC817" s="53" t="n"/>
      <c r="AD817" s="53" t="n"/>
      <c r="AE817" s="53" t="n"/>
      <c r="AF817" s="53" t="n"/>
      <c r="AG817" s="53" t="n"/>
      <c r="AH817" s="53" t="n"/>
      <c r="AI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c r="AA818" s="53" t="n"/>
      <c r="AB818" s="53" t="n"/>
      <c r="AC818" s="53" t="n"/>
      <c r="AD818" s="53" t="n"/>
      <c r="AE818" s="53" t="n"/>
      <c r="AF818" s="53" t="n"/>
      <c r="AG818" s="53" t="n"/>
      <c r="AH818" s="53" t="n"/>
      <c r="AI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c r="AA819" s="53" t="n"/>
      <c r="AB819" s="53" t="n"/>
      <c r="AC819" s="53" t="n"/>
      <c r="AD819" s="53" t="n"/>
      <c r="AE819" s="53" t="n"/>
      <c r="AF819" s="53" t="n"/>
      <c r="AG819" s="53" t="n"/>
      <c r="AH819" s="53" t="n"/>
      <c r="AI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c r="AA820" s="53" t="n"/>
      <c r="AB820" s="53" t="n"/>
      <c r="AC820" s="53" t="n"/>
      <c r="AD820" s="53" t="n"/>
      <c r="AE820" s="53" t="n"/>
      <c r="AF820" s="53" t="n"/>
      <c r="AG820" s="53" t="n"/>
      <c r="AH820" s="53" t="n"/>
      <c r="AI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c r="AA821" s="53" t="n"/>
      <c r="AB821" s="53" t="n"/>
      <c r="AC821" s="53" t="n"/>
      <c r="AD821" s="53" t="n"/>
      <c r="AE821" s="53" t="n"/>
      <c r="AF821" s="53" t="n"/>
      <c r="AG821" s="53" t="n"/>
      <c r="AH821" s="53" t="n"/>
      <c r="AI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c r="AA822" s="53" t="n"/>
      <c r="AB822" s="53" t="n"/>
      <c r="AC822" s="53" t="n"/>
      <c r="AD822" s="53" t="n"/>
      <c r="AE822" s="53" t="n"/>
      <c r="AF822" s="53" t="n"/>
      <c r="AG822" s="53" t="n"/>
      <c r="AH822" s="53" t="n"/>
      <c r="AI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c r="AA823" s="53" t="n"/>
      <c r="AB823" s="53" t="n"/>
      <c r="AC823" s="53" t="n"/>
      <c r="AD823" s="53" t="n"/>
      <c r="AE823" s="53" t="n"/>
      <c r="AF823" s="53" t="n"/>
      <c r="AG823" s="53" t="n"/>
      <c r="AH823" s="53" t="n"/>
      <c r="AI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c r="AA824" s="53" t="n"/>
      <c r="AB824" s="53" t="n"/>
      <c r="AC824" s="53" t="n"/>
      <c r="AD824" s="53" t="n"/>
      <c r="AE824" s="53" t="n"/>
      <c r="AF824" s="53" t="n"/>
      <c r="AG824" s="53" t="n"/>
      <c r="AH824" s="53" t="n"/>
      <c r="AI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c r="AA825" s="53" t="n"/>
      <c r="AB825" s="53" t="n"/>
      <c r="AC825" s="53" t="n"/>
      <c r="AD825" s="53" t="n"/>
      <c r="AE825" s="53" t="n"/>
      <c r="AF825" s="53" t="n"/>
      <c r="AG825" s="53" t="n"/>
      <c r="AH825" s="53" t="n"/>
      <c r="AI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c r="AA826" s="53" t="n"/>
      <c r="AB826" s="53" t="n"/>
      <c r="AC826" s="53" t="n"/>
      <c r="AD826" s="53" t="n"/>
      <c r="AE826" s="53" t="n"/>
      <c r="AF826" s="53" t="n"/>
      <c r="AG826" s="53" t="n"/>
      <c r="AH826" s="53" t="n"/>
      <c r="AI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c r="AA827" s="53" t="n"/>
      <c r="AB827" s="53" t="n"/>
      <c r="AC827" s="53" t="n"/>
      <c r="AD827" s="53" t="n"/>
      <c r="AE827" s="53" t="n"/>
      <c r="AF827" s="53" t="n"/>
      <c r="AG827" s="53" t="n"/>
      <c r="AH827" s="53" t="n"/>
      <c r="AI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c r="AA828" s="53" t="n"/>
      <c r="AB828" s="53" t="n"/>
      <c r="AC828" s="53" t="n"/>
      <c r="AD828" s="53" t="n"/>
      <c r="AE828" s="53" t="n"/>
      <c r="AF828" s="53" t="n"/>
      <c r="AG828" s="53" t="n"/>
      <c r="AH828" s="53" t="n"/>
      <c r="AI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c r="AA829" s="53" t="n"/>
      <c r="AB829" s="53" t="n"/>
      <c r="AC829" s="53" t="n"/>
      <c r="AD829" s="53" t="n"/>
      <c r="AE829" s="53" t="n"/>
      <c r="AF829" s="53" t="n"/>
      <c r="AG829" s="53" t="n"/>
      <c r="AH829" s="53" t="n"/>
      <c r="AI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c r="AA830" s="53" t="n"/>
      <c r="AB830" s="53" t="n"/>
      <c r="AC830" s="53" t="n"/>
      <c r="AD830" s="53" t="n"/>
      <c r="AE830" s="53" t="n"/>
      <c r="AF830" s="53" t="n"/>
      <c r="AG830" s="53" t="n"/>
      <c r="AH830" s="53" t="n"/>
      <c r="AI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c r="AA831" s="53" t="n"/>
      <c r="AB831" s="53" t="n"/>
      <c r="AC831" s="53" t="n"/>
      <c r="AD831" s="53" t="n"/>
      <c r="AE831" s="53" t="n"/>
      <c r="AF831" s="53" t="n"/>
      <c r="AG831" s="53" t="n"/>
      <c r="AH831" s="53" t="n"/>
      <c r="AI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c r="AA832" s="53" t="n"/>
      <c r="AB832" s="53" t="n"/>
      <c r="AC832" s="53" t="n"/>
      <c r="AD832" s="53" t="n"/>
      <c r="AE832" s="53" t="n"/>
      <c r="AF832" s="53" t="n"/>
      <c r="AG832" s="53" t="n"/>
      <c r="AH832" s="53" t="n"/>
      <c r="AI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c r="AA833" s="53" t="n"/>
      <c r="AB833" s="53" t="n"/>
      <c r="AC833" s="53" t="n"/>
      <c r="AD833" s="53" t="n"/>
      <c r="AE833" s="53" t="n"/>
      <c r="AF833" s="53" t="n"/>
      <c r="AG833" s="53" t="n"/>
      <c r="AH833" s="53" t="n"/>
      <c r="AI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c r="AA834" s="53" t="n"/>
      <c r="AB834" s="53" t="n"/>
      <c r="AC834" s="53" t="n"/>
      <c r="AD834" s="53" t="n"/>
      <c r="AE834" s="53" t="n"/>
      <c r="AF834" s="53" t="n"/>
      <c r="AG834" s="53" t="n"/>
      <c r="AH834" s="53" t="n"/>
      <c r="AI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c r="AA835" s="53" t="n"/>
      <c r="AB835" s="53" t="n"/>
      <c r="AC835" s="53" t="n"/>
      <c r="AD835" s="53" t="n"/>
      <c r="AE835" s="53" t="n"/>
      <c r="AF835" s="53" t="n"/>
      <c r="AG835" s="53" t="n"/>
      <c r="AH835" s="53" t="n"/>
      <c r="AI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c r="AA836" s="53" t="n"/>
      <c r="AB836" s="53" t="n"/>
      <c r="AC836" s="53" t="n"/>
      <c r="AD836" s="53" t="n"/>
      <c r="AE836" s="53" t="n"/>
      <c r="AF836" s="53" t="n"/>
      <c r="AG836" s="53" t="n"/>
      <c r="AH836" s="53" t="n"/>
      <c r="AI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c r="AA837" s="53" t="n"/>
      <c r="AB837" s="53" t="n"/>
      <c r="AC837" s="53" t="n"/>
      <c r="AD837" s="53" t="n"/>
      <c r="AE837" s="53" t="n"/>
      <c r="AF837" s="53" t="n"/>
      <c r="AG837" s="53" t="n"/>
      <c r="AH837" s="53" t="n"/>
      <c r="AI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c r="AA838" s="53" t="n"/>
      <c r="AB838" s="53" t="n"/>
      <c r="AC838" s="53" t="n"/>
      <c r="AD838" s="53" t="n"/>
      <c r="AE838" s="53" t="n"/>
      <c r="AF838" s="53" t="n"/>
      <c r="AG838" s="53" t="n"/>
      <c r="AH838" s="53" t="n"/>
      <c r="AI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c r="AA839" s="53" t="n"/>
      <c r="AB839" s="53" t="n"/>
      <c r="AC839" s="53" t="n"/>
      <c r="AD839" s="53" t="n"/>
      <c r="AE839" s="53" t="n"/>
      <c r="AF839" s="53" t="n"/>
      <c r="AG839" s="53" t="n"/>
      <c r="AH839" s="53" t="n"/>
      <c r="AI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c r="AA840" s="53" t="n"/>
      <c r="AB840" s="53" t="n"/>
      <c r="AC840" s="53" t="n"/>
      <c r="AD840" s="53" t="n"/>
      <c r="AE840" s="53" t="n"/>
      <c r="AF840" s="53" t="n"/>
      <c r="AG840" s="53" t="n"/>
      <c r="AH840" s="53" t="n"/>
      <c r="AI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c r="AA841" s="53" t="n"/>
      <c r="AB841" s="53" t="n"/>
      <c r="AC841" s="53" t="n"/>
      <c r="AD841" s="53" t="n"/>
      <c r="AE841" s="53" t="n"/>
      <c r="AF841" s="53" t="n"/>
      <c r="AG841" s="53" t="n"/>
      <c r="AH841" s="53" t="n"/>
      <c r="AI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c r="AA842" s="53" t="n"/>
      <c r="AB842" s="53" t="n"/>
      <c r="AC842" s="53" t="n"/>
      <c r="AD842" s="53" t="n"/>
      <c r="AE842" s="53" t="n"/>
      <c r="AF842" s="53" t="n"/>
      <c r="AG842" s="53" t="n"/>
      <c r="AH842" s="53" t="n"/>
      <c r="AI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c r="AA843" s="53" t="n"/>
      <c r="AB843" s="53" t="n"/>
      <c r="AC843" s="53" t="n"/>
      <c r="AD843" s="53" t="n"/>
      <c r="AE843" s="53" t="n"/>
      <c r="AF843" s="53" t="n"/>
      <c r="AG843" s="53" t="n"/>
      <c r="AH843" s="53" t="n"/>
      <c r="AI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c r="AA844" s="53" t="n"/>
      <c r="AB844" s="53" t="n"/>
      <c r="AC844" s="53" t="n"/>
      <c r="AD844" s="53" t="n"/>
      <c r="AE844" s="53" t="n"/>
      <c r="AF844" s="53" t="n"/>
      <c r="AG844" s="53" t="n"/>
      <c r="AH844" s="53" t="n"/>
      <c r="AI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c r="AA845" s="53" t="n"/>
      <c r="AB845" s="53" t="n"/>
      <c r="AC845" s="53" t="n"/>
      <c r="AD845" s="53" t="n"/>
      <c r="AE845" s="53" t="n"/>
      <c r="AF845" s="53" t="n"/>
      <c r="AG845" s="53" t="n"/>
      <c r="AH845" s="53" t="n"/>
      <c r="AI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c r="AA846" s="53" t="n"/>
      <c r="AB846" s="53" t="n"/>
      <c r="AC846" s="53" t="n"/>
      <c r="AD846" s="53" t="n"/>
      <c r="AE846" s="53" t="n"/>
      <c r="AF846" s="53" t="n"/>
      <c r="AG846" s="53" t="n"/>
      <c r="AH846" s="53" t="n"/>
      <c r="AI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c r="AA847" s="53" t="n"/>
      <c r="AB847" s="53" t="n"/>
      <c r="AC847" s="53" t="n"/>
      <c r="AD847" s="53" t="n"/>
      <c r="AE847" s="53" t="n"/>
      <c r="AF847" s="53" t="n"/>
      <c r="AG847" s="53" t="n"/>
      <c r="AH847" s="53" t="n"/>
      <c r="AI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c r="AA848" s="53" t="n"/>
      <c r="AB848" s="53" t="n"/>
      <c r="AC848" s="53" t="n"/>
      <c r="AD848" s="53" t="n"/>
      <c r="AE848" s="53" t="n"/>
      <c r="AF848" s="53" t="n"/>
      <c r="AG848" s="53" t="n"/>
      <c r="AH848" s="53" t="n"/>
      <c r="AI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c r="AA849" s="53" t="n"/>
      <c r="AB849" s="53" t="n"/>
      <c r="AC849" s="53" t="n"/>
      <c r="AD849" s="53" t="n"/>
      <c r="AE849" s="53" t="n"/>
      <c r="AF849" s="53" t="n"/>
      <c r="AG849" s="53" t="n"/>
      <c r="AH849" s="53" t="n"/>
      <c r="AI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c r="AA850" s="53" t="n"/>
      <c r="AB850" s="53" t="n"/>
      <c r="AC850" s="53" t="n"/>
      <c r="AD850" s="53" t="n"/>
      <c r="AE850" s="53" t="n"/>
      <c r="AF850" s="53" t="n"/>
      <c r="AG850" s="53" t="n"/>
      <c r="AH850" s="53" t="n"/>
      <c r="AI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c r="AA851" s="53" t="n"/>
      <c r="AB851" s="53" t="n"/>
      <c r="AC851" s="53" t="n"/>
      <c r="AD851" s="53" t="n"/>
      <c r="AE851" s="53" t="n"/>
      <c r="AF851" s="53" t="n"/>
      <c r="AG851" s="53" t="n"/>
      <c r="AH851" s="53" t="n"/>
      <c r="AI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c r="AA852" s="53" t="n"/>
      <c r="AB852" s="53" t="n"/>
      <c r="AC852" s="53" t="n"/>
      <c r="AD852" s="53" t="n"/>
      <c r="AE852" s="53" t="n"/>
      <c r="AF852" s="53" t="n"/>
      <c r="AG852" s="53" t="n"/>
      <c r="AH852" s="53" t="n"/>
      <c r="AI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c r="AA853" s="53" t="n"/>
      <c r="AB853" s="53" t="n"/>
      <c r="AC853" s="53" t="n"/>
      <c r="AD853" s="53" t="n"/>
      <c r="AE853" s="53" t="n"/>
      <c r="AF853" s="53" t="n"/>
      <c r="AG853" s="53" t="n"/>
      <c r="AH853" s="53" t="n"/>
      <c r="AI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c r="AA854" s="53" t="n"/>
      <c r="AB854" s="53" t="n"/>
      <c r="AC854" s="53" t="n"/>
      <c r="AD854" s="53" t="n"/>
      <c r="AE854" s="53" t="n"/>
      <c r="AF854" s="53" t="n"/>
      <c r="AG854" s="53" t="n"/>
      <c r="AH854" s="53" t="n"/>
      <c r="AI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c r="AA855" s="53" t="n"/>
      <c r="AB855" s="53" t="n"/>
      <c r="AC855" s="53" t="n"/>
      <c r="AD855" s="53" t="n"/>
      <c r="AE855" s="53" t="n"/>
      <c r="AF855" s="53" t="n"/>
      <c r="AG855" s="53" t="n"/>
      <c r="AH855" s="53" t="n"/>
      <c r="AI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c r="AA856" s="53" t="n"/>
      <c r="AB856" s="53" t="n"/>
      <c r="AC856" s="53" t="n"/>
      <c r="AD856" s="53" t="n"/>
      <c r="AE856" s="53" t="n"/>
      <c r="AF856" s="53" t="n"/>
      <c r="AG856" s="53" t="n"/>
      <c r="AH856" s="53" t="n"/>
      <c r="AI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c r="AA857" s="53" t="n"/>
      <c r="AB857" s="53" t="n"/>
      <c r="AC857" s="53" t="n"/>
      <c r="AD857" s="53" t="n"/>
      <c r="AE857" s="53" t="n"/>
      <c r="AF857" s="53" t="n"/>
      <c r="AG857" s="53" t="n"/>
      <c r="AH857" s="53" t="n"/>
      <c r="AI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c r="AA858" s="53" t="n"/>
      <c r="AB858" s="53" t="n"/>
      <c r="AC858" s="53" t="n"/>
      <c r="AD858" s="53" t="n"/>
      <c r="AE858" s="53" t="n"/>
      <c r="AF858" s="53" t="n"/>
      <c r="AG858" s="53" t="n"/>
      <c r="AH858" s="53" t="n"/>
      <c r="AI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c r="AA859" s="53" t="n"/>
      <c r="AB859" s="53" t="n"/>
      <c r="AC859" s="53" t="n"/>
      <c r="AD859" s="53" t="n"/>
      <c r="AE859" s="53" t="n"/>
      <c r="AF859" s="53" t="n"/>
      <c r="AG859" s="53" t="n"/>
      <c r="AH859" s="53" t="n"/>
      <c r="AI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c r="AA860" s="53" t="n"/>
      <c r="AB860" s="53" t="n"/>
      <c r="AC860" s="53" t="n"/>
      <c r="AD860" s="53" t="n"/>
      <c r="AE860" s="53" t="n"/>
      <c r="AF860" s="53" t="n"/>
      <c r="AG860" s="53" t="n"/>
      <c r="AH860" s="53" t="n"/>
      <c r="AI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c r="AA861" s="53" t="n"/>
      <c r="AB861" s="53" t="n"/>
      <c r="AC861" s="53" t="n"/>
      <c r="AD861" s="53" t="n"/>
      <c r="AE861" s="53" t="n"/>
      <c r="AF861" s="53" t="n"/>
      <c r="AG861" s="53" t="n"/>
      <c r="AH861" s="53" t="n"/>
      <c r="AI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c r="AA862" s="53" t="n"/>
      <c r="AB862" s="53" t="n"/>
      <c r="AC862" s="53" t="n"/>
      <c r="AD862" s="53" t="n"/>
      <c r="AE862" s="53" t="n"/>
      <c r="AF862" s="53" t="n"/>
      <c r="AG862" s="53" t="n"/>
      <c r="AH862" s="53" t="n"/>
      <c r="AI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c r="AA863" s="53" t="n"/>
      <c r="AB863" s="53" t="n"/>
      <c r="AC863" s="53" t="n"/>
      <c r="AD863" s="53" t="n"/>
      <c r="AE863" s="53" t="n"/>
      <c r="AF863" s="53" t="n"/>
      <c r="AG863" s="53" t="n"/>
      <c r="AH863" s="53" t="n"/>
      <c r="AI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c r="AA864" s="53" t="n"/>
      <c r="AB864" s="53" t="n"/>
      <c r="AC864" s="53" t="n"/>
      <c r="AD864" s="53" t="n"/>
      <c r="AE864" s="53" t="n"/>
      <c r="AF864" s="53" t="n"/>
      <c r="AG864" s="53" t="n"/>
      <c r="AH864" s="53" t="n"/>
      <c r="AI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c r="AA865" s="53" t="n"/>
      <c r="AB865" s="53" t="n"/>
      <c r="AC865" s="53" t="n"/>
      <c r="AD865" s="53" t="n"/>
      <c r="AE865" s="53" t="n"/>
      <c r="AF865" s="53" t="n"/>
      <c r="AG865" s="53" t="n"/>
      <c r="AH865" s="53" t="n"/>
      <c r="AI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c r="AA866" s="53" t="n"/>
      <c r="AB866" s="53" t="n"/>
      <c r="AC866" s="53" t="n"/>
      <c r="AD866" s="53" t="n"/>
      <c r="AE866" s="53" t="n"/>
      <c r="AF866" s="53" t="n"/>
      <c r="AG866" s="53" t="n"/>
      <c r="AH866" s="53" t="n"/>
      <c r="AI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c r="AA867" s="53" t="n"/>
      <c r="AB867" s="53" t="n"/>
      <c r="AC867" s="53" t="n"/>
      <c r="AD867" s="53" t="n"/>
      <c r="AE867" s="53" t="n"/>
      <c r="AF867" s="53" t="n"/>
      <c r="AG867" s="53" t="n"/>
      <c r="AH867" s="53" t="n"/>
      <c r="AI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c r="AA868" s="53" t="n"/>
      <c r="AB868" s="53" t="n"/>
      <c r="AC868" s="53" t="n"/>
      <c r="AD868" s="53" t="n"/>
      <c r="AE868" s="53" t="n"/>
      <c r="AF868" s="53" t="n"/>
      <c r="AG868" s="53" t="n"/>
      <c r="AH868" s="53" t="n"/>
      <c r="AI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c r="AA869" s="53" t="n"/>
      <c r="AB869" s="53" t="n"/>
      <c r="AC869" s="53" t="n"/>
      <c r="AD869" s="53" t="n"/>
      <c r="AE869" s="53" t="n"/>
      <c r="AF869" s="53" t="n"/>
      <c r="AG869" s="53" t="n"/>
      <c r="AH869" s="53" t="n"/>
      <c r="AI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c r="AA870" s="53" t="n"/>
      <c r="AB870" s="53" t="n"/>
      <c r="AC870" s="53" t="n"/>
      <c r="AD870" s="53" t="n"/>
      <c r="AE870" s="53" t="n"/>
      <c r="AF870" s="53" t="n"/>
      <c r="AG870" s="53" t="n"/>
      <c r="AH870" s="53" t="n"/>
      <c r="AI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c r="AA871" s="53" t="n"/>
      <c r="AB871" s="53" t="n"/>
      <c r="AC871" s="53" t="n"/>
      <c r="AD871" s="53" t="n"/>
      <c r="AE871" s="53" t="n"/>
      <c r="AF871" s="53" t="n"/>
      <c r="AG871" s="53" t="n"/>
      <c r="AH871" s="53" t="n"/>
      <c r="AI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c r="AA872" s="53" t="n"/>
      <c r="AB872" s="53" t="n"/>
      <c r="AC872" s="53" t="n"/>
      <c r="AD872" s="53" t="n"/>
      <c r="AE872" s="53" t="n"/>
      <c r="AF872" s="53" t="n"/>
      <c r="AG872" s="53" t="n"/>
      <c r="AH872" s="53" t="n"/>
      <c r="AI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c r="AA873" s="53" t="n"/>
      <c r="AB873" s="53" t="n"/>
      <c r="AC873" s="53" t="n"/>
      <c r="AD873" s="53" t="n"/>
      <c r="AE873" s="53" t="n"/>
      <c r="AF873" s="53" t="n"/>
      <c r="AG873" s="53" t="n"/>
      <c r="AH873" s="53" t="n"/>
      <c r="AI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c r="AA874" s="53" t="n"/>
      <c r="AB874" s="53" t="n"/>
      <c r="AC874" s="53" t="n"/>
      <c r="AD874" s="53" t="n"/>
      <c r="AE874" s="53" t="n"/>
      <c r="AF874" s="53" t="n"/>
      <c r="AG874" s="53" t="n"/>
      <c r="AH874" s="53" t="n"/>
      <c r="AI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c r="AA875" s="53" t="n"/>
      <c r="AB875" s="53" t="n"/>
      <c r="AC875" s="53" t="n"/>
      <c r="AD875" s="53" t="n"/>
      <c r="AE875" s="53" t="n"/>
      <c r="AF875" s="53" t="n"/>
      <c r="AG875" s="53" t="n"/>
      <c r="AH875" s="53" t="n"/>
      <c r="AI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c r="AA876" s="53" t="n"/>
      <c r="AB876" s="53" t="n"/>
      <c r="AC876" s="53" t="n"/>
      <c r="AD876" s="53" t="n"/>
      <c r="AE876" s="53" t="n"/>
      <c r="AF876" s="53" t="n"/>
      <c r="AG876" s="53" t="n"/>
      <c r="AH876" s="53" t="n"/>
      <c r="AI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c r="AA877" s="53" t="n"/>
      <c r="AB877" s="53" t="n"/>
      <c r="AC877" s="53" t="n"/>
      <c r="AD877" s="53" t="n"/>
      <c r="AE877" s="53" t="n"/>
      <c r="AF877" s="53" t="n"/>
      <c r="AG877" s="53" t="n"/>
      <c r="AH877" s="53" t="n"/>
      <c r="AI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c r="AA878" s="53" t="n"/>
      <c r="AB878" s="53" t="n"/>
      <c r="AC878" s="53" t="n"/>
      <c r="AD878" s="53" t="n"/>
      <c r="AE878" s="53" t="n"/>
      <c r="AF878" s="53" t="n"/>
      <c r="AG878" s="53" t="n"/>
      <c r="AH878" s="53" t="n"/>
      <c r="AI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c r="AA879" s="53" t="n"/>
      <c r="AB879" s="53" t="n"/>
      <c r="AC879" s="53" t="n"/>
      <c r="AD879" s="53" t="n"/>
      <c r="AE879" s="53" t="n"/>
      <c r="AF879" s="53" t="n"/>
      <c r="AG879" s="53" t="n"/>
      <c r="AH879" s="53" t="n"/>
      <c r="AI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c r="AA880" s="53" t="n"/>
      <c r="AB880" s="53" t="n"/>
      <c r="AC880" s="53" t="n"/>
      <c r="AD880" s="53" t="n"/>
      <c r="AE880" s="53" t="n"/>
      <c r="AF880" s="53" t="n"/>
      <c r="AG880" s="53" t="n"/>
      <c r="AH880" s="53" t="n"/>
      <c r="AI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c r="AA881" s="53" t="n"/>
      <c r="AB881" s="53" t="n"/>
      <c r="AC881" s="53" t="n"/>
      <c r="AD881" s="53" t="n"/>
      <c r="AE881" s="53" t="n"/>
      <c r="AF881" s="53" t="n"/>
      <c r="AG881" s="53" t="n"/>
      <c r="AH881" s="53" t="n"/>
      <c r="AI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c r="AA882" s="53" t="n"/>
      <c r="AB882" s="53" t="n"/>
      <c r="AC882" s="53" t="n"/>
      <c r="AD882" s="53" t="n"/>
      <c r="AE882" s="53" t="n"/>
      <c r="AF882" s="53" t="n"/>
      <c r="AG882" s="53" t="n"/>
      <c r="AH882" s="53" t="n"/>
      <c r="AI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c r="AA883" s="53" t="n"/>
      <c r="AB883" s="53" t="n"/>
      <c r="AC883" s="53" t="n"/>
      <c r="AD883" s="53" t="n"/>
      <c r="AE883" s="53" t="n"/>
      <c r="AF883" s="53" t="n"/>
      <c r="AG883" s="53" t="n"/>
      <c r="AH883" s="53" t="n"/>
      <c r="AI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c r="AA884" s="53" t="n"/>
      <c r="AB884" s="53" t="n"/>
      <c r="AC884" s="53" t="n"/>
      <c r="AD884" s="53" t="n"/>
      <c r="AE884" s="53" t="n"/>
      <c r="AF884" s="53" t="n"/>
      <c r="AG884" s="53" t="n"/>
      <c r="AH884" s="53" t="n"/>
      <c r="AI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c r="AA885" s="53" t="n"/>
      <c r="AB885" s="53" t="n"/>
      <c r="AC885" s="53" t="n"/>
      <c r="AD885" s="53" t="n"/>
      <c r="AE885" s="53" t="n"/>
      <c r="AF885" s="53" t="n"/>
      <c r="AG885" s="53" t="n"/>
      <c r="AH885" s="53" t="n"/>
      <c r="AI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c r="AA886" s="53" t="n"/>
      <c r="AB886" s="53" t="n"/>
      <c r="AC886" s="53" t="n"/>
      <c r="AD886" s="53" t="n"/>
      <c r="AE886" s="53" t="n"/>
      <c r="AF886" s="53" t="n"/>
      <c r="AG886" s="53" t="n"/>
      <c r="AH886" s="53" t="n"/>
      <c r="AI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c r="AA887" s="53" t="n"/>
      <c r="AB887" s="53" t="n"/>
      <c r="AC887" s="53" t="n"/>
      <c r="AD887" s="53" t="n"/>
      <c r="AE887" s="53" t="n"/>
      <c r="AF887" s="53" t="n"/>
      <c r="AG887" s="53" t="n"/>
      <c r="AH887" s="53" t="n"/>
      <c r="AI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c r="AA888" s="53" t="n"/>
      <c r="AB888" s="53" t="n"/>
      <c r="AC888" s="53" t="n"/>
      <c r="AD888" s="53" t="n"/>
      <c r="AE888" s="53" t="n"/>
      <c r="AF888" s="53" t="n"/>
      <c r="AG888" s="53" t="n"/>
      <c r="AH888" s="53" t="n"/>
      <c r="AI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c r="AA889" s="53" t="n"/>
      <c r="AB889" s="53" t="n"/>
      <c r="AC889" s="53" t="n"/>
      <c r="AD889" s="53" t="n"/>
      <c r="AE889" s="53" t="n"/>
      <c r="AF889" s="53" t="n"/>
      <c r="AG889" s="53" t="n"/>
      <c r="AH889" s="53" t="n"/>
      <c r="AI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c r="AA890" s="53" t="n"/>
      <c r="AB890" s="53" t="n"/>
      <c r="AC890" s="53" t="n"/>
      <c r="AD890" s="53" t="n"/>
      <c r="AE890" s="53" t="n"/>
      <c r="AF890" s="53" t="n"/>
      <c r="AG890" s="53" t="n"/>
      <c r="AH890" s="53" t="n"/>
      <c r="AI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c r="AA891" s="53" t="n"/>
      <c r="AB891" s="53" t="n"/>
      <c r="AC891" s="53" t="n"/>
      <c r="AD891" s="53" t="n"/>
      <c r="AE891" s="53" t="n"/>
      <c r="AF891" s="53" t="n"/>
      <c r="AG891" s="53" t="n"/>
      <c r="AH891" s="53" t="n"/>
      <c r="AI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c r="AA892" s="53" t="n"/>
      <c r="AB892" s="53" t="n"/>
      <c r="AC892" s="53" t="n"/>
      <c r="AD892" s="53" t="n"/>
      <c r="AE892" s="53" t="n"/>
      <c r="AF892" s="53" t="n"/>
      <c r="AG892" s="53" t="n"/>
      <c r="AH892" s="53" t="n"/>
      <c r="AI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c r="AA893" s="53" t="n"/>
      <c r="AB893" s="53" t="n"/>
      <c r="AC893" s="53" t="n"/>
      <c r="AD893" s="53" t="n"/>
      <c r="AE893" s="53" t="n"/>
      <c r="AF893" s="53" t="n"/>
      <c r="AG893" s="53" t="n"/>
      <c r="AH893" s="53" t="n"/>
      <c r="AI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c r="AA894" s="53" t="n"/>
      <c r="AB894" s="53" t="n"/>
      <c r="AC894" s="53" t="n"/>
      <c r="AD894" s="53" t="n"/>
      <c r="AE894" s="53" t="n"/>
      <c r="AF894" s="53" t="n"/>
      <c r="AG894" s="53" t="n"/>
      <c r="AH894" s="53" t="n"/>
      <c r="AI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c r="AA895" s="53" t="n"/>
      <c r="AB895" s="53" t="n"/>
      <c r="AC895" s="53" t="n"/>
      <c r="AD895" s="53" t="n"/>
      <c r="AE895" s="53" t="n"/>
      <c r="AF895" s="53" t="n"/>
      <c r="AG895" s="53" t="n"/>
      <c r="AH895" s="53" t="n"/>
      <c r="AI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c r="AA896" s="53" t="n"/>
      <c r="AB896" s="53" t="n"/>
      <c r="AC896" s="53" t="n"/>
      <c r="AD896" s="53" t="n"/>
      <c r="AE896" s="53" t="n"/>
      <c r="AF896" s="53" t="n"/>
      <c r="AG896" s="53" t="n"/>
      <c r="AH896" s="53" t="n"/>
      <c r="AI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c r="AA897" s="53" t="n"/>
      <c r="AB897" s="53" t="n"/>
      <c r="AC897" s="53" t="n"/>
      <c r="AD897" s="53" t="n"/>
      <c r="AE897" s="53" t="n"/>
      <c r="AF897" s="53" t="n"/>
      <c r="AG897" s="53" t="n"/>
      <c r="AH897" s="53" t="n"/>
      <c r="AI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c r="AA898" s="53" t="n"/>
      <c r="AB898" s="53" t="n"/>
      <c r="AC898" s="53" t="n"/>
      <c r="AD898" s="53" t="n"/>
      <c r="AE898" s="53" t="n"/>
      <c r="AF898" s="53" t="n"/>
      <c r="AG898" s="53" t="n"/>
      <c r="AH898" s="53" t="n"/>
      <c r="AI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c r="AA899" s="53" t="n"/>
      <c r="AB899" s="53" t="n"/>
      <c r="AC899" s="53" t="n"/>
      <c r="AD899" s="53" t="n"/>
      <c r="AE899" s="53" t="n"/>
      <c r="AF899" s="53" t="n"/>
      <c r="AG899" s="53" t="n"/>
      <c r="AH899" s="53" t="n"/>
      <c r="AI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c r="AA900" s="53" t="n"/>
      <c r="AB900" s="53" t="n"/>
      <c r="AC900" s="53" t="n"/>
      <c r="AD900" s="53" t="n"/>
      <c r="AE900" s="53" t="n"/>
      <c r="AF900" s="53" t="n"/>
      <c r="AG900" s="53" t="n"/>
      <c r="AH900" s="53" t="n"/>
      <c r="AI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c r="AA901" s="53" t="n"/>
      <c r="AB901" s="53" t="n"/>
      <c r="AC901" s="53" t="n"/>
      <c r="AD901" s="53" t="n"/>
      <c r="AE901" s="53" t="n"/>
      <c r="AF901" s="53" t="n"/>
      <c r="AG901" s="53" t="n"/>
      <c r="AH901" s="53" t="n"/>
      <c r="AI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c r="AA902" s="53" t="n"/>
      <c r="AB902" s="53" t="n"/>
      <c r="AC902" s="53" t="n"/>
      <c r="AD902" s="53" t="n"/>
      <c r="AE902" s="53" t="n"/>
      <c r="AF902" s="53" t="n"/>
      <c r="AG902" s="53" t="n"/>
      <c r="AH902" s="53" t="n"/>
      <c r="AI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c r="AA903" s="53" t="n"/>
      <c r="AB903" s="53" t="n"/>
      <c r="AC903" s="53" t="n"/>
      <c r="AD903" s="53" t="n"/>
      <c r="AE903" s="53" t="n"/>
      <c r="AF903" s="53" t="n"/>
      <c r="AG903" s="53" t="n"/>
      <c r="AH903" s="53" t="n"/>
      <c r="AI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c r="AA904" s="53" t="n"/>
      <c r="AB904" s="53" t="n"/>
      <c r="AC904" s="53" t="n"/>
      <c r="AD904" s="53" t="n"/>
      <c r="AE904" s="53" t="n"/>
      <c r="AF904" s="53" t="n"/>
      <c r="AG904" s="53" t="n"/>
      <c r="AH904" s="53" t="n"/>
      <c r="AI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c r="AA905" s="53" t="n"/>
      <c r="AB905" s="53" t="n"/>
      <c r="AC905" s="53" t="n"/>
      <c r="AD905" s="53" t="n"/>
      <c r="AE905" s="53" t="n"/>
      <c r="AF905" s="53" t="n"/>
      <c r="AG905" s="53" t="n"/>
      <c r="AH905" s="53" t="n"/>
      <c r="AI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c r="AA906" s="53" t="n"/>
      <c r="AB906" s="53" t="n"/>
      <c r="AC906" s="53" t="n"/>
      <c r="AD906" s="53" t="n"/>
      <c r="AE906" s="53" t="n"/>
      <c r="AF906" s="53" t="n"/>
      <c r="AG906" s="53" t="n"/>
      <c r="AH906" s="53" t="n"/>
      <c r="AI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c r="AA907" s="53" t="n"/>
      <c r="AB907" s="53" t="n"/>
      <c r="AC907" s="53" t="n"/>
      <c r="AD907" s="53" t="n"/>
      <c r="AE907" s="53" t="n"/>
      <c r="AF907" s="53" t="n"/>
      <c r="AG907" s="53" t="n"/>
      <c r="AH907" s="53" t="n"/>
      <c r="AI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c r="AA908" s="53" t="n"/>
      <c r="AB908" s="53" t="n"/>
      <c r="AC908" s="53" t="n"/>
      <c r="AD908" s="53" t="n"/>
      <c r="AE908" s="53" t="n"/>
      <c r="AF908" s="53" t="n"/>
      <c r="AG908" s="53" t="n"/>
      <c r="AH908" s="53" t="n"/>
      <c r="AI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c r="AA909" s="53" t="n"/>
      <c r="AB909" s="53" t="n"/>
      <c r="AC909" s="53" t="n"/>
      <c r="AD909" s="53" t="n"/>
      <c r="AE909" s="53" t="n"/>
      <c r="AF909" s="53" t="n"/>
      <c r="AG909" s="53" t="n"/>
      <c r="AH909" s="53" t="n"/>
      <c r="AI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c r="AA910" s="53" t="n"/>
      <c r="AB910" s="53" t="n"/>
      <c r="AC910" s="53" t="n"/>
      <c r="AD910" s="53" t="n"/>
      <c r="AE910" s="53" t="n"/>
      <c r="AF910" s="53" t="n"/>
      <c r="AG910" s="53" t="n"/>
      <c r="AH910" s="53" t="n"/>
      <c r="AI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c r="AA911" s="53" t="n"/>
      <c r="AB911" s="53" t="n"/>
      <c r="AC911" s="53" t="n"/>
      <c r="AD911" s="53" t="n"/>
      <c r="AE911" s="53" t="n"/>
      <c r="AF911" s="53" t="n"/>
      <c r="AG911" s="53" t="n"/>
      <c r="AH911" s="53" t="n"/>
      <c r="AI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c r="AA912" s="53" t="n"/>
      <c r="AB912" s="53" t="n"/>
      <c r="AC912" s="53" t="n"/>
      <c r="AD912" s="53" t="n"/>
      <c r="AE912" s="53" t="n"/>
      <c r="AF912" s="53" t="n"/>
      <c r="AG912" s="53" t="n"/>
      <c r="AH912" s="53" t="n"/>
      <c r="AI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c r="AA913" s="53" t="n"/>
      <c r="AB913" s="53" t="n"/>
      <c r="AC913" s="53" t="n"/>
      <c r="AD913" s="53" t="n"/>
      <c r="AE913" s="53" t="n"/>
      <c r="AF913" s="53" t="n"/>
      <c r="AG913" s="53" t="n"/>
      <c r="AH913" s="53" t="n"/>
      <c r="AI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c r="AA914" s="53" t="n"/>
      <c r="AB914" s="53" t="n"/>
      <c r="AC914" s="53" t="n"/>
      <c r="AD914" s="53" t="n"/>
      <c r="AE914" s="53" t="n"/>
      <c r="AF914" s="53" t="n"/>
      <c r="AG914" s="53" t="n"/>
      <c r="AH914" s="53" t="n"/>
      <c r="AI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c r="AA915" s="53" t="n"/>
      <c r="AB915" s="53" t="n"/>
      <c r="AC915" s="53" t="n"/>
      <c r="AD915" s="53" t="n"/>
      <c r="AE915" s="53" t="n"/>
      <c r="AF915" s="53" t="n"/>
      <c r="AG915" s="53" t="n"/>
      <c r="AH915" s="53" t="n"/>
      <c r="AI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c r="AA916" s="53" t="n"/>
      <c r="AB916" s="53" t="n"/>
      <c r="AC916" s="53" t="n"/>
      <c r="AD916" s="53" t="n"/>
      <c r="AE916" s="53" t="n"/>
      <c r="AF916" s="53" t="n"/>
      <c r="AG916" s="53" t="n"/>
      <c r="AH916" s="53" t="n"/>
      <c r="AI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c r="AA917" s="53" t="n"/>
      <c r="AB917" s="53" t="n"/>
      <c r="AC917" s="53" t="n"/>
      <c r="AD917" s="53" t="n"/>
      <c r="AE917" s="53" t="n"/>
      <c r="AF917" s="53" t="n"/>
      <c r="AG917" s="53" t="n"/>
      <c r="AH917" s="53" t="n"/>
      <c r="AI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c r="AA918" s="53" t="n"/>
      <c r="AB918" s="53" t="n"/>
      <c r="AC918" s="53" t="n"/>
      <c r="AD918" s="53" t="n"/>
      <c r="AE918" s="53" t="n"/>
      <c r="AF918" s="53" t="n"/>
      <c r="AG918" s="53" t="n"/>
      <c r="AH918" s="53" t="n"/>
      <c r="AI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c r="AA919" s="53" t="n"/>
      <c r="AB919" s="53" t="n"/>
      <c r="AC919" s="53" t="n"/>
      <c r="AD919" s="53" t="n"/>
      <c r="AE919" s="53" t="n"/>
      <c r="AF919" s="53" t="n"/>
      <c r="AG919" s="53" t="n"/>
      <c r="AH919" s="53" t="n"/>
      <c r="AI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c r="AA920" s="53" t="n"/>
      <c r="AB920" s="53" t="n"/>
      <c r="AC920" s="53" t="n"/>
      <c r="AD920" s="53" t="n"/>
      <c r="AE920" s="53" t="n"/>
      <c r="AF920" s="53" t="n"/>
      <c r="AG920" s="53" t="n"/>
      <c r="AH920" s="53" t="n"/>
      <c r="AI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c r="AA921" s="53" t="n"/>
      <c r="AB921" s="53" t="n"/>
      <c r="AC921" s="53" t="n"/>
      <c r="AD921" s="53" t="n"/>
      <c r="AE921" s="53" t="n"/>
      <c r="AF921" s="53" t="n"/>
      <c r="AG921" s="53" t="n"/>
      <c r="AH921" s="53" t="n"/>
      <c r="AI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c r="AA922" s="53" t="n"/>
      <c r="AB922" s="53" t="n"/>
      <c r="AC922" s="53" t="n"/>
      <c r="AD922" s="53" t="n"/>
      <c r="AE922" s="53" t="n"/>
      <c r="AF922" s="53" t="n"/>
      <c r="AG922" s="53" t="n"/>
      <c r="AH922" s="53" t="n"/>
      <c r="AI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c r="AA923" s="53" t="n"/>
      <c r="AB923" s="53" t="n"/>
      <c r="AC923" s="53" t="n"/>
      <c r="AD923" s="53" t="n"/>
      <c r="AE923" s="53" t="n"/>
      <c r="AF923" s="53" t="n"/>
      <c r="AG923" s="53" t="n"/>
      <c r="AH923" s="53" t="n"/>
      <c r="AI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c r="AA924" s="53" t="n"/>
      <c r="AB924" s="53" t="n"/>
      <c r="AC924" s="53" t="n"/>
      <c r="AD924" s="53" t="n"/>
      <c r="AE924" s="53" t="n"/>
      <c r="AF924" s="53" t="n"/>
      <c r="AG924" s="53" t="n"/>
      <c r="AH924" s="53" t="n"/>
      <c r="AI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c r="AA925" s="53" t="n"/>
      <c r="AB925" s="53" t="n"/>
      <c r="AC925" s="53" t="n"/>
      <c r="AD925" s="53" t="n"/>
      <c r="AE925" s="53" t="n"/>
      <c r="AF925" s="53" t="n"/>
      <c r="AG925" s="53" t="n"/>
      <c r="AH925" s="53" t="n"/>
      <c r="AI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c r="AA926" s="53" t="n"/>
      <c r="AB926" s="53" t="n"/>
      <c r="AC926" s="53" t="n"/>
      <c r="AD926" s="53" t="n"/>
      <c r="AE926" s="53" t="n"/>
      <c r="AF926" s="53" t="n"/>
      <c r="AG926" s="53" t="n"/>
      <c r="AH926" s="53" t="n"/>
      <c r="AI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c r="AA927" s="53" t="n"/>
      <c r="AB927" s="53" t="n"/>
      <c r="AC927" s="53" t="n"/>
      <c r="AD927" s="53" t="n"/>
      <c r="AE927" s="53" t="n"/>
      <c r="AF927" s="53" t="n"/>
      <c r="AG927" s="53" t="n"/>
      <c r="AH927" s="53" t="n"/>
      <c r="AI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c r="AA928" s="53" t="n"/>
      <c r="AB928" s="53" t="n"/>
      <c r="AC928" s="53" t="n"/>
      <c r="AD928" s="53" t="n"/>
      <c r="AE928" s="53" t="n"/>
      <c r="AF928" s="53" t="n"/>
      <c r="AG928" s="53" t="n"/>
      <c r="AH928" s="53" t="n"/>
      <c r="AI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c r="AA929" s="53" t="n"/>
      <c r="AB929" s="53" t="n"/>
      <c r="AC929" s="53" t="n"/>
      <c r="AD929" s="53" t="n"/>
      <c r="AE929" s="53" t="n"/>
      <c r="AF929" s="53" t="n"/>
      <c r="AG929" s="53" t="n"/>
      <c r="AH929" s="53" t="n"/>
      <c r="AI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c r="AA930" s="53" t="n"/>
      <c r="AB930" s="53" t="n"/>
      <c r="AC930" s="53" t="n"/>
      <c r="AD930" s="53" t="n"/>
      <c r="AE930" s="53" t="n"/>
      <c r="AF930" s="53" t="n"/>
      <c r="AG930" s="53" t="n"/>
      <c r="AH930" s="53" t="n"/>
      <c r="AI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c r="AA931" s="53" t="n"/>
      <c r="AB931" s="53" t="n"/>
      <c r="AC931" s="53" t="n"/>
      <c r="AD931" s="53" t="n"/>
      <c r="AE931" s="53" t="n"/>
      <c r="AF931" s="53" t="n"/>
      <c r="AG931" s="53" t="n"/>
      <c r="AH931" s="53" t="n"/>
      <c r="AI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c r="AA932" s="53" t="n"/>
      <c r="AB932" s="53" t="n"/>
      <c r="AC932" s="53" t="n"/>
      <c r="AD932" s="53" t="n"/>
      <c r="AE932" s="53" t="n"/>
      <c r="AF932" s="53" t="n"/>
      <c r="AG932" s="53" t="n"/>
      <c r="AH932" s="53" t="n"/>
      <c r="AI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c r="AA933" s="53" t="n"/>
      <c r="AB933" s="53" t="n"/>
      <c r="AC933" s="53" t="n"/>
      <c r="AD933" s="53" t="n"/>
      <c r="AE933" s="53" t="n"/>
      <c r="AF933" s="53" t="n"/>
      <c r="AG933" s="53" t="n"/>
      <c r="AH933" s="53" t="n"/>
      <c r="AI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c r="AA934" s="53" t="n"/>
      <c r="AB934" s="53" t="n"/>
      <c r="AC934" s="53" t="n"/>
      <c r="AD934" s="53" t="n"/>
      <c r="AE934" s="53" t="n"/>
      <c r="AF934" s="53" t="n"/>
      <c r="AG934" s="53" t="n"/>
      <c r="AH934" s="53" t="n"/>
      <c r="AI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c r="AA935" s="53" t="n"/>
      <c r="AB935" s="53" t="n"/>
      <c r="AC935" s="53" t="n"/>
      <c r="AD935" s="53" t="n"/>
      <c r="AE935" s="53" t="n"/>
      <c r="AF935" s="53" t="n"/>
      <c r="AG935" s="53" t="n"/>
      <c r="AH935" s="53" t="n"/>
      <c r="AI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c r="AA936" s="53" t="n"/>
      <c r="AB936" s="53" t="n"/>
      <c r="AC936" s="53" t="n"/>
      <c r="AD936" s="53" t="n"/>
      <c r="AE936" s="53" t="n"/>
      <c r="AF936" s="53" t="n"/>
      <c r="AG936" s="53" t="n"/>
      <c r="AH936" s="53" t="n"/>
      <c r="AI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c r="AA937" s="53" t="n"/>
      <c r="AB937" s="53" t="n"/>
      <c r="AC937" s="53" t="n"/>
      <c r="AD937" s="53" t="n"/>
      <c r="AE937" s="53" t="n"/>
      <c r="AF937" s="53" t="n"/>
      <c r="AG937" s="53" t="n"/>
      <c r="AH937" s="53" t="n"/>
      <c r="AI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c r="AA938" s="53" t="n"/>
      <c r="AB938" s="53" t="n"/>
      <c r="AC938" s="53" t="n"/>
      <c r="AD938" s="53" t="n"/>
      <c r="AE938" s="53" t="n"/>
      <c r="AF938" s="53" t="n"/>
      <c r="AG938" s="53" t="n"/>
      <c r="AH938" s="53" t="n"/>
      <c r="AI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c r="AA939" s="53" t="n"/>
      <c r="AB939" s="53" t="n"/>
      <c r="AC939" s="53" t="n"/>
      <c r="AD939" s="53" t="n"/>
      <c r="AE939" s="53" t="n"/>
      <c r="AF939" s="53" t="n"/>
      <c r="AG939" s="53" t="n"/>
      <c r="AH939" s="53" t="n"/>
      <c r="AI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c r="AA940" s="53" t="n"/>
      <c r="AB940" s="53" t="n"/>
      <c r="AC940" s="53" t="n"/>
      <c r="AD940" s="53" t="n"/>
      <c r="AE940" s="53" t="n"/>
      <c r="AF940" s="53" t="n"/>
      <c r="AG940" s="53" t="n"/>
      <c r="AH940" s="53" t="n"/>
      <c r="AI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c r="AA941" s="53" t="n"/>
      <c r="AB941" s="53" t="n"/>
      <c r="AC941" s="53" t="n"/>
      <c r="AD941" s="53" t="n"/>
      <c r="AE941" s="53" t="n"/>
      <c r="AF941" s="53" t="n"/>
      <c r="AG941" s="53" t="n"/>
      <c r="AH941" s="53" t="n"/>
      <c r="AI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c r="AA942" s="53" t="n"/>
      <c r="AB942" s="53" t="n"/>
      <c r="AC942" s="53" t="n"/>
      <c r="AD942" s="53" t="n"/>
      <c r="AE942" s="53" t="n"/>
      <c r="AF942" s="53" t="n"/>
      <c r="AG942" s="53" t="n"/>
      <c r="AH942" s="53" t="n"/>
      <c r="AI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c r="AA943" s="53" t="n"/>
      <c r="AB943" s="53" t="n"/>
      <c r="AC943" s="53" t="n"/>
      <c r="AD943" s="53" t="n"/>
      <c r="AE943" s="53" t="n"/>
      <c r="AF943" s="53" t="n"/>
      <c r="AG943" s="53" t="n"/>
      <c r="AH943" s="53" t="n"/>
      <c r="AI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c r="AA944" s="53" t="n"/>
      <c r="AB944" s="53" t="n"/>
      <c r="AC944" s="53" t="n"/>
      <c r="AD944" s="53" t="n"/>
      <c r="AE944" s="53" t="n"/>
      <c r="AF944" s="53" t="n"/>
      <c r="AG944" s="53" t="n"/>
      <c r="AH944" s="53" t="n"/>
      <c r="AI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c r="AA945" s="53" t="n"/>
      <c r="AB945" s="53" t="n"/>
      <c r="AC945" s="53" t="n"/>
      <c r="AD945" s="53" t="n"/>
      <c r="AE945" s="53" t="n"/>
      <c r="AF945" s="53" t="n"/>
      <c r="AG945" s="53" t="n"/>
      <c r="AH945" s="53" t="n"/>
      <c r="AI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c r="AA946" s="53" t="n"/>
      <c r="AB946" s="53" t="n"/>
      <c r="AC946" s="53" t="n"/>
      <c r="AD946" s="53" t="n"/>
      <c r="AE946" s="53" t="n"/>
      <c r="AF946" s="53" t="n"/>
      <c r="AG946" s="53" t="n"/>
      <c r="AH946" s="53" t="n"/>
      <c r="AI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c r="AA947" s="53" t="n"/>
      <c r="AB947" s="53" t="n"/>
      <c r="AC947" s="53" t="n"/>
      <c r="AD947" s="53" t="n"/>
      <c r="AE947" s="53" t="n"/>
      <c r="AF947" s="53" t="n"/>
      <c r="AG947" s="53" t="n"/>
      <c r="AH947" s="53" t="n"/>
      <c r="AI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c r="AA948" s="53" t="n"/>
      <c r="AB948" s="53" t="n"/>
      <c r="AC948" s="53" t="n"/>
      <c r="AD948" s="53" t="n"/>
      <c r="AE948" s="53" t="n"/>
      <c r="AF948" s="53" t="n"/>
      <c r="AG948" s="53" t="n"/>
      <c r="AH948" s="53" t="n"/>
      <c r="AI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c r="AA949" s="53" t="n"/>
      <c r="AB949" s="53" t="n"/>
      <c r="AC949" s="53" t="n"/>
      <c r="AD949" s="53" t="n"/>
      <c r="AE949" s="53" t="n"/>
      <c r="AF949" s="53" t="n"/>
      <c r="AG949" s="53" t="n"/>
      <c r="AH949" s="53" t="n"/>
      <c r="AI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c r="AA950" s="53" t="n"/>
      <c r="AB950" s="53" t="n"/>
      <c r="AC950" s="53" t="n"/>
      <c r="AD950" s="53" t="n"/>
      <c r="AE950" s="53" t="n"/>
      <c r="AF950" s="53" t="n"/>
      <c r="AG950" s="53" t="n"/>
      <c r="AH950" s="53" t="n"/>
      <c r="AI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c r="AA951" s="53" t="n"/>
      <c r="AB951" s="53" t="n"/>
      <c r="AC951" s="53" t="n"/>
      <c r="AD951" s="53" t="n"/>
      <c r="AE951" s="53" t="n"/>
      <c r="AF951" s="53" t="n"/>
      <c r="AG951" s="53" t="n"/>
      <c r="AH951" s="53" t="n"/>
      <c r="AI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c r="AA952" s="53" t="n"/>
      <c r="AB952" s="53" t="n"/>
      <c r="AC952" s="53" t="n"/>
      <c r="AD952" s="53" t="n"/>
      <c r="AE952" s="53" t="n"/>
      <c r="AF952" s="53" t="n"/>
      <c r="AG952" s="53" t="n"/>
      <c r="AH952" s="53" t="n"/>
      <c r="AI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c r="AA953" s="53" t="n"/>
      <c r="AB953" s="53" t="n"/>
      <c r="AC953" s="53" t="n"/>
      <c r="AD953" s="53" t="n"/>
      <c r="AE953" s="53" t="n"/>
      <c r="AF953" s="53" t="n"/>
      <c r="AG953" s="53" t="n"/>
      <c r="AH953" s="53" t="n"/>
      <c r="AI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c r="AA954" s="53" t="n"/>
      <c r="AB954" s="53" t="n"/>
      <c r="AC954" s="53" t="n"/>
      <c r="AD954" s="53" t="n"/>
      <c r="AE954" s="53" t="n"/>
      <c r="AF954" s="53" t="n"/>
      <c r="AG954" s="53" t="n"/>
      <c r="AH954" s="53" t="n"/>
      <c r="AI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c r="AA955" s="53" t="n"/>
      <c r="AB955" s="53" t="n"/>
      <c r="AC955" s="53" t="n"/>
      <c r="AD955" s="53" t="n"/>
      <c r="AE955" s="53" t="n"/>
      <c r="AF955" s="53" t="n"/>
      <c r="AG955" s="53" t="n"/>
      <c r="AH955" s="53" t="n"/>
      <c r="AI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c r="AA956" s="53" t="n"/>
      <c r="AB956" s="53" t="n"/>
      <c r="AC956" s="53" t="n"/>
      <c r="AD956" s="53" t="n"/>
      <c r="AE956" s="53" t="n"/>
      <c r="AF956" s="53" t="n"/>
      <c r="AG956" s="53" t="n"/>
      <c r="AH956" s="53" t="n"/>
      <c r="AI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c r="AA957" s="53" t="n"/>
      <c r="AB957" s="53" t="n"/>
      <c r="AC957" s="53" t="n"/>
      <c r="AD957" s="53" t="n"/>
      <c r="AE957" s="53" t="n"/>
      <c r="AF957" s="53" t="n"/>
      <c r="AG957" s="53" t="n"/>
      <c r="AH957" s="53" t="n"/>
      <c r="AI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c r="AA958" s="53" t="n"/>
      <c r="AB958" s="53" t="n"/>
      <c r="AC958" s="53" t="n"/>
      <c r="AD958" s="53" t="n"/>
      <c r="AE958" s="53" t="n"/>
      <c r="AF958" s="53" t="n"/>
      <c r="AG958" s="53" t="n"/>
      <c r="AH958" s="53" t="n"/>
      <c r="AI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c r="AA959" s="53" t="n"/>
      <c r="AB959" s="53" t="n"/>
      <c r="AC959" s="53" t="n"/>
      <c r="AD959" s="53" t="n"/>
      <c r="AE959" s="53" t="n"/>
      <c r="AF959" s="53" t="n"/>
      <c r="AG959" s="53" t="n"/>
      <c r="AH959" s="53" t="n"/>
      <c r="AI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c r="AA960" s="53" t="n"/>
      <c r="AB960" s="53" t="n"/>
      <c r="AC960" s="53" t="n"/>
      <c r="AD960" s="53" t="n"/>
      <c r="AE960" s="53" t="n"/>
      <c r="AF960" s="53" t="n"/>
      <c r="AG960" s="53" t="n"/>
      <c r="AH960" s="53" t="n"/>
      <c r="AI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c r="AA961" s="53" t="n"/>
      <c r="AB961" s="53" t="n"/>
      <c r="AC961" s="53" t="n"/>
      <c r="AD961" s="53" t="n"/>
      <c r="AE961" s="53" t="n"/>
      <c r="AF961" s="53" t="n"/>
      <c r="AG961" s="53" t="n"/>
      <c r="AH961" s="53" t="n"/>
      <c r="AI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c r="AA962" s="53" t="n"/>
      <c r="AB962" s="53" t="n"/>
      <c r="AC962" s="53" t="n"/>
      <c r="AD962" s="53" t="n"/>
      <c r="AE962" s="53" t="n"/>
      <c r="AF962" s="53" t="n"/>
      <c r="AG962" s="53" t="n"/>
      <c r="AH962" s="53" t="n"/>
      <c r="AI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c r="AA963" s="53" t="n"/>
      <c r="AB963" s="53" t="n"/>
      <c r="AC963" s="53" t="n"/>
      <c r="AD963" s="53" t="n"/>
      <c r="AE963" s="53" t="n"/>
      <c r="AF963" s="53" t="n"/>
      <c r="AG963" s="53" t="n"/>
      <c r="AH963" s="53" t="n"/>
      <c r="AI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c r="AA964" s="53" t="n"/>
      <c r="AB964" s="53" t="n"/>
      <c r="AC964" s="53" t="n"/>
      <c r="AD964" s="53" t="n"/>
      <c r="AE964" s="53" t="n"/>
      <c r="AF964" s="53" t="n"/>
      <c r="AG964" s="53" t="n"/>
      <c r="AH964" s="53" t="n"/>
      <c r="AI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c r="AA965" s="53" t="n"/>
      <c r="AB965" s="53" t="n"/>
      <c r="AC965" s="53" t="n"/>
      <c r="AD965" s="53" t="n"/>
      <c r="AE965" s="53" t="n"/>
      <c r="AF965" s="53" t="n"/>
      <c r="AG965" s="53" t="n"/>
      <c r="AH965" s="53" t="n"/>
      <c r="AI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c r="AA966" s="53" t="n"/>
      <c r="AB966" s="53" t="n"/>
      <c r="AC966" s="53" t="n"/>
      <c r="AD966" s="53" t="n"/>
      <c r="AE966" s="53" t="n"/>
      <c r="AF966" s="53" t="n"/>
      <c r="AG966" s="53" t="n"/>
      <c r="AH966" s="53" t="n"/>
      <c r="AI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c r="AA967" s="53" t="n"/>
      <c r="AB967" s="53" t="n"/>
      <c r="AC967" s="53" t="n"/>
      <c r="AD967" s="53" t="n"/>
      <c r="AE967" s="53" t="n"/>
      <c r="AF967" s="53" t="n"/>
      <c r="AG967" s="53" t="n"/>
      <c r="AH967" s="53" t="n"/>
      <c r="AI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c r="AA968" s="53" t="n"/>
      <c r="AB968" s="53" t="n"/>
      <c r="AC968" s="53" t="n"/>
      <c r="AD968" s="53" t="n"/>
      <c r="AE968" s="53" t="n"/>
      <c r="AF968" s="53" t="n"/>
      <c r="AG968" s="53" t="n"/>
      <c r="AH968" s="53" t="n"/>
      <c r="AI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c r="AA969" s="53" t="n"/>
      <c r="AB969" s="53" t="n"/>
      <c r="AC969" s="53" t="n"/>
      <c r="AD969" s="53" t="n"/>
      <c r="AE969" s="53" t="n"/>
      <c r="AF969" s="53" t="n"/>
      <c r="AG969" s="53" t="n"/>
      <c r="AH969" s="53" t="n"/>
      <c r="AI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c r="AA970" s="53" t="n"/>
      <c r="AB970" s="53" t="n"/>
      <c r="AC970" s="53" t="n"/>
      <c r="AD970" s="53" t="n"/>
      <c r="AE970" s="53" t="n"/>
      <c r="AF970" s="53" t="n"/>
      <c r="AG970" s="53" t="n"/>
      <c r="AH970" s="53" t="n"/>
      <c r="AI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c r="AA971" s="53" t="n"/>
      <c r="AB971" s="53" t="n"/>
      <c r="AC971" s="53" t="n"/>
      <c r="AD971" s="53" t="n"/>
      <c r="AE971" s="53" t="n"/>
      <c r="AF971" s="53" t="n"/>
      <c r="AG971" s="53" t="n"/>
      <c r="AH971" s="53" t="n"/>
      <c r="AI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c r="AA972" s="53" t="n"/>
      <c r="AB972" s="53" t="n"/>
      <c r="AC972" s="53" t="n"/>
      <c r="AD972" s="53" t="n"/>
      <c r="AE972" s="53" t="n"/>
      <c r="AF972" s="53" t="n"/>
      <c r="AG972" s="53" t="n"/>
      <c r="AH972" s="53" t="n"/>
      <c r="AI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c r="AA973" s="53" t="n"/>
      <c r="AB973" s="53" t="n"/>
      <c r="AC973" s="53" t="n"/>
      <c r="AD973" s="53" t="n"/>
      <c r="AE973" s="53" t="n"/>
      <c r="AF973" s="53" t="n"/>
      <c r="AG973" s="53" t="n"/>
      <c r="AH973" s="53" t="n"/>
      <c r="AI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c r="AA974" s="53" t="n"/>
      <c r="AB974" s="53" t="n"/>
      <c r="AC974" s="53" t="n"/>
      <c r="AD974" s="53" t="n"/>
      <c r="AE974" s="53" t="n"/>
      <c r="AF974" s="53" t="n"/>
      <c r="AG974" s="53" t="n"/>
      <c r="AH974" s="53" t="n"/>
      <c r="AI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c r="AA975" s="53" t="n"/>
      <c r="AB975" s="53" t="n"/>
      <c r="AC975" s="53" t="n"/>
      <c r="AD975" s="53" t="n"/>
      <c r="AE975" s="53" t="n"/>
      <c r="AF975" s="53" t="n"/>
      <c r="AG975" s="53" t="n"/>
      <c r="AH975" s="53" t="n"/>
      <c r="AI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c r="AA976" s="53" t="n"/>
      <c r="AB976" s="53" t="n"/>
      <c r="AC976" s="53" t="n"/>
      <c r="AD976" s="53" t="n"/>
      <c r="AE976" s="53" t="n"/>
      <c r="AF976" s="53" t="n"/>
      <c r="AG976" s="53" t="n"/>
      <c r="AH976" s="53" t="n"/>
      <c r="AI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c r="AA977" s="53" t="n"/>
      <c r="AB977" s="53" t="n"/>
      <c r="AC977" s="53" t="n"/>
      <c r="AD977" s="53" t="n"/>
      <c r="AE977" s="53" t="n"/>
      <c r="AF977" s="53" t="n"/>
      <c r="AG977" s="53" t="n"/>
      <c r="AH977" s="53" t="n"/>
      <c r="AI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c r="AA978" s="53" t="n"/>
      <c r="AB978" s="53" t="n"/>
      <c r="AC978" s="53" t="n"/>
      <c r="AD978" s="53" t="n"/>
      <c r="AE978" s="53" t="n"/>
      <c r="AF978" s="53" t="n"/>
      <c r="AG978" s="53" t="n"/>
      <c r="AH978" s="53" t="n"/>
      <c r="AI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c r="AA979" s="53" t="n"/>
      <c r="AB979" s="53" t="n"/>
      <c r="AC979" s="53" t="n"/>
      <c r="AD979" s="53" t="n"/>
      <c r="AE979" s="53" t="n"/>
      <c r="AF979" s="53" t="n"/>
      <c r="AG979" s="53" t="n"/>
      <c r="AH979" s="53" t="n"/>
      <c r="AI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c r="AA980" s="53" t="n"/>
      <c r="AB980" s="53" t="n"/>
      <c r="AC980" s="53" t="n"/>
      <c r="AD980" s="53" t="n"/>
      <c r="AE980" s="53" t="n"/>
      <c r="AF980" s="53" t="n"/>
      <c r="AG980" s="53" t="n"/>
      <c r="AH980" s="53" t="n"/>
      <c r="AI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c r="AA981" s="53" t="n"/>
      <c r="AB981" s="53" t="n"/>
      <c r="AC981" s="53" t="n"/>
      <c r="AD981" s="53" t="n"/>
      <c r="AE981" s="53" t="n"/>
      <c r="AF981" s="53" t="n"/>
      <c r="AG981" s="53" t="n"/>
      <c r="AH981" s="53" t="n"/>
      <c r="AI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c r="AA982" s="53" t="n"/>
      <c r="AB982" s="53" t="n"/>
      <c r="AC982" s="53" t="n"/>
      <c r="AD982" s="53" t="n"/>
      <c r="AE982" s="53" t="n"/>
      <c r="AF982" s="53" t="n"/>
      <c r="AG982" s="53" t="n"/>
      <c r="AH982" s="53" t="n"/>
      <c r="AI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c r="AA983" s="53" t="n"/>
      <c r="AB983" s="53" t="n"/>
      <c r="AC983" s="53" t="n"/>
      <c r="AD983" s="53" t="n"/>
      <c r="AE983" s="53" t="n"/>
      <c r="AF983" s="53" t="n"/>
      <c r="AG983" s="53" t="n"/>
      <c r="AH983" s="53" t="n"/>
      <c r="AI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c r="AA984" s="53" t="n"/>
      <c r="AB984" s="53" t="n"/>
      <c r="AC984" s="53" t="n"/>
      <c r="AD984" s="53" t="n"/>
      <c r="AE984" s="53" t="n"/>
      <c r="AF984" s="53" t="n"/>
      <c r="AG984" s="53" t="n"/>
      <c r="AH984" s="53" t="n"/>
      <c r="AI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c r="AA985" s="53" t="n"/>
      <c r="AB985" s="53" t="n"/>
      <c r="AC985" s="53" t="n"/>
      <c r="AD985" s="53" t="n"/>
      <c r="AE985" s="53" t="n"/>
      <c r="AF985" s="53" t="n"/>
      <c r="AG985" s="53" t="n"/>
      <c r="AH985" s="53" t="n"/>
      <c r="AI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c r="AA986" s="53" t="n"/>
      <c r="AB986" s="53" t="n"/>
      <c r="AC986" s="53" t="n"/>
      <c r="AD986" s="53" t="n"/>
      <c r="AE986" s="53" t="n"/>
      <c r="AF986" s="53" t="n"/>
      <c r="AG986" s="53" t="n"/>
      <c r="AH986" s="53" t="n"/>
      <c r="AI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c r="AA987" s="53" t="n"/>
      <c r="AB987" s="53" t="n"/>
      <c r="AC987" s="53" t="n"/>
      <c r="AD987" s="53" t="n"/>
      <c r="AE987" s="53" t="n"/>
      <c r="AF987" s="53" t="n"/>
      <c r="AG987" s="53" t="n"/>
      <c r="AH987" s="53" t="n"/>
      <c r="AI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c r="AA988" s="53" t="n"/>
      <c r="AB988" s="53" t="n"/>
      <c r="AC988" s="53" t="n"/>
      <c r="AD988" s="53" t="n"/>
      <c r="AE988" s="53" t="n"/>
      <c r="AF988" s="53" t="n"/>
      <c r="AG988" s="53" t="n"/>
      <c r="AH988" s="53" t="n"/>
      <c r="AI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c r="AA989" s="53" t="n"/>
      <c r="AB989" s="53" t="n"/>
      <c r="AC989" s="53" t="n"/>
      <c r="AD989" s="53" t="n"/>
      <c r="AE989" s="53" t="n"/>
      <c r="AF989" s="53" t="n"/>
      <c r="AG989" s="53" t="n"/>
      <c r="AH989" s="53" t="n"/>
      <c r="AI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c r="AA990" s="53" t="n"/>
      <c r="AB990" s="53" t="n"/>
      <c r="AC990" s="53" t="n"/>
      <c r="AD990" s="53" t="n"/>
      <c r="AE990" s="53" t="n"/>
      <c r="AF990" s="53" t="n"/>
      <c r="AG990" s="53" t="n"/>
      <c r="AH990" s="53" t="n"/>
      <c r="AI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c r="AA991" s="53" t="n"/>
      <c r="AB991" s="53" t="n"/>
      <c r="AC991" s="53" t="n"/>
      <c r="AD991" s="53" t="n"/>
      <c r="AE991" s="53" t="n"/>
      <c r="AF991" s="53" t="n"/>
      <c r="AG991" s="53" t="n"/>
      <c r="AH991" s="53" t="n"/>
      <c r="AI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c r="AA992" s="53" t="n"/>
      <c r="AB992" s="53" t="n"/>
      <c r="AC992" s="53" t="n"/>
      <c r="AD992" s="53" t="n"/>
      <c r="AE992" s="53" t="n"/>
      <c r="AF992" s="53" t="n"/>
      <c r="AG992" s="53" t="n"/>
      <c r="AH992" s="53" t="n"/>
      <c r="AI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c r="AA993" s="53" t="n"/>
      <c r="AB993" s="53" t="n"/>
      <c r="AC993" s="53" t="n"/>
      <c r="AD993" s="53" t="n"/>
      <c r="AE993" s="53" t="n"/>
      <c r="AF993" s="53" t="n"/>
      <c r="AG993" s="53" t="n"/>
      <c r="AH993" s="53" t="n"/>
      <c r="AI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c r="AA994" s="53" t="n"/>
      <c r="AB994" s="53" t="n"/>
      <c r="AC994" s="53" t="n"/>
      <c r="AD994" s="53" t="n"/>
      <c r="AE994" s="53" t="n"/>
      <c r="AF994" s="53" t="n"/>
      <c r="AG994" s="53" t="n"/>
      <c r="AH994" s="53" t="n"/>
      <c r="AI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c r="AA995" s="53" t="n"/>
      <c r="AB995" s="53" t="n"/>
      <c r="AC995" s="53" t="n"/>
      <c r="AD995" s="53" t="n"/>
      <c r="AE995" s="53" t="n"/>
      <c r="AF995" s="53" t="n"/>
      <c r="AG995" s="53" t="n"/>
      <c r="AH995" s="53" t="n"/>
      <c r="AI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c r="AA996" s="53" t="n"/>
      <c r="AB996" s="53" t="n"/>
      <c r="AC996" s="53" t="n"/>
      <c r="AD996" s="53" t="n"/>
      <c r="AE996" s="53" t="n"/>
      <c r="AF996" s="53" t="n"/>
      <c r="AG996" s="53" t="n"/>
      <c r="AH996" s="53" t="n"/>
      <c r="AI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c r="AA997" s="53" t="n"/>
      <c r="AB997" s="53" t="n"/>
      <c r="AC997" s="53" t="n"/>
      <c r="AD997" s="53" t="n"/>
      <c r="AE997" s="53" t="n"/>
      <c r="AF997" s="53" t="n"/>
      <c r="AG997" s="53" t="n"/>
      <c r="AH997" s="53" t="n"/>
      <c r="AI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c r="AA998" s="53" t="n"/>
      <c r="AB998" s="53" t="n"/>
      <c r="AC998" s="53" t="n"/>
      <c r="AD998" s="53" t="n"/>
      <c r="AE998" s="53" t="n"/>
      <c r="AF998" s="53" t="n"/>
      <c r="AG998" s="53" t="n"/>
      <c r="AH998" s="53" t="n"/>
      <c r="AI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c r="AA999" s="53" t="n"/>
      <c r="AB999" s="53" t="n"/>
      <c r="AC999" s="53" t="n"/>
      <c r="AD999" s="53" t="n"/>
      <c r="AE999" s="53" t="n"/>
      <c r="AF999" s="53" t="n"/>
      <c r="AG999" s="53" t="n"/>
      <c r="AH999" s="53" t="n"/>
      <c r="AI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c r="AA1000" s="53" t="n"/>
      <c r="AB1000" s="53" t="n"/>
      <c r="AC1000" s="53" t="n"/>
      <c r="AD1000" s="53" t="n"/>
      <c r="AE1000" s="53" t="n"/>
      <c r="AF1000" s="53" t="n"/>
      <c r="AG1000" s="53" t="n"/>
      <c r="AH1000" s="53" t="n"/>
      <c r="AI1000" s="53" t="n"/>
    </row>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1">
      <formula>7</formula>
    </cfRule>
    <cfRule type="cellIs" priority="2" operator="lessThan" dxfId="3">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20"/>
  <sheetViews>
    <sheetView workbookViewId="0">
      <selection activeCell="A1" sqref="A1"/>
    </sheetView>
  </sheetViews>
  <sheetFormatPr baseColWidth="8" defaultColWidth="14.43" defaultRowHeight="15" customHeight="1"/>
  <cols>
    <col width="14.43" customWidth="1" style="65" min="1" max="6"/>
  </cols>
  <sheetData>
    <row r="1">
      <c r="A1" s="2" t="inlineStr">
        <is>
          <t>#</t>
        </is>
      </c>
      <c r="B1" s="2" t="inlineStr">
        <is>
          <t>Candidato</t>
        </is>
      </c>
      <c r="C1" s="2" t="inlineStr">
        <is>
          <t>Correção 1</t>
        </is>
      </c>
      <c r="D1" s="2" t="inlineStr">
        <is>
          <t>Correção 2</t>
        </is>
      </c>
    </row>
    <row r="2">
      <c r="A2" s="3" t="n">
        <v>1</v>
      </c>
      <c r="B2" s="3" t="inlineStr">
        <is>
          <t>Gabrielle Cristofani do Rosario</t>
        </is>
      </c>
      <c r="C2" s="3" t="inlineStr">
        <is>
          <t>Ferro</t>
        </is>
      </c>
      <c r="D2" s="3" t="inlineStr">
        <is>
          <t>Victor</t>
        </is>
      </c>
    </row>
    <row r="3">
      <c r="A3" s="3" t="n">
        <v>2</v>
      </c>
      <c r="B3" s="3" t="inlineStr">
        <is>
          <t>Bruno Heberth Oliveira Bastos</t>
        </is>
      </c>
      <c r="C3" s="3" t="inlineStr">
        <is>
          <t>Proc</t>
        </is>
      </c>
      <c r="D3" s="3" t="inlineStr">
        <is>
          <t>Fred</t>
        </is>
      </c>
    </row>
    <row r="4">
      <c r="A4" s="3" t="n">
        <v>3</v>
      </c>
      <c r="B4" s="3" t="inlineStr">
        <is>
          <t>Rafael Ponciano Rodrigues dos Santos</t>
        </is>
      </c>
      <c r="C4" s="3" t="inlineStr">
        <is>
          <t>Matteo</t>
        </is>
      </c>
      <c r="D4" s="3" t="inlineStr">
        <is>
          <t>Luis</t>
        </is>
      </c>
    </row>
    <row r="5">
      <c r="A5" s="3" t="n">
        <v>4</v>
      </c>
      <c r="B5" s="3" t="inlineStr">
        <is>
          <t>Enzo Chofakian Gagliardi</t>
        </is>
      </c>
      <c r="C5" s="3" t="inlineStr">
        <is>
          <t>Ferro</t>
        </is>
      </c>
      <c r="D5" s="3" t="inlineStr">
        <is>
          <t>Proc</t>
        </is>
      </c>
    </row>
    <row r="6">
      <c r="A6" s="3" t="n">
        <v>5</v>
      </c>
      <c r="B6" s="3" t="inlineStr">
        <is>
          <t>Enrico Tristão e Mello de Oliveira</t>
        </is>
      </c>
      <c r="C6" s="3" t="inlineStr">
        <is>
          <t>Victor</t>
        </is>
      </c>
      <c r="D6" s="3" t="inlineStr">
        <is>
          <t>Matteo</t>
        </is>
      </c>
    </row>
    <row r="7">
      <c r="A7" s="3" t="n">
        <v>6</v>
      </c>
      <c r="B7" s="3" t="inlineStr">
        <is>
          <t>Eduardo Alves Henrique</t>
        </is>
      </c>
      <c r="C7" s="3" t="inlineStr">
        <is>
          <t>Fred</t>
        </is>
      </c>
      <c r="D7" s="3" t="inlineStr">
        <is>
          <t>Luis</t>
        </is>
      </c>
    </row>
    <row r="8">
      <c r="A8" s="3" t="n">
        <v>7</v>
      </c>
      <c r="B8" s="3" t="inlineStr">
        <is>
          <t>Leandra Cunha de Souza</t>
        </is>
      </c>
      <c r="C8" s="3" t="inlineStr">
        <is>
          <t>Ferro</t>
        </is>
      </c>
      <c r="D8" s="3" t="inlineStr">
        <is>
          <t>Fred</t>
        </is>
      </c>
    </row>
    <row r="9">
      <c r="A9" s="3" t="n">
        <v>8</v>
      </c>
      <c r="B9" s="3" t="inlineStr">
        <is>
          <t>Vagner Ássimos Gomes Carlos Filho</t>
        </is>
      </c>
      <c r="C9" s="3" t="inlineStr">
        <is>
          <t>Victor</t>
        </is>
      </c>
      <c r="D9" s="3" t="inlineStr">
        <is>
          <t>Luis</t>
        </is>
      </c>
    </row>
    <row r="10">
      <c r="A10" s="3" t="n">
        <v>9</v>
      </c>
      <c r="B10" s="3" t="inlineStr">
        <is>
          <t>Mariana Nunes Galvão Sant'Anna</t>
        </is>
      </c>
      <c r="C10" s="3" t="inlineStr">
        <is>
          <t>Proc</t>
        </is>
      </c>
      <c r="D10" s="3" t="inlineStr">
        <is>
          <t>Matteo</t>
        </is>
      </c>
    </row>
    <row r="11">
      <c r="A11" s="3" t="n">
        <v>10</v>
      </c>
      <c r="B11" s="3" t="inlineStr">
        <is>
          <t>Aslan Rodrigues Maia</t>
        </is>
      </c>
      <c r="C11" s="3" t="inlineStr">
        <is>
          <t>Ferro</t>
        </is>
      </c>
      <c r="D11" s="3" t="inlineStr">
        <is>
          <t>Matteo</t>
        </is>
      </c>
    </row>
    <row r="12">
      <c r="A12" s="3" t="n">
        <v>11</v>
      </c>
      <c r="B12" s="3" t="inlineStr">
        <is>
          <t>João Gabriel de Oliveira Morcelli</t>
        </is>
      </c>
      <c r="C12" s="3" t="inlineStr">
        <is>
          <t>Victor</t>
        </is>
      </c>
      <c r="D12" s="3" t="inlineStr">
        <is>
          <t>Proc</t>
        </is>
      </c>
    </row>
    <row r="13">
      <c r="A13" s="3" t="n">
        <v>12</v>
      </c>
      <c r="B13" s="3" t="inlineStr">
        <is>
          <t xml:space="preserve">Raphael Negrini Saggioro </t>
        </is>
      </c>
      <c r="C13" s="3" t="inlineStr">
        <is>
          <t>Fred</t>
        </is>
      </c>
      <c r="D13" s="3" t="inlineStr">
        <is>
          <t>Matteo</t>
        </is>
      </c>
    </row>
    <row r="14">
      <c r="A14" s="3" t="n">
        <v>13</v>
      </c>
      <c r="B14" s="3" t="inlineStr">
        <is>
          <t>Gustavo Daher Pereira</t>
        </is>
      </c>
      <c r="C14" s="3" t="inlineStr">
        <is>
          <t>Ferro</t>
        </is>
      </c>
      <c r="D14" s="3" t="inlineStr">
        <is>
          <t>Luis</t>
        </is>
      </c>
      <c r="E14" s="3" t="inlineStr">
        <is>
          <t>Esse mano nem enviou o case</t>
        </is>
      </c>
    </row>
    <row r="15">
      <c r="A15" s="3" t="n">
        <v>14</v>
      </c>
      <c r="B15" s="3" t="inlineStr">
        <is>
          <t>Ricardo Augusto Schmitt Filho</t>
        </is>
      </c>
      <c r="C15" s="3" t="inlineStr">
        <is>
          <t>Victor</t>
        </is>
      </c>
      <c r="D15" s="3" t="inlineStr">
        <is>
          <t>Fred</t>
        </is>
      </c>
    </row>
    <row r="16">
      <c r="A16" s="3" t="n">
        <v>15</v>
      </c>
      <c r="B16" s="3" t="inlineStr">
        <is>
          <t>Klaus Augusto Santos da Silva</t>
        </is>
      </c>
      <c r="C16" s="3" t="inlineStr">
        <is>
          <t>Proc</t>
        </is>
      </c>
      <c r="D16" s="3" t="inlineStr">
        <is>
          <t>Luis</t>
        </is>
      </c>
    </row>
    <row r="17">
      <c r="A17" s="3" t="n">
        <v>16</v>
      </c>
      <c r="B17" s="3" t="inlineStr">
        <is>
          <t>Rafael Rodrigues Moreira</t>
        </is>
      </c>
      <c r="C17" s="3" t="inlineStr">
        <is>
          <t>Ferro</t>
        </is>
      </c>
      <c r="D17" s="3" t="inlineStr">
        <is>
          <t>Victor</t>
        </is>
      </c>
    </row>
    <row r="18">
      <c r="A18" s="3" t="n">
        <v>17</v>
      </c>
      <c r="B18" s="3" t="inlineStr">
        <is>
          <t>Caio Augusto Saab</t>
        </is>
      </c>
      <c r="C18" s="3" t="inlineStr">
        <is>
          <t>Proc</t>
        </is>
      </c>
      <c r="D18" s="3" t="inlineStr">
        <is>
          <t>Fred</t>
        </is>
      </c>
    </row>
    <row r="19">
      <c r="A19" s="3" t="n">
        <v>18</v>
      </c>
      <c r="B19" s="3" t="inlineStr">
        <is>
          <t>José Vitor Dias Tutu</t>
        </is>
      </c>
      <c r="C19" s="3" t="inlineStr">
        <is>
          <t>Matteo</t>
        </is>
      </c>
      <c r="D19" s="3" t="inlineStr">
        <is>
          <t>Luis</t>
        </is>
      </c>
    </row>
    <row r="20">
      <c r="A20" s="3" t="n">
        <v>19</v>
      </c>
      <c r="B20" s="3" t="inlineStr">
        <is>
          <t>Isadora Kluge Dorigan</t>
        </is>
      </c>
      <c r="C20" s="3" t="inlineStr">
        <is>
          <t>Ferro</t>
        </is>
      </c>
      <c r="D20" s="3" t="inlineStr">
        <is>
          <t>Proc</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5" min="1" max="1"/>
    <col width="34" customWidth="1" style="65" min="2" max="2"/>
    <col width="9" customWidth="1" style="65" min="3" max="4"/>
    <col width="11" customWidth="1" style="65" min="5" max="5"/>
    <col width="12" customWidth="1" style="65" min="6" max="7"/>
    <col width="9" customWidth="1" style="65" min="8" max="8"/>
    <col width="30" customWidth="1" style="65" min="9" max="9"/>
    <col width="12" customWidth="1" style="65" min="10" max="10"/>
    <col width="10" customWidth="1" style="65" min="11" max="11"/>
    <col width="44" customWidth="1" style="65" min="12" max="12"/>
    <col width="9" customWidth="1" style="65" min="13" max="13"/>
    <col width="22" customWidth="1" style="65" min="14" max="14"/>
    <col width="15" customWidth="1" style="65" min="15" max="15"/>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CONSOLIDADO — cole os nomes na coluna B; o resto se calcula sozinho.</t>
        </is>
      </c>
      <c r="P2" s="53" t="n"/>
      <c r="Q2" s="53" t="n"/>
      <c r="R2" s="53" t="n"/>
      <c r="S2" s="53" t="n"/>
      <c r="T2" s="53" t="n"/>
      <c r="U2" s="53" t="n"/>
      <c r="V2" s="53" t="n"/>
      <c r="W2" s="53" t="n"/>
      <c r="X2" s="53" t="n"/>
      <c r="Y2" s="53" t="n"/>
      <c r="Z2" s="53" t="n"/>
    </row>
    <row r="3" ht="21.75" customHeight="1" s="65">
      <c r="A3" s="53" t="n"/>
      <c r="B3" s="72">
        <f>IF(COUNTA($B$5:$B$64)=0,"Cole os nomes dos candidatos na coluna B para começar.","Avaliações completas: "&amp;COUNTIF($D$5:$D$64,"&gt;=2")&amp;" de "&amp;COUNTA($B$5:$B$64)&amp;" candidatos  ("&amp;TEXT(COUNTIF($D$5:$D$64,"&gt;=2")/COUNTA($B$5:$B$64),"0%")&amp;")     •     Ainda com 1 avaliador só: "&amp;COUNTIF($D$5:$D$64,1)&amp;"     •     Sem nenhuma nota: "&amp;COUNTIF($D$5:$D$64,0))</f>
        <v/>
      </c>
      <c r="P3" s="53" t="n"/>
      <c r="Q3" s="53" t="n"/>
      <c r="R3" s="53" t="n"/>
      <c r="S3" s="53" t="n"/>
      <c r="T3" s="53" t="n"/>
      <c r="U3" s="53" t="n"/>
      <c r="V3" s="53" t="n"/>
      <c r="W3" s="53" t="n"/>
      <c r="X3" s="53" t="n"/>
      <c r="Y3" s="53" t="n"/>
      <c r="Z3" s="53" t="n"/>
    </row>
    <row r="4" ht="30" customHeight="1" s="65">
      <c r="A4" s="25" t="inlineStr">
        <is>
          <t>#</t>
        </is>
      </c>
      <c r="B4" s="25" t="inlineStr">
        <is>
          <t>Candidato(a)</t>
        </is>
      </c>
      <c r="C4" s="25" t="inlineStr">
        <is>
          <t>Nome</t>
        </is>
      </c>
      <c r="D4" s="25" t="inlineStr">
        <is>
          <t>Nº aval.</t>
        </is>
      </c>
      <c r="E4" s="25" t="inlineStr">
        <is>
          <t>NOTA FINAL</t>
        </is>
      </c>
      <c r="F4" s="25" t="inlineStr">
        <is>
          <t>Nota aval. 1</t>
        </is>
      </c>
      <c r="G4" s="25" t="inlineStr">
        <is>
          <t>Nota aval. 2</t>
        </is>
      </c>
      <c r="H4" s="25" t="inlineStr">
        <is>
          <t>Diverg.</t>
        </is>
      </c>
      <c r="I4" s="25" t="inlineStr">
        <is>
          <t>Alerta</t>
        </is>
      </c>
      <c r="J4" s="25" t="inlineStr">
        <is>
          <t>Flag</t>
        </is>
      </c>
      <c r="K4" s="25" t="inlineStr">
        <is>
          <t>Horas/sem</t>
        </is>
      </c>
      <c r="L4" s="25" t="inlineStr">
        <is>
          <t>Motivo da flag / o que perguntar na entrevista</t>
        </is>
      </c>
      <c r="M4" s="25" t="inlineStr">
        <is>
          <t>Ranking</t>
        </is>
      </c>
      <c r="N4" s="25" t="inlineStr">
        <is>
          <t>Entrevista: refez a conta?</t>
        </is>
      </c>
      <c r="O4" s="25" t="inlineStr">
        <is>
          <t>Decisão final</t>
        </is>
      </c>
      <c r="P4" s="53" t="n"/>
      <c r="Q4" s="53" t="n"/>
      <c r="R4" s="53" t="n"/>
      <c r="S4" s="53" t="n"/>
      <c r="T4" s="53" t="n"/>
      <c r="U4" s="53" t="n"/>
      <c r="V4" s="53" t="n"/>
      <c r="W4" s="53" t="n"/>
      <c r="X4" s="53" t="n"/>
      <c r="Y4" s="53" t="n"/>
      <c r="Z4" s="53" t="n"/>
    </row>
    <row r="5" ht="14.25" customHeight="1" s="65">
      <c r="A5" s="3">
        <f>IF($B5="","",ROW()-4)</f>
        <v/>
      </c>
      <c r="B5" s="3" t="inlineStr">
        <is>
          <t>g278083@dac.unicamp.br</t>
        </is>
      </c>
      <c r="C5" s="3" t="inlineStr">
        <is>
          <t>Gabrielle Cristofani do Rosario</t>
        </is>
      </c>
      <c r="D5" s="52">
        <f>IF($B5="","",COUNTIFS('Avaliação'!$C$7:$C$206,$B5,'Avaliação'!$E$7:$E$206,"&gt;=0"))</f>
        <v/>
      </c>
      <c r="E5" s="32">
        <f>IF($B5="","",IFERROR(ROUND(AVERAGEIF('Avaliação'!$C$7:$C$206,$B5,'Avaliação'!$E$7:$E$206),2),""))</f>
        <v/>
      </c>
      <c r="F5" s="52">
        <f t="array" ref="F5">IF($B5="","",IFERROR(INDEX('Avaliação'!$E$7:$E$206,MATCH($B5,'Avaliação'!$C$7:$C$206,0)),""))</f>
        <v/>
      </c>
      <c r="G5" s="52">
        <f>IF($B5="","",IF($D5&lt;&gt;2,"",IF($F5="","",ROUND(SUMIF('Avaliação'!$C$7:$C$206,$B5,'Avaliação'!$E$7:$E$206)-$F5,2))))</f>
        <v/>
      </c>
      <c r="H5" s="52">
        <f>IF($B5="","",IF(OR($F5="",$G5=""),"",ROUND(ABS($F5-$G5),2)))</f>
        <v/>
      </c>
      <c r="I5" s="3">
        <f>IF($B5="","",IF($D5&lt;2,"⚠ falta 2º avaliador",IF($D5&gt;2,"⚠ mais de 2 avaliações — conferir",IF(AND(ISNUMBER($H5),$H5&gt;1),"⚠ divergência &gt; 1,0 — média suspensa, calibrar","OK"))))</f>
        <v/>
      </c>
      <c r="J5" s="3" t="n"/>
      <c r="K5" s="52" t="n"/>
      <c r="L5" s="37" t="n"/>
      <c r="M5" s="52">
        <f>IF($E5="","",COUNTIF($E$5:$E$64,"&gt;"&amp;$E5)+1)</f>
        <v/>
      </c>
      <c r="N5" s="52">
        <f>IF($B5="","",IF(Entrevista!$H5="","",Entrevista!$H5))</f>
        <v/>
      </c>
      <c r="O5" s="3">
        <f>IF($B5="","",IF(Entrevista!$L5="","",Entrevista!$L5))</f>
        <v/>
      </c>
      <c r="P5" s="53" t="n"/>
      <c r="Q5" s="53" t="n"/>
      <c r="R5" s="53" t="n"/>
      <c r="S5" s="53" t="n"/>
      <c r="T5" s="53" t="n"/>
      <c r="U5" s="53" t="n"/>
      <c r="V5" s="53" t="n"/>
      <c r="W5" s="53" t="n"/>
      <c r="X5" s="53" t="n"/>
      <c r="Y5" s="53" t="n"/>
      <c r="Z5" s="53" t="n"/>
    </row>
    <row r="6" ht="14.25" customHeight="1" s="65">
      <c r="A6" s="3">
        <f>IF($B6="","",ROW()-4)</f>
        <v/>
      </c>
      <c r="B6" s="3" t="inlineStr">
        <is>
          <t>b309603@dac.unicamp.br</t>
        </is>
      </c>
      <c r="C6" s="3" t="inlineStr">
        <is>
          <t>Bruno Heberth Oliveira Bastos</t>
        </is>
      </c>
      <c r="D6" s="52">
        <f>IF($B6="","",COUNTIFS('Avaliação'!$C$7:$C$206,$B6,'Avaliação'!$E$7:$E$206,"&gt;=0"))</f>
        <v/>
      </c>
      <c r="E6" s="32">
        <f>IF($B6="","",IFERROR(ROUND(AVERAGEIF('Avaliação'!$C$7:$C$206,$B6,'Avaliação'!$E$7:$E$206),2),""))</f>
        <v/>
      </c>
      <c r="F6" s="52">
        <f t="array" ref="F6">IF($B6="","",IFERROR(INDEX('Avaliação'!$E$7:$E$206,MATCH($B6,'Avaliação'!$C$7:$C$206,0)),""))</f>
        <v/>
      </c>
      <c r="G6" s="52">
        <f>IF($B6="","",IF($D6&lt;&gt;2,"",IF($F6="","",ROUND(SUMIF('Avaliação'!$C$7:$C$206,$B6,'Avaliação'!$E$7:$E$206)-$F6,2))))</f>
        <v/>
      </c>
      <c r="H6" s="52">
        <f>IF($B6="","",IF(OR($F6="",$G6=""),"",ROUND(ABS($F6-$G6),2)))</f>
        <v/>
      </c>
      <c r="I6" s="3">
        <f>IF($B6="","",IF($D6&lt;2,"⚠ falta 2º avaliador",IF($D6&gt;2,"⚠ mais de 2 avaliações — conferir",IF(AND(ISNUMBER($H6),$H6&gt;1),"⚠ divergência &gt; 1,0 — média suspensa, calibrar","OK"))))</f>
        <v/>
      </c>
      <c r="J6" s="3" t="n"/>
      <c r="K6" s="52" t="n"/>
      <c r="L6" s="37" t="n"/>
      <c r="M6" s="52">
        <f>IF($E6="","",COUNTIF($E$5:$E$64,"&gt;"&amp;$E6)+1)</f>
        <v/>
      </c>
      <c r="N6" s="52">
        <f>IF($B6="","",IF(Entrevista!$H6="","",Entrevista!$H6))</f>
        <v/>
      </c>
      <c r="O6" s="3">
        <f>IF($B6="","",IF(Entrevista!$L6="","",Entrevista!$L6))</f>
        <v/>
      </c>
      <c r="P6" s="53" t="n"/>
      <c r="Q6" s="53" t="n"/>
      <c r="R6" s="53" t="n"/>
      <c r="S6" s="53" t="n"/>
      <c r="T6" s="53" t="n"/>
      <c r="U6" s="53" t="n"/>
      <c r="V6" s="53" t="n"/>
      <c r="W6" s="53" t="n"/>
      <c r="X6" s="53" t="n"/>
      <c r="Y6" s="53" t="n"/>
      <c r="Z6" s="53" t="n"/>
    </row>
    <row r="7" ht="14.25" customHeight="1" s="65">
      <c r="A7" s="3">
        <f>IF($B7="","",ROW()-4)</f>
        <v/>
      </c>
      <c r="B7" s="3" t="inlineStr">
        <is>
          <t>j309764@dac.unicamp.br</t>
        </is>
      </c>
      <c r="C7" s="3" t="inlineStr">
        <is>
          <t>João Pedro Mendes Stama</t>
        </is>
      </c>
      <c r="D7" s="52">
        <f>IF($B7="","",COUNTIFS('Avaliação'!$C$7:$C$206,$B7,'Avaliação'!$E$7:$E$206,"&gt;=0"))</f>
        <v/>
      </c>
      <c r="E7" s="32">
        <f>IF($B7="","",IFERROR(ROUND(AVERAGEIF('Avaliação'!$C$7:$C$206,$B7,'Avaliação'!$E$7:$E$206),2),""))</f>
        <v/>
      </c>
      <c r="F7" s="52">
        <f t="array" ref="F7">IF($B7="","",IFERROR(INDEX('Avaliação'!$E$7:$E$206,MATCH($B7,'Avaliação'!$C$7:$C$206,0)),""))</f>
        <v/>
      </c>
      <c r="G7" s="52">
        <f>IF($B7="","",IF($D7&lt;&gt;2,"",IF($F7="","",ROUND(SUMIF('Avaliação'!$C$7:$C$206,$B7,'Avaliação'!$E$7:$E$206)-$F7,2))))</f>
        <v/>
      </c>
      <c r="H7" s="52">
        <f>IF($B7="","",IF(OR($F7="",$G7=""),"",ROUND(ABS($F7-$G7),2)))</f>
        <v/>
      </c>
      <c r="I7" s="3">
        <f>IF($B7="","",IF($D7&lt;2,"⚠ falta 2º avaliador",IF($D7&gt;2,"⚠ mais de 2 avaliações — conferir",IF(AND(ISNUMBER($H7),$H7&gt;1),"⚠ divergência &gt; 1,0 — média suspensa, calibrar","OK"))))</f>
        <v/>
      </c>
      <c r="J7" s="3" t="n"/>
      <c r="K7" s="52" t="n"/>
      <c r="L7" s="37" t="n"/>
      <c r="M7" s="52">
        <f>IF($E7="","",COUNTIF($E$5:$E$64,"&gt;"&amp;$E7)+1)</f>
        <v/>
      </c>
      <c r="N7" s="52">
        <f>IF($B7="","",IF(Entrevista!$H7="","",Entrevista!$H7))</f>
        <v/>
      </c>
      <c r="O7" s="3">
        <f>IF($B7="","",IF(Entrevista!$L7="","",Entrevista!$L7))</f>
        <v/>
      </c>
      <c r="P7" s="53" t="n"/>
      <c r="Q7" s="53" t="n"/>
      <c r="R7" s="53" t="n"/>
      <c r="S7" s="53" t="n"/>
      <c r="T7" s="53" t="n"/>
      <c r="U7" s="53" t="n"/>
      <c r="V7" s="53" t="n"/>
      <c r="W7" s="53" t="n"/>
      <c r="X7" s="53" t="n"/>
      <c r="Y7" s="53" t="n"/>
      <c r="Z7" s="53" t="n"/>
    </row>
    <row r="8" ht="14.25" customHeight="1" s="65">
      <c r="A8" s="3">
        <f>IF($B8="","",ROW()-4)</f>
        <v/>
      </c>
      <c r="B8" s="3" t="inlineStr">
        <is>
          <t>r238449@dac.unicamp.br</t>
        </is>
      </c>
      <c r="C8" s="3" t="inlineStr">
        <is>
          <t>Rafael Ponciano Rodrigues dos Santos</t>
        </is>
      </c>
      <c r="D8" s="52">
        <f>IF($B8="","",COUNTIFS('Avaliação'!$C$7:$C$206,$B8,'Avaliação'!$E$7:$E$206,"&gt;=0"))</f>
        <v/>
      </c>
      <c r="E8" s="32">
        <f>IF($B8="","",IFERROR(ROUND(AVERAGEIF('Avaliação'!$C$7:$C$206,$B8,'Avaliação'!$E$7:$E$206),2),""))</f>
        <v/>
      </c>
      <c r="F8" s="52">
        <f t="array" ref="F8">IF($B8="","",IFERROR(INDEX('Avaliação'!$E$7:$E$206,MATCH($B8,'Avaliação'!$C$7:$C$206,0)),""))</f>
        <v/>
      </c>
      <c r="G8" s="52">
        <f>IF($B8="","",IF($D8&lt;&gt;2,"",IF($F8="","",ROUND(SUMIF('Avaliação'!$C$7:$C$206,$B8,'Avaliação'!$E$7:$E$206)-$F8,2))))</f>
        <v/>
      </c>
      <c r="H8" s="52">
        <f>IF($B8="","",IF(OR($F8="",$G8=""),"",ROUND(ABS($F8-$G8),2)))</f>
        <v/>
      </c>
      <c r="I8" s="3">
        <f>IF($B8="","",IF($D8&lt;2,"⚠ falta 2º avaliador",IF($D8&gt;2,"⚠ mais de 2 avaliações — conferir",IF(AND(ISNUMBER($H8),$H8&gt;1),"⚠ divergência &gt; 1,0 — média suspensa, calibrar","OK"))))</f>
        <v/>
      </c>
      <c r="J8" s="3" t="n"/>
      <c r="K8" s="52" t="n"/>
      <c r="L8" s="37" t="n"/>
      <c r="M8" s="52">
        <f>IF($E8="","",COUNTIF($E$5:$E$64,"&gt;"&amp;$E8)+1)</f>
        <v/>
      </c>
      <c r="N8" s="52">
        <f>IF($B8="","",IF(Entrevista!$H8="","",Entrevista!$H8))</f>
        <v/>
      </c>
      <c r="O8" s="3">
        <f>IF($B8="","",IF(Entrevista!$L8="","",Entrevista!$L8))</f>
        <v/>
      </c>
      <c r="P8" s="53" t="n"/>
      <c r="Q8" s="53" t="n"/>
      <c r="R8" s="53" t="n"/>
      <c r="S8" s="53" t="n"/>
      <c r="T8" s="53" t="n"/>
      <c r="U8" s="53" t="n"/>
      <c r="V8" s="53" t="n"/>
      <c r="W8" s="53" t="n"/>
      <c r="X8" s="53" t="n"/>
      <c r="Y8" s="53" t="n"/>
      <c r="Z8" s="53" t="n"/>
    </row>
    <row r="9" ht="14.25" customHeight="1" s="65">
      <c r="A9" s="3">
        <f>IF($B9="","",ROW()-4)</f>
        <v/>
      </c>
      <c r="B9" s="3" t="inlineStr">
        <is>
          <t>enzo.gag17@gmail.com</t>
        </is>
      </c>
      <c r="C9" s="3" t="inlineStr">
        <is>
          <t>Enzo Chofakian Gagliardi</t>
        </is>
      </c>
      <c r="D9" s="52">
        <f>IF($B9="","",COUNTIFS('Avaliação'!$C$7:$C$206,$B9,'Avaliação'!$E$7:$E$206,"&gt;=0"))</f>
        <v/>
      </c>
      <c r="E9" s="32">
        <f>IF($B9="","",IFERROR(ROUND(AVERAGEIF('Avaliação'!$C$7:$C$206,$B9,'Avaliação'!$E$7:$E$206),2),""))</f>
        <v/>
      </c>
      <c r="F9" s="52">
        <f t="array" ref="F9">IF($B9="","",IFERROR(INDEX('Avaliação'!$E$7:$E$206,MATCH($B9,'Avaliação'!$C$7:$C$206,0)),""))</f>
        <v/>
      </c>
      <c r="G9" s="52">
        <f>IF($B9="","",IF($D9&lt;&gt;2,"",IF($F9="","",ROUND(SUMIF('Avaliação'!$C$7:$C$206,$B9,'Avaliação'!$E$7:$E$206)-$F9,2))))</f>
        <v/>
      </c>
      <c r="H9" s="52">
        <f>IF($B9="","",IF(OR($F9="",$G9=""),"",ROUND(ABS($F9-$G9),2)))</f>
        <v/>
      </c>
      <c r="I9" s="3">
        <f>IF($B9="","",IF($D9&lt;2,"⚠ falta 2º avaliador",IF($D9&gt;2,"⚠ mais de 2 avaliações — conferir",IF(AND(ISNUMBER($H9),$H9&gt;1),"⚠ divergência &gt; 1,0 — média suspensa, calibrar","OK"))))</f>
        <v/>
      </c>
      <c r="J9" s="3" t="n"/>
      <c r="K9" s="52" t="n"/>
      <c r="L9" s="37" t="n"/>
      <c r="M9" s="52">
        <f>IF($E9="","",COUNTIF($E$5:$E$64,"&gt;"&amp;$E9)+1)</f>
        <v/>
      </c>
      <c r="N9" s="52">
        <f>IF($B9="","",IF(Entrevista!$H9="","",Entrevista!$H9))</f>
        <v/>
      </c>
      <c r="O9" s="3">
        <f>IF($B9="","",IF(Entrevista!$L9="","",Entrevista!$L9))</f>
        <v/>
      </c>
      <c r="P9" s="53" t="n"/>
      <c r="Q9" s="53" t="n"/>
      <c r="R9" s="53" t="n"/>
      <c r="S9" s="53" t="n"/>
      <c r="T9" s="53" t="n"/>
      <c r="U9" s="53" t="n"/>
      <c r="V9" s="53" t="n"/>
      <c r="W9" s="53" t="n"/>
      <c r="X9" s="53" t="n"/>
      <c r="Y9" s="53" t="n"/>
      <c r="Z9" s="53" t="n"/>
    </row>
    <row r="10" ht="14.25" customHeight="1" s="65">
      <c r="A10" s="3">
        <f>IF($B10="","",ROW()-4)</f>
        <v/>
      </c>
      <c r="B10" s="3" t="inlineStr">
        <is>
          <t>e278588@dac.unicamp.br</t>
        </is>
      </c>
      <c r="C10" s="3" t="inlineStr">
        <is>
          <t>Enrico Tristão e Mello de Oliveira</t>
        </is>
      </c>
      <c r="D10" s="52">
        <f>IF($B10="","",COUNTIFS('Avaliação'!$C$7:$C$206,$B10,'Avaliação'!$E$7:$E$206,"&gt;=0"))</f>
        <v/>
      </c>
      <c r="E10" s="32">
        <f>IF($B10="","",IFERROR(ROUND(AVERAGEIF('Avaliação'!$C$7:$C$206,$B10,'Avaliação'!$E$7:$E$206),2),""))</f>
        <v/>
      </c>
      <c r="F10" s="52">
        <f t="array" ref="F10">IF($B10="","",IFERROR(INDEX('Avaliação'!$E$7:$E$206,MATCH($B10,'Avaliação'!$C$7:$C$206,0)),""))</f>
        <v/>
      </c>
      <c r="G10" s="52">
        <f>IF($B10="","",IF($D10&lt;&gt;2,"",IF($F10="","",ROUND(SUMIF('Avaliação'!$C$7:$C$206,$B10,'Avaliação'!$E$7:$E$206)-$F10,2))))</f>
        <v/>
      </c>
      <c r="H10" s="52">
        <f>IF($B10="","",IF(OR($F10="",$G10=""),"",ROUND(ABS($F10-$G10),2)))</f>
        <v/>
      </c>
      <c r="I10" s="3">
        <f>IF($B10="","",IF($D10&lt;2,"⚠ falta 2º avaliador",IF($D10&gt;2,"⚠ mais de 2 avaliações — conferir",IF(AND(ISNUMBER($H10),$H10&gt;1),"⚠ divergência &gt; 1,0 — média suspensa, calibrar","OK"))))</f>
        <v/>
      </c>
      <c r="J10" s="3" t="n"/>
      <c r="K10" s="52" t="n"/>
      <c r="L10" s="37" t="n"/>
      <c r="M10" s="52">
        <f>IF($E10="","",COUNTIF($E$5:$E$64,"&gt;"&amp;$E10)+1)</f>
        <v/>
      </c>
      <c r="N10" s="52">
        <f>IF($B10="","",IF(Entrevista!$H10="","",Entrevista!$H10))</f>
        <v/>
      </c>
      <c r="O10" s="3">
        <f>IF($B10="","",IF(Entrevista!$L10="","",Entrevista!$L10))</f>
        <v/>
      </c>
      <c r="P10" s="53" t="n"/>
      <c r="Q10" s="53" t="n"/>
      <c r="R10" s="53" t="n"/>
      <c r="S10" s="53" t="n"/>
      <c r="T10" s="53" t="n"/>
      <c r="U10" s="53" t="n"/>
      <c r="V10" s="53" t="n"/>
      <c r="W10" s="53" t="n"/>
      <c r="X10" s="53" t="n"/>
      <c r="Y10" s="53" t="n"/>
      <c r="Z10" s="53" t="n"/>
    </row>
    <row r="11" ht="14.25" customHeight="1" s="65">
      <c r="A11" s="3">
        <f>IF($B11="","",ROW()-4)</f>
        <v/>
      </c>
      <c r="B11" s="3" t="inlineStr">
        <is>
          <t>e221509@dac.unicamp.br</t>
        </is>
      </c>
      <c r="C11" s="3" t="inlineStr">
        <is>
          <t>Eduardo Alves Henrique</t>
        </is>
      </c>
      <c r="D11" s="52">
        <f>IF($B11="","",COUNTIFS('Avaliação'!$C$7:$C$206,$B11,'Avaliação'!$E$7:$E$206,"&gt;=0"))</f>
        <v/>
      </c>
      <c r="E11" s="32">
        <f>IF($B11="","",IFERROR(ROUND(AVERAGEIF('Avaliação'!$C$7:$C$206,$B11,'Avaliação'!$E$7:$E$206),2),""))</f>
        <v/>
      </c>
      <c r="F11" s="52">
        <f t="array" ref="F11">IF($B11="","",IFERROR(INDEX('Avaliação'!$E$7:$E$206,MATCH($B11,'Avaliação'!$C$7:$C$206,0)),""))</f>
        <v/>
      </c>
      <c r="G11" s="52">
        <f>IF($B11="","",IF($D11&lt;&gt;2,"",IF($F11="","",ROUND(SUMIF('Avaliação'!$C$7:$C$206,$B11,'Avaliação'!$E$7:$E$206)-$F11,2))))</f>
        <v/>
      </c>
      <c r="H11" s="52">
        <f>IF($B11="","",IF(OR($F11="",$G11=""),"",ROUND(ABS($F11-$G11),2)))</f>
        <v/>
      </c>
      <c r="I11" s="3">
        <f>IF($B11="","",IF($D11&lt;2,"⚠ falta 2º avaliador",IF($D11&gt;2,"⚠ mais de 2 avaliações — conferir",IF(AND(ISNUMBER($H11),$H11&gt;1),"⚠ divergência &gt; 1,0 — média suspensa, calibrar","OK"))))</f>
        <v/>
      </c>
      <c r="J11" s="3" t="n"/>
      <c r="K11" s="52" t="n"/>
      <c r="L11" s="37" t="n"/>
      <c r="M11" s="52">
        <f>IF($E11="","",COUNTIF($E$5:$E$64,"&gt;"&amp;$E11)+1)</f>
        <v/>
      </c>
      <c r="N11" s="52">
        <f>IF($B11="","",IF(Entrevista!$H11="","",Entrevista!$H11))</f>
        <v/>
      </c>
      <c r="O11" s="3">
        <f>IF($B11="","",IF(Entrevista!$L11="","",Entrevista!$L11))</f>
        <v/>
      </c>
      <c r="P11" s="53" t="n"/>
      <c r="Q11" s="53" t="n"/>
      <c r="R11" s="53" t="n"/>
      <c r="S11" s="53" t="n"/>
      <c r="T11" s="53" t="n"/>
      <c r="U11" s="53" t="n"/>
      <c r="V11" s="53" t="n"/>
      <c r="W11" s="53" t="n"/>
      <c r="X11" s="53" t="n"/>
      <c r="Y11" s="53" t="n"/>
      <c r="Z11" s="53" t="n"/>
    </row>
    <row r="12" ht="14.25" customHeight="1" s="65">
      <c r="A12" s="3">
        <f>IF($B12="","",ROW()-4)</f>
        <v/>
      </c>
      <c r="B12" s="3" t="inlineStr">
        <is>
          <t>l304532@dac.unicamp.br</t>
        </is>
      </c>
      <c r="C12" s="3" t="inlineStr">
        <is>
          <t>Leandra Cunha de Souza</t>
        </is>
      </c>
      <c r="D12" s="52">
        <f>IF($B12="","",COUNTIFS('Avaliação'!$C$7:$C$206,$B12,'Avaliação'!$E$7:$E$206,"&gt;=0"))</f>
        <v/>
      </c>
      <c r="E12" s="32">
        <f>IF($B12="","",IFERROR(ROUND(AVERAGEIF('Avaliação'!$C$7:$C$206,$B12,'Avaliação'!$E$7:$E$206),2),""))</f>
        <v/>
      </c>
      <c r="F12" s="52">
        <f t="array" ref="F12">IF($B12="","",IFERROR(INDEX('Avaliação'!$E$7:$E$206,MATCH($B12,'Avaliação'!$C$7:$C$206,0)),""))</f>
        <v/>
      </c>
      <c r="G12" s="52">
        <f>IF($B12="","",IF($D12&lt;&gt;2,"",IF($F12="","",ROUND(SUMIF('Avaliação'!$C$7:$C$206,$B12,'Avaliação'!$E$7:$E$206)-$F12,2))))</f>
        <v/>
      </c>
      <c r="H12" s="52">
        <f>IF($B12="","",IF(OR($F12="",$G12=""),"",ROUND(ABS($F12-$G12),2)))</f>
        <v/>
      </c>
      <c r="I12" s="3">
        <f>IF($B12="","",IF($D12&lt;2,"⚠ falta 2º avaliador",IF($D12&gt;2,"⚠ mais de 2 avaliações — conferir",IF(AND(ISNUMBER($H12),$H12&gt;1),"⚠ divergência &gt; 1,0 — média suspensa, calibrar","OK"))))</f>
        <v/>
      </c>
      <c r="J12" s="3" t="n"/>
      <c r="K12" s="52" t="n"/>
      <c r="L12" s="37" t="n"/>
      <c r="M12" s="52">
        <f>IF($E12="","",COUNTIF($E$5:$E$64,"&gt;"&amp;$E12)+1)</f>
        <v/>
      </c>
      <c r="N12" s="52">
        <f>IF($B12="","",IF(Entrevista!$H12="","",Entrevista!$H12))</f>
        <v/>
      </c>
      <c r="O12" s="3">
        <f>IF($B12="","",IF(Entrevista!$L12="","",Entrevista!$L12))</f>
        <v/>
      </c>
      <c r="P12" s="53" t="n"/>
      <c r="Q12" s="53" t="n"/>
      <c r="R12" s="53" t="n"/>
      <c r="S12" s="53" t="n"/>
      <c r="T12" s="53" t="n"/>
      <c r="U12" s="53" t="n"/>
      <c r="V12" s="53" t="n"/>
      <c r="W12" s="53" t="n"/>
      <c r="X12" s="53" t="n"/>
      <c r="Y12" s="53" t="n"/>
      <c r="Z12" s="53" t="n"/>
    </row>
    <row r="13" ht="14.25" customHeight="1" s="65">
      <c r="A13" s="3">
        <f>IF($B13="","",ROW()-4)</f>
        <v/>
      </c>
      <c r="B13" s="3" t="inlineStr">
        <is>
          <t>v188630@dac.unicamp.br</t>
        </is>
      </c>
      <c r="C13" s="3" t="inlineStr">
        <is>
          <t>Vagner Ássimos Gomes Carlos Filho</t>
        </is>
      </c>
      <c r="D13" s="52">
        <f>IF($B13="","",COUNTIFS('Avaliação'!$C$7:$C$206,$B13,'Avaliação'!$E$7:$E$206,"&gt;=0"))</f>
        <v/>
      </c>
      <c r="E13" s="32">
        <f>IF($B13="","",IFERROR(ROUND(AVERAGEIF('Avaliação'!$C$7:$C$206,$B13,'Avaliação'!$E$7:$E$206),2),""))</f>
        <v/>
      </c>
      <c r="F13" s="52">
        <f t="array" ref="F13">IF($B13="","",IFERROR(INDEX('Avaliação'!$E$7:$E$206,MATCH($B13,'Avaliação'!$C$7:$C$206,0)),""))</f>
        <v/>
      </c>
      <c r="G13" s="52">
        <f>IF($B13="","",IF($D13&lt;&gt;2,"",IF($F13="","",ROUND(SUMIF('Avaliação'!$C$7:$C$206,$B13,'Avaliação'!$E$7:$E$206)-$F13,2))))</f>
        <v/>
      </c>
      <c r="H13" s="52">
        <f>IF($B13="","",IF(OR($F13="",$G13=""),"",ROUND(ABS($F13-$G13),2)))</f>
        <v/>
      </c>
      <c r="I13" s="3">
        <f>IF($B13="","",IF($D13&lt;2,"⚠ falta 2º avaliador",IF($D13&gt;2,"⚠ mais de 2 avaliações — conferir",IF(AND(ISNUMBER($H13),$H13&gt;1),"⚠ divergência &gt; 1,0 — média suspensa, calibrar","OK"))))</f>
        <v/>
      </c>
      <c r="J13" s="3" t="n"/>
      <c r="K13" s="52" t="n"/>
      <c r="L13" s="37" t="n"/>
      <c r="M13" s="52">
        <f>IF($E13="","",COUNTIF($E$5:$E$64,"&gt;"&amp;$E13)+1)</f>
        <v/>
      </c>
      <c r="N13" s="52">
        <f>IF($B13="","",IF(Entrevista!$H13="","",Entrevista!$H13))</f>
        <v/>
      </c>
      <c r="O13" s="3">
        <f>IF($B13="","",IF(Entrevista!$L13="","",Entrevista!$L13))</f>
        <v/>
      </c>
      <c r="P13" s="53" t="n"/>
      <c r="Q13" s="53" t="n"/>
      <c r="R13" s="53" t="n"/>
      <c r="S13" s="53" t="n"/>
      <c r="T13" s="53" t="n"/>
      <c r="U13" s="53" t="n"/>
      <c r="V13" s="53" t="n"/>
      <c r="W13" s="53" t="n"/>
      <c r="X13" s="53" t="n"/>
      <c r="Y13" s="53" t="n"/>
      <c r="Z13" s="53" t="n"/>
    </row>
    <row r="14" ht="14.25" customHeight="1" s="65">
      <c r="A14" s="3">
        <f>IF($B14="","",ROW()-4)</f>
        <v/>
      </c>
      <c r="B14" s="3" t="inlineStr">
        <is>
          <t>m277865@dac.unicamp.br</t>
        </is>
      </c>
      <c r="C14" s="3" t="inlineStr">
        <is>
          <t>Mariana Nunes Galvão Sant'Anna</t>
        </is>
      </c>
      <c r="D14" s="52">
        <f>IF($B14="","",COUNTIFS('Avaliação'!$C$7:$C$206,$B14,'Avaliação'!$E$7:$E$206,"&gt;=0"))</f>
        <v/>
      </c>
      <c r="E14" s="32">
        <f>IF($B14="","",IFERROR(ROUND(AVERAGEIF('Avaliação'!$C$7:$C$206,$B14,'Avaliação'!$E$7:$E$206),2),""))</f>
        <v/>
      </c>
      <c r="F14" s="52">
        <f t="array" ref="F14">IF($B14="","",IFERROR(INDEX('Avaliação'!$E$7:$E$206,MATCH($B14,'Avaliação'!$C$7:$C$206,0)),""))</f>
        <v/>
      </c>
      <c r="G14" s="52">
        <f>IF($B14="","",IF($D14&lt;&gt;2,"",IF($F14="","",ROUND(SUMIF('Avaliação'!$C$7:$C$206,$B14,'Avaliação'!$E$7:$E$206)-$F14,2))))</f>
        <v/>
      </c>
      <c r="H14" s="52">
        <f>IF($B14="","",IF(OR($F14="",$G14=""),"",ROUND(ABS($F14-$G14),2)))</f>
        <v/>
      </c>
      <c r="I14" s="3">
        <f>IF($B14="","",IF($D14&lt;2,"⚠ falta 2º avaliador",IF($D14&gt;2,"⚠ mais de 2 avaliações — conferir",IF(AND(ISNUMBER($H14),$H14&gt;1),"⚠ divergência &gt; 1,0 — média suspensa, calibrar","OK"))))</f>
        <v/>
      </c>
      <c r="J14" s="3" t="n"/>
      <c r="K14" s="52" t="n"/>
      <c r="L14" s="37" t="n"/>
      <c r="M14" s="52">
        <f>IF($E14="","",COUNTIF($E$5:$E$64,"&gt;"&amp;$E14)+1)</f>
        <v/>
      </c>
      <c r="N14" s="52">
        <f>IF($B14="","",IF(Entrevista!$H14="","",Entrevista!$H14))</f>
        <v/>
      </c>
      <c r="O14" s="3">
        <f>IF($B14="","",IF(Entrevista!$L14="","",Entrevista!$L14))</f>
        <v/>
      </c>
      <c r="P14" s="53" t="n"/>
      <c r="Q14" s="53" t="n"/>
      <c r="R14" s="53" t="n"/>
      <c r="S14" s="53" t="n"/>
      <c r="T14" s="53" t="n"/>
      <c r="U14" s="53" t="n"/>
      <c r="V14" s="53" t="n"/>
      <c r="W14" s="53" t="n"/>
      <c r="X14" s="53" t="n"/>
      <c r="Y14" s="53" t="n"/>
      <c r="Z14" s="53" t="n"/>
    </row>
    <row r="15" ht="14.25" customHeight="1" s="65">
      <c r="A15" s="3">
        <f>IF($B15="","",ROW()-4)</f>
        <v/>
      </c>
      <c r="B15" s="3" t="inlineStr">
        <is>
          <t>a266739@dac.unicamp.br</t>
        </is>
      </c>
      <c r="C15" s="3" t="inlineStr">
        <is>
          <t>Aslan Rodrigues Maia</t>
        </is>
      </c>
      <c r="D15" s="52">
        <f>IF($B15="","",COUNTIFS('Avaliação'!$C$7:$C$206,$B15,'Avaliação'!$E$7:$E$206,"&gt;=0"))</f>
        <v/>
      </c>
      <c r="E15" s="32">
        <f>IF($B15="","",IFERROR(ROUND(AVERAGEIF('Avaliação'!$C$7:$C$206,$B15,'Avaliação'!$E$7:$E$206),2),""))</f>
        <v/>
      </c>
      <c r="F15" s="52">
        <f t="array" ref="F15">IF($B15="","",IFERROR(INDEX('Avaliação'!$E$7:$E$206,MATCH($B15,'Avaliação'!$C$7:$C$206,0)),""))</f>
        <v/>
      </c>
      <c r="G15" s="52">
        <f>IF($B15="","",IF($D15&lt;&gt;2,"",IF($F15="","",ROUND(SUMIF('Avaliação'!$C$7:$C$206,$B15,'Avaliação'!$E$7:$E$206)-$F15,2))))</f>
        <v/>
      </c>
      <c r="H15" s="52">
        <f>IF($B15="","",IF(OR($F15="",$G15=""),"",ROUND(ABS($F15-$G15),2)))</f>
        <v/>
      </c>
      <c r="I15" s="3">
        <f>IF($B15="","",IF($D15&lt;2,"⚠ falta 2º avaliador",IF($D15&gt;2,"⚠ mais de 2 avaliações — conferir",IF(AND(ISNUMBER($H15),$H15&gt;1),"⚠ divergência &gt; 1,0 — média suspensa, calibrar","OK"))))</f>
        <v/>
      </c>
      <c r="J15" s="3" t="n"/>
      <c r="K15" s="52" t="n"/>
      <c r="L15" s="37" t="n"/>
      <c r="M15" s="52">
        <f>IF($E15="","",COUNTIF($E$5:$E$64,"&gt;"&amp;$E15)+1)</f>
        <v/>
      </c>
      <c r="N15" s="52">
        <f>IF($B15="","",IF(Entrevista!$H15="","",Entrevista!$H15))</f>
        <v/>
      </c>
      <c r="O15" s="3">
        <f>IF($B15="","",IF(Entrevista!$L15="","",Entrevista!$L15))</f>
        <v/>
      </c>
      <c r="P15" s="53" t="n"/>
      <c r="Q15" s="53" t="n"/>
      <c r="R15" s="53" t="n"/>
      <c r="S15" s="53" t="n"/>
      <c r="T15" s="53" t="n"/>
      <c r="U15" s="53" t="n"/>
      <c r="V15" s="53" t="n"/>
      <c r="W15" s="53" t="n"/>
      <c r="X15" s="53" t="n"/>
      <c r="Y15" s="53" t="n"/>
      <c r="Z15" s="53" t="n"/>
    </row>
    <row r="16" ht="14.25" customHeight="1" s="65">
      <c r="A16" s="3">
        <f>IF($B16="","",ROW()-4)</f>
        <v/>
      </c>
      <c r="B16" s="3" t="inlineStr">
        <is>
          <t>j278641@dac.unicamp.br</t>
        </is>
      </c>
      <c r="C16" s="3" t="inlineStr">
        <is>
          <t>João Gabriel de Oliveira Morcelli</t>
        </is>
      </c>
      <c r="D16" s="52">
        <f>IF($B16="","",COUNTIFS('Avaliação'!$C$7:$C$206,$B16,'Avaliação'!$E$7:$E$206,"&gt;=0"))</f>
        <v/>
      </c>
      <c r="E16" s="32">
        <f>IF($B16="","",IFERROR(ROUND(AVERAGEIF('Avaliação'!$C$7:$C$206,$B16,'Avaliação'!$E$7:$E$206),2),""))</f>
        <v/>
      </c>
      <c r="F16" s="52">
        <f t="array" ref="F16">IF($B16="","",IFERROR(INDEX('Avaliação'!$E$7:$E$206,MATCH($B16,'Avaliação'!$C$7:$C$206,0)),""))</f>
        <v/>
      </c>
      <c r="G16" s="52">
        <f>IF($B16="","",IF($D16&lt;&gt;2,"",IF($F16="","",ROUND(SUMIF('Avaliação'!$C$7:$C$206,$B16,'Avaliação'!$E$7:$E$206)-$F16,2))))</f>
        <v/>
      </c>
      <c r="H16" s="52">
        <f>IF($B16="","",IF(OR($F16="",$G16=""),"",ROUND(ABS($F16-$G16),2)))</f>
        <v/>
      </c>
      <c r="I16" s="3">
        <f>IF($B16="","",IF($D16&lt;2,"⚠ falta 2º avaliador",IF($D16&gt;2,"⚠ mais de 2 avaliações — conferir",IF(AND(ISNUMBER($H16),$H16&gt;1),"⚠ divergência &gt; 1,0 — média suspensa, calibrar","OK"))))</f>
        <v/>
      </c>
      <c r="J16" s="3" t="n"/>
      <c r="K16" s="52" t="n"/>
      <c r="L16" s="37" t="n"/>
      <c r="M16" s="52">
        <f>IF($E16="","",COUNTIF($E$5:$E$64,"&gt;"&amp;$E16)+1)</f>
        <v/>
      </c>
      <c r="N16" s="52">
        <f>IF($B16="","",IF(Entrevista!$H16="","",Entrevista!$H16))</f>
        <v/>
      </c>
      <c r="O16" s="3">
        <f>IF($B16="","",IF(Entrevista!$L16="","",Entrevista!$L16))</f>
        <v/>
      </c>
      <c r="P16" s="53" t="n"/>
      <c r="Q16" s="53" t="n"/>
      <c r="R16" s="53" t="n"/>
      <c r="S16" s="53" t="n"/>
      <c r="T16" s="53" t="n"/>
      <c r="U16" s="53" t="n"/>
      <c r="V16" s="53" t="n"/>
      <c r="W16" s="53" t="n"/>
      <c r="X16" s="53" t="n"/>
      <c r="Y16" s="53" t="n"/>
      <c r="Z16" s="53" t="n"/>
    </row>
    <row r="17" ht="14.25" customHeight="1" s="65">
      <c r="A17" s="3">
        <f>IF($B17="","",ROW()-4)</f>
        <v/>
      </c>
      <c r="B17" s="3" t="inlineStr">
        <is>
          <t>r278709@dac.unicamp.br</t>
        </is>
      </c>
      <c r="C17" s="3" t="inlineStr">
        <is>
          <t>Raphael Negrini Saggioro</t>
        </is>
      </c>
      <c r="D17" s="52">
        <f>IF($B17="","",COUNTIFS('Avaliação'!$C$7:$C$206,$B17,'Avaliação'!$E$7:$E$206,"&gt;=0"))</f>
        <v/>
      </c>
      <c r="E17" s="32">
        <f>IF($B17="","",IFERROR(ROUND(AVERAGEIF('Avaliação'!$C$7:$C$206,$B17,'Avaliação'!$E$7:$E$206),2),""))</f>
        <v/>
      </c>
      <c r="F17" s="52">
        <f t="array" ref="F17">IF($B17="","",IFERROR(INDEX('Avaliação'!$E$7:$E$206,MATCH($B17,'Avaliação'!$C$7:$C$206,0)),""))</f>
        <v/>
      </c>
      <c r="G17" s="52">
        <f>IF($B17="","",IF($D17&lt;&gt;2,"",IF($F17="","",ROUND(SUMIF('Avaliação'!$C$7:$C$206,$B17,'Avaliação'!$E$7:$E$206)-$F17,2))))</f>
        <v/>
      </c>
      <c r="H17" s="52">
        <f>IF($B17="","",IF(OR($F17="",$G17=""),"",ROUND(ABS($F17-$G17),2)))</f>
        <v/>
      </c>
      <c r="I17" s="3">
        <f>IF($B17="","",IF($D17&lt;2,"⚠ falta 2º avaliador",IF($D17&gt;2,"⚠ mais de 2 avaliações — conferir",IF(AND(ISNUMBER($H17),$H17&gt;1),"⚠ divergência &gt; 1,0 — média suspensa, calibrar","OK"))))</f>
        <v/>
      </c>
      <c r="J17" s="3" t="n"/>
      <c r="K17" s="52" t="n"/>
      <c r="L17" s="37" t="n"/>
      <c r="M17" s="52">
        <f>IF($E17="","",COUNTIF($E$5:$E$64,"&gt;"&amp;$E17)+1)</f>
        <v/>
      </c>
      <c r="N17" s="52">
        <f>IF($B17="","",IF(Entrevista!$H17="","",Entrevista!$H17))</f>
        <v/>
      </c>
      <c r="O17" s="3">
        <f>IF($B17="","",IF(Entrevista!$L17="","",Entrevista!$L17))</f>
        <v/>
      </c>
      <c r="P17" s="53" t="n"/>
      <c r="Q17" s="53" t="n"/>
      <c r="R17" s="53" t="n"/>
      <c r="S17" s="53" t="n"/>
      <c r="T17" s="53" t="n"/>
      <c r="U17" s="53" t="n"/>
      <c r="V17" s="53" t="n"/>
      <c r="W17" s="53" t="n"/>
      <c r="X17" s="53" t="n"/>
      <c r="Y17" s="53" t="n"/>
      <c r="Z17" s="53" t="n"/>
    </row>
    <row r="18" ht="14.25" customHeight="1" s="65">
      <c r="A18" s="3">
        <f>IF($B18="","",ROW()-4)</f>
        <v/>
      </c>
      <c r="B18" s="3" t="inlineStr">
        <is>
          <t>g278107@dac.unicamp.br</t>
        </is>
      </c>
      <c r="C18" s="3" t="inlineStr">
        <is>
          <t>Gustavo Daher Pereira</t>
        </is>
      </c>
      <c r="D18" s="52">
        <f>IF($B18="","",COUNTIFS('Avaliação'!$C$7:$C$206,$B18,'Avaliação'!$E$7:$E$206,"&gt;=0"))</f>
        <v/>
      </c>
      <c r="E18" s="32">
        <f>IF($B18="","",IFERROR(ROUND(AVERAGEIF('Avaliação'!$C$7:$C$206,$B18,'Avaliação'!$E$7:$E$206),2),""))</f>
        <v/>
      </c>
      <c r="F18" s="52">
        <f t="array" ref="F18">IF($B18="","",IFERROR(INDEX('Avaliação'!$E$7:$E$206,MATCH($B18,'Avaliação'!$C$7:$C$206,0)),""))</f>
        <v/>
      </c>
      <c r="G18" s="52">
        <f>IF($B18="","",IF($D18&lt;&gt;2,"",IF($F18="","",ROUND(SUMIF('Avaliação'!$C$7:$C$206,$B18,'Avaliação'!$E$7:$E$206)-$F18,2))))</f>
        <v/>
      </c>
      <c r="H18" s="52">
        <f>IF($B18="","",IF(OR($F18="",$G18=""),"",ROUND(ABS($F18-$G18),2)))</f>
        <v/>
      </c>
      <c r="I18" s="3">
        <f>IF($B18="","",IF($D18&lt;2,"⚠ falta 2º avaliador",IF($D18&gt;2,"⚠ mais de 2 avaliações — conferir",IF(AND(ISNUMBER($H18),$H18&gt;1),"⚠ divergência &gt; 1,0 — média suspensa, calibrar","OK"))))</f>
        <v/>
      </c>
      <c r="J18" s="3" t="n"/>
      <c r="K18" s="52" t="n"/>
      <c r="L18" s="37" t="n"/>
      <c r="M18" s="52">
        <f>IF($E18="","",COUNTIF($E$5:$E$64,"&gt;"&amp;$E18)+1)</f>
        <v/>
      </c>
      <c r="N18" s="52">
        <f>IF($B18="","",IF(Entrevista!$H18="","",Entrevista!$H18))</f>
        <v/>
      </c>
      <c r="O18" s="3">
        <f>IF($B18="","",IF(Entrevista!$L18="","",Entrevista!$L18))</f>
        <v/>
      </c>
      <c r="P18" s="53" t="n"/>
      <c r="Q18" s="53" t="n"/>
      <c r="R18" s="53" t="n"/>
      <c r="S18" s="53" t="n"/>
      <c r="T18" s="53" t="n"/>
      <c r="U18" s="53" t="n"/>
      <c r="V18" s="53" t="n"/>
      <c r="W18" s="53" t="n"/>
      <c r="X18" s="53" t="n"/>
      <c r="Y18" s="53" t="n"/>
      <c r="Z18" s="53" t="n"/>
    </row>
    <row r="19" ht="14.25" customHeight="1" s="65">
      <c r="A19" s="3">
        <f>IF($B19="","",ROW()-4)</f>
        <v/>
      </c>
      <c r="B19" s="3" t="inlineStr">
        <is>
          <t>rickfilho2007@gmail.com</t>
        </is>
      </c>
      <c r="C19" s="3" t="inlineStr">
        <is>
          <t>Ricardo Augusto Schmitt Filho</t>
        </is>
      </c>
      <c r="D19" s="52">
        <f>IF($B19="","",COUNTIFS('Avaliação'!$C$7:$C$206,$B19,'Avaliação'!$E$7:$E$206,"&gt;=0"))</f>
        <v/>
      </c>
      <c r="E19" s="32">
        <f>IF($B19="","",IFERROR(ROUND(AVERAGEIF('Avaliação'!$C$7:$C$206,$B19,'Avaliação'!$E$7:$E$206),2),""))</f>
        <v/>
      </c>
      <c r="F19" s="52">
        <f t="array" ref="F19">IF($B19="","",IFERROR(INDEX('Avaliação'!$E$7:$E$206,MATCH($B19,'Avaliação'!$C$7:$C$206,0)),""))</f>
        <v/>
      </c>
      <c r="G19" s="52">
        <f>IF($B19="","",IF($D19&lt;&gt;2,"",IF($F19="","",ROUND(SUMIF('Avaliação'!$C$7:$C$206,$B19,'Avaliação'!$E$7:$E$206)-$F19,2))))</f>
        <v/>
      </c>
      <c r="H19" s="52">
        <f>IF($B19="","",IF(OR($F19="",$G19=""),"",ROUND(ABS($F19-$G19),2)))</f>
        <v/>
      </c>
      <c r="I19" s="3">
        <f>IF($B19="","",IF($D19&lt;2,"⚠ falta 2º avaliador",IF($D19&gt;2,"⚠ mais de 2 avaliações — conferir",IF(AND(ISNUMBER($H19),$H19&gt;1),"⚠ divergência &gt; 1,0 — média suspensa, calibrar","OK"))))</f>
        <v/>
      </c>
      <c r="J19" s="3" t="n"/>
      <c r="K19" s="52" t="n"/>
      <c r="L19" s="37" t="n"/>
      <c r="M19" s="52">
        <f>IF($E19="","",COUNTIF($E$5:$E$64,"&gt;"&amp;$E19)+1)</f>
        <v/>
      </c>
      <c r="N19" s="52">
        <f>IF($B19="","",IF(Entrevista!$H19="","",Entrevista!$H19))</f>
        <v/>
      </c>
      <c r="O19" s="3">
        <f>IF($B19="","",IF(Entrevista!$L19="","",Entrevista!$L19))</f>
        <v/>
      </c>
      <c r="P19" s="53" t="n"/>
      <c r="Q19" s="53" t="n"/>
      <c r="R19" s="53" t="n"/>
      <c r="S19" s="53" t="n"/>
      <c r="T19" s="53" t="n"/>
      <c r="U19" s="53" t="n"/>
      <c r="V19" s="53" t="n"/>
      <c r="W19" s="53" t="n"/>
      <c r="X19" s="53" t="n"/>
      <c r="Y19" s="53" t="n"/>
      <c r="Z19" s="53" t="n"/>
    </row>
    <row r="20" ht="14.25" customHeight="1" s="65">
      <c r="A20" s="3">
        <f>IF($B20="","",ROW()-4)</f>
        <v/>
      </c>
      <c r="B20" s="3" t="inlineStr">
        <is>
          <t>m306365@dac.unicamp.br</t>
        </is>
      </c>
      <c r="C20" s="3" t="inlineStr">
        <is>
          <t>Matheus Dias Freitas</t>
        </is>
      </c>
      <c r="D20" s="52">
        <f>IF($B20="","",COUNTIFS('Avaliação'!$C$7:$C$206,$B20,'Avaliação'!$E$7:$E$206,"&gt;=0"))</f>
        <v/>
      </c>
      <c r="E20" s="32">
        <f>IF($B20="","",IFERROR(ROUND(AVERAGEIF('Avaliação'!$C$7:$C$206,$B20,'Avaliação'!$E$7:$E$206),2),""))</f>
        <v/>
      </c>
      <c r="F20" s="52">
        <f t="array" ref="F20">IF($B20="","",IFERROR(INDEX('Avaliação'!$E$7:$E$206,MATCH($B20,'Avaliação'!$C$7:$C$206,0)),""))</f>
        <v/>
      </c>
      <c r="G20" s="52">
        <f>IF($B20="","",IF($D20&lt;&gt;2,"",IF($F20="","",ROUND(SUMIF('Avaliação'!$C$7:$C$206,$B20,'Avaliação'!$E$7:$E$206)-$F20,2))))</f>
        <v/>
      </c>
      <c r="H20" s="52">
        <f>IF($B20="","",IF(OR($F20="",$G20=""),"",ROUND(ABS($F20-$G20),2)))</f>
        <v/>
      </c>
      <c r="I20" s="3">
        <f>IF($B20="","",IF($D20&lt;2,"⚠ falta 2º avaliador",IF($D20&gt;2,"⚠ mais de 2 avaliações — conferir",IF(AND(ISNUMBER($H20),$H20&gt;1),"⚠ divergência &gt; 1,0 — média suspensa, calibrar","OK"))))</f>
        <v/>
      </c>
      <c r="J20" s="3" t="n"/>
      <c r="K20" s="52" t="n"/>
      <c r="L20" s="37" t="n"/>
      <c r="M20" s="52">
        <f>IF($E20="","",COUNTIF($E$5:$E$64,"&gt;"&amp;$E20)+1)</f>
        <v/>
      </c>
      <c r="N20" s="52">
        <f>IF($B20="","",IF(Entrevista!$H20="","",Entrevista!$H20))</f>
        <v/>
      </c>
      <c r="O20" s="3">
        <f>IF($B20="","",IF(Entrevista!$L20="","",Entrevista!$L20))</f>
        <v/>
      </c>
      <c r="P20" s="53" t="n"/>
      <c r="Q20" s="53" t="n"/>
      <c r="R20" s="53" t="n"/>
      <c r="S20" s="53" t="n"/>
      <c r="T20" s="53" t="n"/>
      <c r="U20" s="53" t="n"/>
      <c r="V20" s="53" t="n"/>
      <c r="W20" s="53" t="n"/>
      <c r="X20" s="53" t="n"/>
      <c r="Y20" s="53" t="n"/>
      <c r="Z20" s="53" t="n"/>
    </row>
    <row r="21" ht="14.25" customHeight="1" s="65">
      <c r="A21" s="3">
        <f>IF($B21="","",ROW()-4)</f>
        <v/>
      </c>
      <c r="B21" s="3" t="inlineStr">
        <is>
          <t>k267983@dac.unicamp.br</t>
        </is>
      </c>
      <c r="C21" s="3" t="inlineStr">
        <is>
          <t>Klaus Augusto Santos da Silva</t>
        </is>
      </c>
      <c r="D21" s="52">
        <f>IF($B21="","",COUNTIFS('Avaliação'!$C$7:$C$206,$B21,'Avaliação'!$E$7:$E$206,"&gt;=0"))</f>
        <v/>
      </c>
      <c r="E21" s="32">
        <f>IF($B21="","",IFERROR(ROUND(AVERAGEIF('Avaliação'!$C$7:$C$206,$B21,'Avaliação'!$E$7:$E$206),2),""))</f>
        <v/>
      </c>
      <c r="F21" s="52">
        <f t="array" ref="F21">IF($B21="","",IFERROR(INDEX('Avaliação'!$E$7:$E$206,MATCH($B21,'Avaliação'!$C$7:$C$206,0)),""))</f>
        <v/>
      </c>
      <c r="G21" s="52">
        <f>IF($B21="","",IF($D21&lt;&gt;2,"",IF($F21="","",ROUND(SUMIF('Avaliação'!$C$7:$C$206,$B21,'Avaliação'!$E$7:$E$206)-$F21,2))))</f>
        <v/>
      </c>
      <c r="H21" s="52">
        <f>IF($B21="","",IF(OR($F21="",$G21=""),"",ROUND(ABS($F21-$G21),2)))</f>
        <v/>
      </c>
      <c r="I21" s="3">
        <f>IF($B21="","",IF($D21&lt;2,"⚠ falta 2º avaliador",IF($D21&gt;2,"⚠ mais de 2 avaliações — conferir",IF(AND(ISNUMBER($H21),$H21&gt;1),"⚠ divergência &gt; 1,0 — média suspensa, calibrar","OK"))))</f>
        <v/>
      </c>
      <c r="J21" s="3" t="n"/>
      <c r="K21" s="52" t="n"/>
      <c r="L21" s="37" t="n"/>
      <c r="M21" s="52">
        <f>IF($E21="","",COUNTIF($E$5:$E$64,"&gt;"&amp;$E21)+1)</f>
        <v/>
      </c>
      <c r="N21" s="52">
        <f>IF($B21="","",IF(Entrevista!$H21="","",Entrevista!$H21))</f>
        <v/>
      </c>
      <c r="O21" s="3">
        <f>IF($B21="","",IF(Entrevista!$L21="","",Entrevista!$L21))</f>
        <v/>
      </c>
      <c r="P21" s="53" t="n"/>
      <c r="Q21" s="53" t="n"/>
      <c r="R21" s="53" t="n"/>
      <c r="S21" s="53" t="n"/>
      <c r="T21" s="53" t="n"/>
      <c r="U21" s="53" t="n"/>
      <c r="V21" s="53" t="n"/>
      <c r="W21" s="53" t="n"/>
      <c r="X21" s="53" t="n"/>
      <c r="Y21" s="53" t="n"/>
      <c r="Z21" s="53" t="n"/>
    </row>
    <row r="22" ht="14.25" customHeight="1" s="65">
      <c r="A22" s="3">
        <f>IF($B22="","",ROW()-4)</f>
        <v/>
      </c>
      <c r="B22" s="3" t="inlineStr">
        <is>
          <t>r302729@dac.unicamp.br</t>
        </is>
      </c>
      <c r="C22" s="3" t="inlineStr">
        <is>
          <t>Rafael Rodrigues Moreira</t>
        </is>
      </c>
      <c r="D22" s="52">
        <f>IF($B22="","",COUNTIFS('Avaliação'!$C$7:$C$206,$B22,'Avaliação'!$E$7:$E$206,"&gt;=0"))</f>
        <v/>
      </c>
      <c r="E22" s="32">
        <f>IF($B22="","",IFERROR(ROUND(AVERAGEIF('Avaliação'!$C$7:$C$206,$B22,'Avaliação'!$E$7:$E$206),2),""))</f>
        <v/>
      </c>
      <c r="F22" s="52">
        <f t="array" ref="F22">IF($B22="","",IFERROR(INDEX('Avaliação'!$E$7:$E$206,MATCH($B22,'Avaliação'!$C$7:$C$206,0)),""))</f>
        <v/>
      </c>
      <c r="G22" s="52">
        <f>IF($B22="","",IF($D22&lt;&gt;2,"",IF($F22="","",ROUND(SUMIF('Avaliação'!$C$7:$C$206,$B22,'Avaliação'!$E$7:$E$206)-$F22,2))))</f>
        <v/>
      </c>
      <c r="H22" s="52">
        <f>IF($B22="","",IF(OR($F22="",$G22=""),"",ROUND(ABS($F22-$G22),2)))</f>
        <v/>
      </c>
      <c r="I22" s="3">
        <f>IF($B22="","",IF($D22&lt;2,"⚠ falta 2º avaliador",IF($D22&gt;2,"⚠ mais de 2 avaliações — conferir",IF(AND(ISNUMBER($H22),$H22&gt;1),"⚠ divergência &gt; 1,0 — média suspensa, calibrar","OK"))))</f>
        <v/>
      </c>
      <c r="J22" s="3" t="n"/>
      <c r="K22" s="52" t="n"/>
      <c r="L22" s="37" t="n"/>
      <c r="M22" s="52">
        <f>IF($E22="","",COUNTIF($E$5:$E$64,"&gt;"&amp;$E22)+1)</f>
        <v/>
      </c>
      <c r="N22" s="52">
        <f>IF($B22="","",IF(Entrevista!$H22="","",Entrevista!$H22))</f>
        <v/>
      </c>
      <c r="O22" s="3">
        <f>IF($B22="","",IF(Entrevista!$L22="","",Entrevista!$L22))</f>
        <v/>
      </c>
      <c r="P22" s="53" t="n"/>
      <c r="Q22" s="53" t="n"/>
      <c r="R22" s="53" t="n"/>
      <c r="S22" s="53" t="n"/>
      <c r="T22" s="53" t="n"/>
      <c r="U22" s="53" t="n"/>
      <c r="V22" s="53" t="n"/>
      <c r="W22" s="53" t="n"/>
      <c r="X22" s="53" t="n"/>
      <c r="Y22" s="53" t="n"/>
      <c r="Z22" s="53" t="n"/>
    </row>
    <row r="23" ht="14.25" customHeight="1" s="65">
      <c r="A23" s="3">
        <f>IF($B23="","",ROW()-4)</f>
        <v/>
      </c>
      <c r="B23" s="3" t="inlineStr">
        <is>
          <t>c258388@dac.unicamp.br</t>
        </is>
      </c>
      <c r="C23" s="3" t="inlineStr">
        <is>
          <t>Caio Augusto Saab</t>
        </is>
      </c>
      <c r="D23" s="52">
        <f>IF($B23="","",COUNTIFS('Avaliação'!$C$7:$C$206,$B23,'Avaliação'!$E$7:$E$206,"&gt;=0"))</f>
        <v/>
      </c>
      <c r="E23" s="32">
        <f>IF($B23="","",IFERROR(ROUND(AVERAGEIF('Avaliação'!$C$7:$C$206,$B23,'Avaliação'!$E$7:$E$206),2),""))</f>
        <v/>
      </c>
      <c r="F23" s="52">
        <f t="array" ref="F23">IF($B23="","",IFERROR(INDEX('Avaliação'!$E$7:$E$206,MATCH($B23,'Avaliação'!$C$7:$C$206,0)),""))</f>
        <v/>
      </c>
      <c r="G23" s="52">
        <f>IF($B23="","",IF($D23&lt;&gt;2,"",IF($F23="","",ROUND(SUMIF('Avaliação'!$C$7:$C$206,$B23,'Avaliação'!$E$7:$E$206)-$F23,2))))</f>
        <v/>
      </c>
      <c r="H23" s="52">
        <f>IF($B23="","",IF(OR($F23="",$G23=""),"",ROUND(ABS($F23-$G23),2)))</f>
        <v/>
      </c>
      <c r="I23" s="3">
        <f>IF($B23="","",IF($D23&lt;2,"⚠ falta 2º avaliador",IF($D23&gt;2,"⚠ mais de 2 avaliações — conferir",IF(AND(ISNUMBER($H23),$H23&gt;1),"⚠ divergência &gt; 1,0 — média suspensa, calibrar","OK"))))</f>
        <v/>
      </c>
      <c r="J23" s="3" t="n"/>
      <c r="K23" s="52" t="n"/>
      <c r="L23" s="37" t="n"/>
      <c r="M23" s="52">
        <f>IF($E23="","",COUNTIF($E$5:$E$64,"&gt;"&amp;$E23)+1)</f>
        <v/>
      </c>
      <c r="N23" s="52">
        <f>IF($B23="","",IF(Entrevista!$H23="","",Entrevista!$H23))</f>
        <v/>
      </c>
      <c r="O23" s="3">
        <f>IF($B23="","",IF(Entrevista!$L23="","",Entrevista!$L23))</f>
        <v/>
      </c>
      <c r="P23" s="53" t="n"/>
      <c r="Q23" s="53" t="n"/>
      <c r="R23" s="53" t="n"/>
      <c r="S23" s="53" t="n"/>
      <c r="T23" s="53" t="n"/>
      <c r="U23" s="53" t="n"/>
      <c r="V23" s="53" t="n"/>
      <c r="W23" s="53" t="n"/>
      <c r="X23" s="53" t="n"/>
      <c r="Y23" s="53" t="n"/>
      <c r="Z23" s="53" t="n"/>
    </row>
    <row r="24" ht="14.25" customHeight="1" s="65">
      <c r="A24" s="3">
        <f>IF($B24="","",ROW()-4)</f>
        <v/>
      </c>
      <c r="B24" s="3" t="inlineStr">
        <is>
          <t>j260826@dac.unicamp.br</t>
        </is>
      </c>
      <c r="C24" s="3" t="inlineStr">
        <is>
          <t>José Vitor Dias Tutu</t>
        </is>
      </c>
      <c r="D24" s="52">
        <f>IF($B24="","",COUNTIFS('Avaliação'!$C$7:$C$206,$B24,'Avaliação'!$E$7:$E$206,"&gt;=0"))</f>
        <v/>
      </c>
      <c r="E24" s="32">
        <f>IF($B24="","",IFERROR(ROUND(AVERAGEIF('Avaliação'!$C$7:$C$206,$B24,'Avaliação'!$E$7:$E$206),2),""))</f>
        <v/>
      </c>
      <c r="F24" s="52">
        <f t="array" ref="F24">IF($B24="","",IFERROR(INDEX('Avaliação'!$E$7:$E$206,MATCH($B24,'Avaliação'!$C$7:$C$206,0)),""))</f>
        <v/>
      </c>
      <c r="G24" s="52">
        <f>IF($B24="","",IF($D24&lt;&gt;2,"",IF($F24="","",ROUND(SUMIF('Avaliação'!$C$7:$C$206,$B24,'Avaliação'!$E$7:$E$206)-$F24,2))))</f>
        <v/>
      </c>
      <c r="H24" s="52">
        <f>IF($B24="","",IF(OR($F24="",$G24=""),"",ROUND(ABS($F24-$G24),2)))</f>
        <v/>
      </c>
      <c r="I24" s="3">
        <f>IF($B24="","",IF($D24&lt;2,"⚠ falta 2º avaliador",IF($D24&gt;2,"⚠ mais de 2 avaliações — conferir",IF(AND(ISNUMBER($H24),$H24&gt;1),"⚠ divergência &gt; 1,0 — média suspensa, calibrar","OK"))))</f>
        <v/>
      </c>
      <c r="J24" s="3" t="n"/>
      <c r="K24" s="52" t="n"/>
      <c r="L24" s="37" t="n"/>
      <c r="M24" s="52">
        <f>IF($E24="","",COUNTIF($E$5:$E$64,"&gt;"&amp;$E24)+1)</f>
        <v/>
      </c>
      <c r="N24" s="52">
        <f>IF($B24="","",IF(Entrevista!$H24="","",Entrevista!$H24))</f>
        <v/>
      </c>
      <c r="O24" s="3">
        <f>IF($B24="","",IF(Entrevista!$L24="","",Entrevista!$L24))</f>
        <v/>
      </c>
      <c r="P24" s="53" t="n"/>
      <c r="Q24" s="53" t="n"/>
      <c r="R24" s="53" t="n"/>
      <c r="S24" s="53" t="n"/>
      <c r="T24" s="53" t="n"/>
      <c r="U24" s="53" t="n"/>
      <c r="V24" s="53" t="n"/>
      <c r="W24" s="53" t="n"/>
      <c r="X24" s="53" t="n"/>
      <c r="Y24" s="53" t="n"/>
      <c r="Z24" s="53" t="n"/>
    </row>
    <row r="25" ht="14.25" customHeight="1" s="65">
      <c r="A25" s="3">
        <f>IF($B25="","",ROW()-4)</f>
        <v/>
      </c>
      <c r="B25" s="3" t="inlineStr">
        <is>
          <t xml:space="preserve">i253464@dac.unicamp.br
</t>
        </is>
      </c>
      <c r="C25" s="3" t="inlineStr">
        <is>
          <t>Isadora Kluge Dorigan</t>
        </is>
      </c>
      <c r="D25" s="52">
        <f>IF($B25="","",COUNTIFS('Avaliação'!$C$7:$C$206,$B25,'Avaliação'!$E$7:$E$206,"&gt;=0"))</f>
        <v/>
      </c>
      <c r="E25" s="32">
        <f>IF($B25="","",IFERROR(ROUND(AVERAGEIF('Avaliação'!$C$7:$C$206,$B25,'Avaliação'!$E$7:$E$206),2),""))</f>
        <v/>
      </c>
      <c r="F25" s="52">
        <f t="array" ref="F25">IF($B25="","",IFERROR(INDEX('Avaliação'!$E$7:$E$206,MATCH($B25,'Avaliação'!$C$7:$C$206,0)),""))</f>
        <v/>
      </c>
      <c r="G25" s="52">
        <f>IF($B25="","",IF($D25&lt;&gt;2,"",IF($F25="","",ROUND(SUMIF('Avaliação'!$C$7:$C$206,$B25,'Avaliação'!$E$7:$E$206)-$F25,2))))</f>
        <v/>
      </c>
      <c r="H25" s="52">
        <f>IF($B25="","",IF(OR($F25="",$G25=""),"",ROUND(ABS($F25-$G25),2)))</f>
        <v/>
      </c>
      <c r="I25" s="3">
        <f>IF($B25="","",IF($D25&lt;2,"⚠ falta 2º avaliador",IF($D25&gt;2,"⚠ mais de 2 avaliações — conferir",IF(AND(ISNUMBER($H25),$H25&gt;1),"⚠ divergência &gt; 1,0 — média suspensa, calibrar","OK"))))</f>
        <v/>
      </c>
      <c r="J25" s="3" t="n"/>
      <c r="K25" s="52" t="n"/>
      <c r="L25" s="37" t="n"/>
      <c r="M25" s="52">
        <f>IF($E25="","",COUNTIF($E$5:$E$64,"&gt;"&amp;$E25)+1)</f>
        <v/>
      </c>
      <c r="N25" s="52">
        <f>IF($B25="","",IF(Entrevista!$H25="","",Entrevista!$H25))</f>
        <v/>
      </c>
      <c r="O25" s="3">
        <f>IF($B25="","",IF(Entrevista!$L25="","",Entrevista!$L25))</f>
        <v/>
      </c>
      <c r="P25" s="53" t="n"/>
      <c r="Q25" s="53" t="n"/>
      <c r="R25" s="53" t="n"/>
      <c r="S25" s="53" t="n"/>
      <c r="T25" s="53" t="n"/>
      <c r="U25" s="53" t="n"/>
      <c r="V25" s="53" t="n"/>
      <c r="W25" s="53" t="n"/>
      <c r="X25" s="53" t="n"/>
      <c r="Y25" s="53" t="n"/>
      <c r="Z25" s="53" t="n"/>
    </row>
    <row r="26" ht="14.25" customHeight="1" s="65">
      <c r="A26" s="3">
        <f>IF($B26="","",ROW()-4)</f>
        <v/>
      </c>
      <c r="B26" s="53" t="n"/>
      <c r="C26" s="52" t="n"/>
      <c r="D26" s="52">
        <f>IF($B26="","",COUNTIFS('Avaliação'!$C$7:$C$206,$B26,'Avaliação'!$E$7:$E$206,"&gt;=0"))</f>
        <v/>
      </c>
      <c r="E26" s="32">
        <f>IF($B26="","",IFERROR(ROUND(AVERAGEIF('Avaliação'!$C$7:$C$206,$B26,'Avaliação'!$E$7:$E$206),2),""))</f>
        <v/>
      </c>
      <c r="F26" s="52">
        <f t="array" ref="F26">IF($B26="","",IFERROR(INDEX('Avaliação'!$E$7:$E$206,MATCH($B26,'Avaliação'!$C$7:$C$206,0)),""))</f>
        <v/>
      </c>
      <c r="G26" s="52">
        <f>IF($B26="","",IF($D26&lt;&gt;2,"",IF($F26="","",ROUND(SUMIF('Avaliação'!$C$7:$C$206,$B26,'Avaliação'!$E$7:$E$206)-$F26,2))))</f>
        <v/>
      </c>
      <c r="H26" s="52">
        <f>IF($B26="","",IF(OR($F26="",$G26=""),"",ROUND(ABS($F26-$G26),2)))</f>
        <v/>
      </c>
      <c r="I26" s="3">
        <f>IF($B26="","",IF($D26&lt;2,"⚠ falta 2º avaliador",IF($D26&gt;2,"⚠ mais de 2 avaliações — conferir",IF(AND(ISNUMBER($H26),$H26&gt;1),"⚠ divergência &gt; 1,0 — média suspensa, calibrar","OK"))))</f>
        <v/>
      </c>
      <c r="J26" s="3" t="n"/>
      <c r="K26" s="52" t="n"/>
      <c r="L26" s="37" t="n"/>
      <c r="M26" s="52">
        <f>IF($E26="","",COUNTIF($E$5:$E$64,"&gt;"&amp;$E26)+1)</f>
        <v/>
      </c>
      <c r="N26" s="52">
        <f>IF($B26="","",IF(Entrevista!$H26="","",Entrevista!$H26))</f>
        <v/>
      </c>
      <c r="O26" s="3">
        <f>IF($B26="","",IF(Entrevista!$L26="","",Entrevista!$L26))</f>
        <v/>
      </c>
      <c r="P26" s="53" t="n"/>
      <c r="Q26" s="53" t="n"/>
      <c r="R26" s="53" t="n"/>
      <c r="S26" s="53" t="n"/>
      <c r="T26" s="53" t="n"/>
      <c r="U26" s="53" t="n"/>
      <c r="V26" s="53" t="n"/>
      <c r="W26" s="53" t="n"/>
      <c r="X26" s="53" t="n"/>
      <c r="Y26" s="53" t="n"/>
      <c r="Z26" s="53" t="n"/>
    </row>
    <row r="27" ht="14.25" customHeight="1" s="65">
      <c r="A27" s="3">
        <f>IF($B27="","",ROW()-4)</f>
        <v/>
      </c>
      <c r="B27" s="53" t="n"/>
      <c r="C27" s="52" t="n"/>
      <c r="D27" s="52">
        <f>IF($B27="","",COUNTIFS('Avaliação'!$C$7:$C$206,$B27,'Avaliação'!$E$7:$E$206,"&gt;=0"))</f>
        <v/>
      </c>
      <c r="E27" s="32">
        <f>IF($B27="","",IFERROR(ROUND(AVERAGEIF('Avaliação'!$C$7:$C$206,$B27,'Avaliação'!$E$7:$E$206),2),""))</f>
        <v/>
      </c>
      <c r="F27" s="52">
        <f t="array" ref="F27">IF($B27="","",IFERROR(INDEX('Avaliação'!$E$7:$E$206,MATCH($B27,'Avaliação'!$C$7:$C$206,0)),""))</f>
        <v/>
      </c>
      <c r="G27" s="52">
        <f>IF($B27="","",IF($D27&lt;&gt;2,"",IF($F27="","",ROUND(SUMIF('Avaliação'!$C$7:$C$206,$B27,'Avaliação'!$E$7:$E$206)-$F27,2))))</f>
        <v/>
      </c>
      <c r="H27" s="52">
        <f>IF($B27="","",IF(OR($F27="",$G27=""),"",ROUND(ABS($F27-$G27),2)))</f>
        <v/>
      </c>
      <c r="I27" s="3">
        <f>IF($B27="","",IF($D27&lt;2,"⚠ falta 2º avaliador",IF($D27&gt;2,"⚠ mais de 2 avaliações — conferir",IF(AND(ISNUMBER($H27),$H27&gt;1),"⚠ divergência &gt; 1,0 — média suspensa, calibrar","OK"))))</f>
        <v/>
      </c>
      <c r="J27" s="3" t="n"/>
      <c r="K27" s="52" t="n"/>
      <c r="L27" s="37" t="n"/>
      <c r="M27" s="52">
        <f>IF($E27="","",COUNTIF($E$5:$E$64,"&gt;"&amp;$E27)+1)</f>
        <v/>
      </c>
      <c r="N27" s="52">
        <f>IF($B27="","",IF(Entrevista!$H27="","",Entrevista!$H27))</f>
        <v/>
      </c>
      <c r="O27" s="3">
        <f>IF($B27="","",IF(Entrevista!$L27="","",Entrevista!$L27))</f>
        <v/>
      </c>
      <c r="P27" s="53" t="n"/>
      <c r="Q27" s="53" t="n"/>
      <c r="R27" s="53" t="n"/>
      <c r="S27" s="53" t="n"/>
      <c r="T27" s="53" t="n"/>
      <c r="U27" s="53" t="n"/>
      <c r="V27" s="53" t="n"/>
      <c r="W27" s="53" t="n"/>
      <c r="X27" s="53" t="n"/>
      <c r="Y27" s="53" t="n"/>
      <c r="Z27" s="53" t="n"/>
    </row>
    <row r="28" ht="14.25" customHeight="1" s="65">
      <c r="A28" s="3">
        <f>IF($B28="","",ROW()-4)</f>
        <v/>
      </c>
      <c r="B28" s="53" t="n"/>
      <c r="C28" s="52" t="n"/>
      <c r="D28" s="52">
        <f>IF($B28="","",COUNTIFS('Avaliação'!$C$7:$C$206,$B28,'Avaliação'!$E$7:$E$206,"&gt;=0"))</f>
        <v/>
      </c>
      <c r="E28" s="32">
        <f>IF($B28="","",IFERROR(ROUND(AVERAGEIF('Avaliação'!$C$7:$C$206,$B28,'Avaliação'!$E$7:$E$206),2),""))</f>
        <v/>
      </c>
      <c r="F28" s="52">
        <f t="array" ref="F28">IF($B28="","",IFERROR(INDEX('Avaliação'!$E$7:$E$206,MATCH($B28,'Avaliação'!$C$7:$C$206,0)),""))</f>
        <v/>
      </c>
      <c r="G28" s="52">
        <f>IF($B28="","",IF($D28&lt;&gt;2,"",IF($F28="","",ROUND(SUMIF('Avaliação'!$C$7:$C$206,$B28,'Avaliação'!$E$7:$E$206)-$F28,2))))</f>
        <v/>
      </c>
      <c r="H28" s="52">
        <f>IF($B28="","",IF(OR($F28="",$G28=""),"",ROUND(ABS($F28-$G28),2)))</f>
        <v/>
      </c>
      <c r="I28" s="3">
        <f>IF($B28="","",IF($D28&lt;2,"⚠ falta 2º avaliador",IF($D28&gt;2,"⚠ mais de 2 avaliações — conferir",IF(AND(ISNUMBER($H28),$H28&gt;1),"⚠ divergência &gt; 1,0 — média suspensa, calibrar","OK"))))</f>
        <v/>
      </c>
      <c r="J28" s="3" t="n"/>
      <c r="K28" s="52" t="n"/>
      <c r="L28" s="37" t="n"/>
      <c r="M28" s="52">
        <f>IF($E28="","",COUNTIF($E$5:$E$64,"&gt;"&amp;$E28)+1)</f>
        <v/>
      </c>
      <c r="N28" s="52">
        <f>IF($B28="","",IF(Entrevista!$H28="","",Entrevista!$H28))</f>
        <v/>
      </c>
      <c r="O28" s="3">
        <f>IF($B28="","",IF(Entrevista!$L28="","",Entrevista!$L28))</f>
        <v/>
      </c>
      <c r="P28" s="53" t="n"/>
      <c r="Q28" s="53" t="n"/>
      <c r="R28" s="53" t="n"/>
      <c r="S28" s="53" t="n"/>
      <c r="T28" s="53" t="n"/>
      <c r="U28" s="53" t="n"/>
      <c r="V28" s="53" t="n"/>
      <c r="W28" s="53" t="n"/>
      <c r="X28" s="53" t="n"/>
      <c r="Y28" s="53" t="n"/>
      <c r="Z28" s="53" t="n"/>
    </row>
    <row r="29" ht="14.25" customHeight="1" s="65">
      <c r="A29" s="3">
        <f>IF($B29="","",ROW()-4)</f>
        <v/>
      </c>
      <c r="B29" s="53" t="n"/>
      <c r="C29" s="52" t="n"/>
      <c r="D29" s="52">
        <f>IF($B29="","",COUNTIFS('Avaliação'!$C$7:$C$206,$B29,'Avaliação'!$E$7:$E$206,"&gt;=0"))</f>
        <v/>
      </c>
      <c r="E29" s="32">
        <f>IF($B29="","",IFERROR(ROUND(AVERAGEIF('Avaliação'!$C$7:$C$206,$B29,'Avaliação'!$E$7:$E$206),2),""))</f>
        <v/>
      </c>
      <c r="F29" s="52">
        <f t="array" ref="F29">IF($B29="","",IFERROR(INDEX('Avaliação'!$E$7:$E$206,MATCH($B29,'Avaliação'!$C$7:$C$206,0)),""))</f>
        <v/>
      </c>
      <c r="G29" s="52">
        <f>IF($B29="","",IF($D29&lt;&gt;2,"",IF($F29="","",ROUND(SUMIF('Avaliação'!$C$7:$C$206,$B29,'Avaliação'!$E$7:$E$206)-$F29,2))))</f>
        <v/>
      </c>
      <c r="H29" s="52">
        <f>IF($B29="","",IF(OR($F29="",$G29=""),"",ROUND(ABS($F29-$G29),2)))</f>
        <v/>
      </c>
      <c r="I29" s="3">
        <f>IF($B29="","",IF($D29&lt;2,"⚠ falta 2º avaliador",IF($D29&gt;2,"⚠ mais de 2 avaliações — conferir",IF(AND(ISNUMBER($H29),$H29&gt;1),"⚠ divergência &gt; 1,0 — média suspensa, calibrar","OK"))))</f>
        <v/>
      </c>
      <c r="J29" s="3" t="n"/>
      <c r="K29" s="52" t="n"/>
      <c r="L29" s="37" t="n"/>
      <c r="M29" s="52">
        <f>IF($E29="","",COUNTIF($E$5:$E$64,"&gt;"&amp;$E29)+1)</f>
        <v/>
      </c>
      <c r="N29" s="52">
        <f>IF($B29="","",IF(Entrevista!$H29="","",Entrevista!$H29))</f>
        <v/>
      </c>
      <c r="O29" s="3">
        <f>IF($B29="","",IF(Entrevista!$L29="","",Entrevista!$L29))</f>
        <v/>
      </c>
      <c r="P29" s="53" t="n"/>
      <c r="Q29" s="53" t="n"/>
      <c r="R29" s="53" t="n"/>
      <c r="S29" s="53" t="n"/>
      <c r="T29" s="53" t="n"/>
      <c r="U29" s="53" t="n"/>
      <c r="V29" s="53" t="n"/>
      <c r="W29" s="53" t="n"/>
      <c r="X29" s="53" t="n"/>
      <c r="Y29" s="53" t="n"/>
      <c r="Z29" s="53" t="n"/>
    </row>
    <row r="30" ht="14.25" customHeight="1" s="65">
      <c r="A30" s="3">
        <f>IF($B30="","",ROW()-4)</f>
        <v/>
      </c>
      <c r="B30" s="53" t="n"/>
      <c r="C30" s="52" t="n"/>
      <c r="D30" s="52">
        <f>IF($B30="","",COUNTIFS('Avaliação'!$C$7:$C$206,$B30,'Avaliação'!$E$7:$E$206,"&gt;=0"))</f>
        <v/>
      </c>
      <c r="E30" s="32">
        <f>IF($B30="","",IFERROR(ROUND(AVERAGEIF('Avaliação'!$C$7:$C$206,$B30,'Avaliação'!$E$7:$E$206),2),""))</f>
        <v/>
      </c>
      <c r="F30" s="52">
        <f t="array" ref="F30">IF($B30="","",IFERROR(INDEX('Avaliação'!$E$7:$E$206,MATCH($B30,'Avaliação'!$C$7:$C$206,0)),""))</f>
        <v/>
      </c>
      <c r="G30" s="52">
        <f>IF($B30="","",IF($D30&lt;&gt;2,"",IF($F30="","",ROUND(SUMIF('Avaliação'!$C$7:$C$206,$B30,'Avaliação'!$E$7:$E$206)-$F30,2))))</f>
        <v/>
      </c>
      <c r="H30" s="52">
        <f>IF($B30="","",IF(OR($F30="",$G30=""),"",ROUND(ABS($F30-$G30),2)))</f>
        <v/>
      </c>
      <c r="I30" s="3">
        <f>IF($B30="","",IF($D30&lt;2,"⚠ falta 2º avaliador",IF($D30&gt;2,"⚠ mais de 2 avaliações — conferir",IF(AND(ISNUMBER($H30),$H30&gt;1),"⚠ divergência &gt; 1,0 — média suspensa, calibrar","OK"))))</f>
        <v/>
      </c>
      <c r="J30" s="3" t="n"/>
      <c r="K30" s="52" t="n"/>
      <c r="L30" s="37" t="n"/>
      <c r="M30" s="52">
        <f>IF($E30="","",COUNTIF($E$5:$E$64,"&gt;"&amp;$E30)+1)</f>
        <v/>
      </c>
      <c r="N30" s="52">
        <f>IF($B30="","",IF(Entrevista!$H30="","",Entrevista!$H30))</f>
        <v/>
      </c>
      <c r="O30" s="3">
        <f>IF($B30="","",IF(Entrevista!$L30="","",Entrevista!$L30))</f>
        <v/>
      </c>
      <c r="P30" s="53" t="n"/>
      <c r="Q30" s="53" t="n"/>
      <c r="R30" s="53" t="n"/>
      <c r="S30" s="53" t="n"/>
      <c r="T30" s="53" t="n"/>
      <c r="U30" s="53" t="n"/>
      <c r="V30" s="53" t="n"/>
      <c r="W30" s="53" t="n"/>
      <c r="X30" s="53" t="n"/>
      <c r="Y30" s="53" t="n"/>
      <c r="Z30" s="53" t="n"/>
    </row>
    <row r="31" ht="14.25" customHeight="1" s="65">
      <c r="A31" s="3">
        <f>IF($B31="","",ROW()-4)</f>
        <v/>
      </c>
      <c r="B31" s="53" t="n"/>
      <c r="C31" s="52" t="n"/>
      <c r="D31" s="52">
        <f>IF($B31="","",COUNTIFS('Avaliação'!$C$7:$C$206,$B31,'Avaliação'!$E$7:$E$206,"&gt;=0"))</f>
        <v/>
      </c>
      <c r="E31" s="32">
        <f>IF($B31="","",IFERROR(ROUND(AVERAGEIF('Avaliação'!$C$7:$C$206,$B31,'Avaliação'!$E$7:$E$206),2),""))</f>
        <v/>
      </c>
      <c r="F31" s="52">
        <f t="array" ref="F31">IF($B31="","",IFERROR(INDEX('Avaliação'!$E$7:$E$206,MATCH($B31,'Avaliação'!$C$7:$C$206,0)),""))</f>
        <v/>
      </c>
      <c r="G31" s="52">
        <f>IF($B31="","",IF($D31&lt;&gt;2,"",IF($F31="","",ROUND(SUMIF('Avaliação'!$C$7:$C$206,$B31,'Avaliação'!$E$7:$E$206)-$F31,2))))</f>
        <v/>
      </c>
      <c r="H31" s="52">
        <f>IF($B31="","",IF(OR($F31="",$G31=""),"",ROUND(ABS($F31-$G31),2)))</f>
        <v/>
      </c>
      <c r="I31" s="3">
        <f>IF($B31="","",IF($D31&lt;2,"⚠ falta 2º avaliador",IF($D31&gt;2,"⚠ mais de 2 avaliações — conferir",IF(AND(ISNUMBER($H31),$H31&gt;1),"⚠ divergência &gt; 1,0 — média suspensa, calibrar","OK"))))</f>
        <v/>
      </c>
      <c r="J31" s="3" t="n"/>
      <c r="K31" s="52" t="n"/>
      <c r="L31" s="37" t="n"/>
      <c r="M31" s="52">
        <f>IF($E31="","",COUNTIF($E$5:$E$64,"&gt;"&amp;$E31)+1)</f>
        <v/>
      </c>
      <c r="N31" s="52">
        <f>IF($B31="","",IF(Entrevista!$H31="","",Entrevista!$H31))</f>
        <v/>
      </c>
      <c r="O31" s="3">
        <f>IF($B31="","",IF(Entrevista!$L31="","",Entrevista!$L31))</f>
        <v/>
      </c>
      <c r="P31" s="53" t="n"/>
      <c r="Q31" s="53" t="n"/>
      <c r="R31" s="53" t="n"/>
      <c r="S31" s="53" t="n"/>
      <c r="T31" s="53" t="n"/>
      <c r="U31" s="53" t="n"/>
      <c r="V31" s="53" t="n"/>
      <c r="W31" s="53" t="n"/>
      <c r="X31" s="53" t="n"/>
      <c r="Y31" s="53" t="n"/>
      <c r="Z31" s="53" t="n"/>
    </row>
    <row r="32" ht="14.25" customHeight="1" s="65">
      <c r="A32" s="3">
        <f>IF($B32="","",ROW()-4)</f>
        <v/>
      </c>
      <c r="B32" s="53" t="n"/>
      <c r="C32" s="52" t="n"/>
      <c r="D32" s="52">
        <f>IF($B32="","",COUNTIFS('Avaliação'!$C$7:$C$206,$B32,'Avaliação'!$E$7:$E$206,"&gt;=0"))</f>
        <v/>
      </c>
      <c r="E32" s="32">
        <f>IF($B32="","",IFERROR(ROUND(AVERAGEIF('Avaliação'!$C$7:$C$206,$B32,'Avaliação'!$E$7:$E$206),2),""))</f>
        <v/>
      </c>
      <c r="F32" s="52">
        <f t="array" ref="F32">IF($B32="","",IFERROR(INDEX('Avaliação'!$E$7:$E$206,MATCH($B32,'Avaliação'!$C$7:$C$206,0)),""))</f>
        <v/>
      </c>
      <c r="G32" s="52">
        <f>IF($B32="","",IF($D32&lt;&gt;2,"",IF($F32="","",ROUND(SUMIF('Avaliação'!$C$7:$C$206,$B32,'Avaliação'!$E$7:$E$206)-$F32,2))))</f>
        <v/>
      </c>
      <c r="H32" s="52">
        <f>IF($B32="","",IF(OR($F32="",$G32=""),"",ROUND(ABS($F32-$G32),2)))</f>
        <v/>
      </c>
      <c r="I32" s="3">
        <f>IF($B32="","",IF($D32&lt;2,"⚠ falta 2º avaliador",IF($D32&gt;2,"⚠ mais de 2 avaliações — conferir",IF(AND(ISNUMBER($H32),$H32&gt;1),"⚠ divergência &gt; 1,0 — média suspensa, calibrar","OK"))))</f>
        <v/>
      </c>
      <c r="J32" s="3" t="n"/>
      <c r="K32" s="52" t="n"/>
      <c r="L32" s="37" t="n"/>
      <c r="M32" s="52">
        <f>IF($E32="","",COUNTIF($E$5:$E$64,"&gt;"&amp;$E32)+1)</f>
        <v/>
      </c>
      <c r="N32" s="52">
        <f>IF($B32="","",IF(Entrevista!$H32="","",Entrevista!$H32))</f>
        <v/>
      </c>
      <c r="O32" s="3">
        <f>IF($B32="","",IF(Entrevista!$L32="","",Entrevista!$L32))</f>
        <v/>
      </c>
      <c r="P32" s="53" t="n"/>
      <c r="Q32" s="53" t="n"/>
      <c r="R32" s="53" t="n"/>
      <c r="S32" s="53" t="n"/>
      <c r="T32" s="53" t="n"/>
      <c r="U32" s="53" t="n"/>
      <c r="V32" s="53" t="n"/>
      <c r="W32" s="53" t="n"/>
      <c r="X32" s="53" t="n"/>
      <c r="Y32" s="53" t="n"/>
      <c r="Z32" s="53" t="n"/>
    </row>
    <row r="33" ht="14.25" customHeight="1" s="65">
      <c r="A33" s="3">
        <f>IF($B33="","",ROW()-4)</f>
        <v/>
      </c>
      <c r="B33" s="53" t="n"/>
      <c r="C33" s="52" t="n"/>
      <c r="D33" s="52">
        <f>IF($B33="","",COUNTIFS('Avaliação'!$C$7:$C$206,$B33,'Avaliação'!$E$7:$E$206,"&gt;=0"))</f>
        <v/>
      </c>
      <c r="E33" s="32">
        <f>IF($B33="","",IFERROR(ROUND(AVERAGEIF('Avaliação'!$C$7:$C$206,$B33,'Avaliação'!$E$7:$E$206),2),""))</f>
        <v/>
      </c>
      <c r="F33" s="52">
        <f t="array" ref="F33">IF($B33="","",IFERROR(INDEX('Avaliação'!$E$7:$E$206,MATCH($B33,'Avaliação'!$C$7:$C$206,0)),""))</f>
        <v/>
      </c>
      <c r="G33" s="52">
        <f>IF($B33="","",IF($D33&lt;&gt;2,"",IF($F33="","",ROUND(SUMIF('Avaliação'!$C$7:$C$206,$B33,'Avaliação'!$E$7:$E$206)-$F33,2))))</f>
        <v/>
      </c>
      <c r="H33" s="52">
        <f>IF($B33="","",IF(OR($F33="",$G33=""),"",ROUND(ABS($F33-$G33),2)))</f>
        <v/>
      </c>
      <c r="I33" s="3">
        <f>IF($B33="","",IF($D33&lt;2,"⚠ falta 2º avaliador",IF($D33&gt;2,"⚠ mais de 2 avaliações — conferir",IF(AND(ISNUMBER($H33),$H33&gt;1),"⚠ divergência &gt; 1,0 — média suspensa, calibrar","OK"))))</f>
        <v/>
      </c>
      <c r="J33" s="3" t="n"/>
      <c r="K33" s="52" t="n"/>
      <c r="L33" s="37" t="n"/>
      <c r="M33" s="52">
        <f>IF($E33="","",COUNTIF($E$5:$E$64,"&gt;"&amp;$E33)+1)</f>
        <v/>
      </c>
      <c r="N33" s="52">
        <f>IF($B33="","",IF(Entrevista!$H33="","",Entrevista!$H33))</f>
        <v/>
      </c>
      <c r="O33" s="3">
        <f>IF($B33="","",IF(Entrevista!$L33="","",Entrevista!$L33))</f>
        <v/>
      </c>
      <c r="P33" s="53" t="n"/>
      <c r="Q33" s="53" t="n"/>
      <c r="R33" s="53" t="n"/>
      <c r="S33" s="53" t="n"/>
      <c r="T33" s="53" t="n"/>
      <c r="U33" s="53" t="n"/>
      <c r="V33" s="53" t="n"/>
      <c r="W33" s="53" t="n"/>
      <c r="X33" s="53" t="n"/>
      <c r="Y33" s="53" t="n"/>
      <c r="Z33" s="53" t="n"/>
    </row>
    <row r="34" ht="14.25" customHeight="1" s="65">
      <c r="A34" s="3">
        <f>IF($B34="","",ROW()-4)</f>
        <v/>
      </c>
      <c r="B34" s="53" t="n"/>
      <c r="C34" s="52" t="n"/>
      <c r="D34" s="52">
        <f>IF($B34="","",COUNTIFS('Avaliação'!$C$7:$C$206,$B34,'Avaliação'!$E$7:$E$206,"&gt;=0"))</f>
        <v/>
      </c>
      <c r="E34" s="32">
        <f>IF($B34="","",IFERROR(ROUND(AVERAGEIF('Avaliação'!$C$7:$C$206,$B34,'Avaliação'!$E$7:$E$206),2),""))</f>
        <v/>
      </c>
      <c r="F34" s="52">
        <f t="array" ref="F34">IF($B34="","",IFERROR(INDEX('Avaliação'!$E$7:$E$206,MATCH($B34,'Avaliação'!$C$7:$C$206,0)),""))</f>
        <v/>
      </c>
      <c r="G34" s="52">
        <f>IF($B34="","",IF($D34&lt;&gt;2,"",IF($F34="","",ROUND(SUMIF('Avaliação'!$C$7:$C$206,$B34,'Avaliação'!$E$7:$E$206)-$F34,2))))</f>
        <v/>
      </c>
      <c r="H34" s="52">
        <f>IF($B34="","",IF(OR($F34="",$G34=""),"",ROUND(ABS($F34-$G34),2)))</f>
        <v/>
      </c>
      <c r="I34" s="3">
        <f>IF($B34="","",IF($D34&lt;2,"⚠ falta 2º avaliador",IF($D34&gt;2,"⚠ mais de 2 avaliações — conferir",IF(AND(ISNUMBER($H34),$H34&gt;1),"⚠ divergência &gt; 1,0 — média suspensa, calibrar","OK"))))</f>
        <v/>
      </c>
      <c r="J34" s="3" t="n"/>
      <c r="K34" s="52" t="n"/>
      <c r="L34" s="37" t="n"/>
      <c r="M34" s="52">
        <f>IF($E34="","",COUNTIF($E$5:$E$64,"&gt;"&amp;$E34)+1)</f>
        <v/>
      </c>
      <c r="N34" s="52">
        <f>IF($B34="","",IF(Entrevista!$H34="","",Entrevista!$H34))</f>
        <v/>
      </c>
      <c r="O34" s="3">
        <f>IF($B34="","",IF(Entrevista!$L34="","",Entrevista!$L34))</f>
        <v/>
      </c>
      <c r="P34" s="53" t="n"/>
      <c r="Q34" s="53" t="n"/>
      <c r="R34" s="53" t="n"/>
      <c r="S34" s="53" t="n"/>
      <c r="T34" s="53" t="n"/>
      <c r="U34" s="53" t="n"/>
      <c r="V34" s="53" t="n"/>
      <c r="W34" s="53" t="n"/>
      <c r="X34" s="53" t="n"/>
      <c r="Y34" s="53" t="n"/>
      <c r="Z34" s="53" t="n"/>
    </row>
    <row r="35" ht="14.25" customHeight="1" s="65">
      <c r="A35" s="3">
        <f>IF($B35="","",ROW()-4)</f>
        <v/>
      </c>
      <c r="B35" s="53" t="n"/>
      <c r="C35" s="52" t="n"/>
      <c r="D35" s="52">
        <f>IF($B35="","",COUNTIFS('Avaliação'!$C$7:$C$206,$B35,'Avaliação'!$E$7:$E$206,"&gt;=0"))</f>
        <v/>
      </c>
      <c r="E35" s="32">
        <f>IF($B35="","",IFERROR(ROUND(AVERAGEIF('Avaliação'!$C$7:$C$206,$B35,'Avaliação'!$E$7:$E$206),2),""))</f>
        <v/>
      </c>
      <c r="F35" s="52">
        <f t="array" ref="F35">IF($B35="","",IFERROR(INDEX('Avaliação'!$E$7:$E$206,MATCH($B35,'Avaliação'!$C$7:$C$206,0)),""))</f>
        <v/>
      </c>
      <c r="G35" s="52">
        <f>IF($B35="","",IF($D35&lt;&gt;2,"",IF($F35="","",ROUND(SUMIF('Avaliação'!$C$7:$C$206,$B35,'Avaliação'!$E$7:$E$206)-$F35,2))))</f>
        <v/>
      </c>
      <c r="H35" s="52">
        <f>IF($B35="","",IF(OR($F35="",$G35=""),"",ROUND(ABS($F35-$G35),2)))</f>
        <v/>
      </c>
      <c r="I35" s="3">
        <f>IF($B35="","",IF($D35&lt;2,"⚠ falta 2º avaliador",IF($D35&gt;2,"⚠ mais de 2 avaliações — conferir",IF(AND(ISNUMBER($H35),$H35&gt;1),"⚠ divergência &gt; 1,0 — média suspensa, calibrar","OK"))))</f>
        <v/>
      </c>
      <c r="J35" s="3" t="n"/>
      <c r="K35" s="52" t="n"/>
      <c r="L35" s="37" t="n"/>
      <c r="M35" s="52">
        <f>IF($E35="","",COUNTIF($E$5:$E$64,"&gt;"&amp;$E35)+1)</f>
        <v/>
      </c>
      <c r="N35" s="52">
        <f>IF($B35="","",IF(Entrevista!$H35="","",Entrevista!$H35))</f>
        <v/>
      </c>
      <c r="O35" s="3">
        <f>IF($B35="","",IF(Entrevista!$L35="","",Entrevista!$L35))</f>
        <v/>
      </c>
      <c r="P35" s="53" t="n"/>
      <c r="Q35" s="53" t="n"/>
      <c r="R35" s="53" t="n"/>
      <c r="S35" s="53" t="n"/>
      <c r="T35" s="53" t="n"/>
      <c r="U35" s="53" t="n"/>
      <c r="V35" s="53" t="n"/>
      <c r="W35" s="53" t="n"/>
      <c r="X35" s="53" t="n"/>
      <c r="Y35" s="53" t="n"/>
      <c r="Z35" s="53" t="n"/>
    </row>
    <row r="36" ht="14.25" customHeight="1" s="65">
      <c r="A36" s="3">
        <f>IF($B36="","",ROW()-4)</f>
        <v/>
      </c>
      <c r="B36" s="53" t="n"/>
      <c r="C36" s="52" t="n"/>
      <c r="D36" s="52">
        <f>IF($B36="","",COUNTIFS('Avaliação'!$C$7:$C$206,$B36,'Avaliação'!$E$7:$E$206,"&gt;=0"))</f>
        <v/>
      </c>
      <c r="E36" s="32">
        <f>IF($B36="","",IFERROR(ROUND(AVERAGEIF('Avaliação'!$C$7:$C$206,$B36,'Avaliação'!$E$7:$E$206),2),""))</f>
        <v/>
      </c>
      <c r="F36" s="52">
        <f t="array" ref="F36">IF($B36="","",IFERROR(INDEX('Avaliação'!$E$7:$E$206,MATCH($B36,'Avaliação'!$C$7:$C$206,0)),""))</f>
        <v/>
      </c>
      <c r="G36" s="52">
        <f>IF($B36="","",IF($D36&lt;&gt;2,"",IF($F36="","",ROUND(SUMIF('Avaliação'!$C$7:$C$206,$B36,'Avaliação'!$E$7:$E$206)-$F36,2))))</f>
        <v/>
      </c>
      <c r="H36" s="52">
        <f>IF($B36="","",IF(OR($F36="",$G36=""),"",ROUND(ABS($F36-$G36),2)))</f>
        <v/>
      </c>
      <c r="I36" s="3">
        <f>IF($B36="","",IF($D36&lt;2,"⚠ falta 2º avaliador",IF($D36&gt;2,"⚠ mais de 2 avaliações — conferir",IF(AND(ISNUMBER($H36),$H36&gt;1),"⚠ divergência &gt; 1,0 — média suspensa, calibrar","OK"))))</f>
        <v/>
      </c>
      <c r="J36" s="3" t="n"/>
      <c r="K36" s="52" t="n"/>
      <c r="L36" s="37" t="n"/>
      <c r="M36" s="52">
        <f>IF($E36="","",COUNTIF($E$5:$E$64,"&gt;"&amp;$E36)+1)</f>
        <v/>
      </c>
      <c r="N36" s="52">
        <f>IF($B36="","",IF(Entrevista!$H36="","",Entrevista!$H36))</f>
        <v/>
      </c>
      <c r="O36" s="3">
        <f>IF($B36="","",IF(Entrevista!$L36="","",Entrevista!$L36))</f>
        <v/>
      </c>
      <c r="P36" s="53" t="n"/>
      <c r="Q36" s="53" t="n"/>
      <c r="R36" s="53" t="n"/>
      <c r="S36" s="53" t="n"/>
      <c r="T36" s="53" t="n"/>
      <c r="U36" s="53" t="n"/>
      <c r="V36" s="53" t="n"/>
      <c r="W36" s="53" t="n"/>
      <c r="X36" s="53" t="n"/>
      <c r="Y36" s="53" t="n"/>
      <c r="Z36" s="53" t="n"/>
    </row>
    <row r="37" ht="14.25" customHeight="1" s="65">
      <c r="A37" s="3">
        <f>IF($B37="","",ROW()-4)</f>
        <v/>
      </c>
      <c r="B37" s="53" t="n"/>
      <c r="C37" s="52" t="n"/>
      <c r="D37" s="52">
        <f>IF($B37="","",COUNTIFS('Avaliação'!$C$7:$C$206,$B37,'Avaliação'!$E$7:$E$206,"&gt;=0"))</f>
        <v/>
      </c>
      <c r="E37" s="32">
        <f>IF($B37="","",IFERROR(ROUND(AVERAGEIF('Avaliação'!$C$7:$C$206,$B37,'Avaliação'!$E$7:$E$206),2),""))</f>
        <v/>
      </c>
      <c r="F37" s="52">
        <f t="array" ref="F37">IF($B37="","",IFERROR(INDEX('Avaliação'!$E$7:$E$206,MATCH($B37,'Avaliação'!$C$7:$C$206,0)),""))</f>
        <v/>
      </c>
      <c r="G37" s="52">
        <f>IF($B37="","",IF($D37&lt;&gt;2,"",IF($F37="","",ROUND(SUMIF('Avaliação'!$C$7:$C$206,$B37,'Avaliação'!$E$7:$E$206)-$F37,2))))</f>
        <v/>
      </c>
      <c r="H37" s="52">
        <f>IF($B37="","",IF(OR($F37="",$G37=""),"",ROUND(ABS($F37-$G37),2)))</f>
        <v/>
      </c>
      <c r="I37" s="3">
        <f>IF($B37="","",IF($D37&lt;2,"⚠ falta 2º avaliador",IF($D37&gt;2,"⚠ mais de 2 avaliações — conferir",IF(AND(ISNUMBER($H37),$H37&gt;1),"⚠ divergência &gt; 1,0 — média suspensa, calibrar","OK"))))</f>
        <v/>
      </c>
      <c r="J37" s="3" t="n"/>
      <c r="K37" s="52" t="n"/>
      <c r="L37" s="37" t="n"/>
      <c r="M37" s="52">
        <f>IF($E37="","",COUNTIF($E$5:$E$64,"&gt;"&amp;$E37)+1)</f>
        <v/>
      </c>
      <c r="N37" s="52">
        <f>IF($B37="","",IF(Entrevista!$H37="","",Entrevista!$H37))</f>
        <v/>
      </c>
      <c r="O37" s="3">
        <f>IF($B37="","",IF(Entrevista!$L37="","",Entrevista!$L37))</f>
        <v/>
      </c>
      <c r="P37" s="53" t="n"/>
      <c r="Q37" s="53" t="n"/>
      <c r="R37" s="53" t="n"/>
      <c r="S37" s="53" t="n"/>
      <c r="T37" s="53" t="n"/>
      <c r="U37" s="53" t="n"/>
      <c r="V37" s="53" t="n"/>
      <c r="W37" s="53" t="n"/>
      <c r="X37" s="53" t="n"/>
      <c r="Y37" s="53" t="n"/>
      <c r="Z37" s="53" t="n"/>
    </row>
    <row r="38" ht="14.25" customHeight="1" s="65">
      <c r="A38" s="3">
        <f>IF($B38="","",ROW()-4)</f>
        <v/>
      </c>
      <c r="B38" s="53" t="n"/>
      <c r="C38" s="52" t="n"/>
      <c r="D38" s="52">
        <f>IF($B38="","",COUNTIFS('Avaliação'!$C$7:$C$206,$B38,'Avaliação'!$E$7:$E$206,"&gt;=0"))</f>
        <v/>
      </c>
      <c r="E38" s="32">
        <f>IF($B38="","",IFERROR(ROUND(AVERAGEIF('Avaliação'!$C$7:$C$206,$B38,'Avaliação'!$E$7:$E$206),2),""))</f>
        <v/>
      </c>
      <c r="F38" s="52">
        <f t="array" ref="F38">IF($B38="","",IFERROR(INDEX('Avaliação'!$E$7:$E$206,MATCH($B38,'Avaliação'!$C$7:$C$206,0)),""))</f>
        <v/>
      </c>
      <c r="G38" s="52">
        <f>IF($B38="","",IF($D38&lt;&gt;2,"",IF($F38="","",ROUND(SUMIF('Avaliação'!$C$7:$C$206,$B38,'Avaliação'!$E$7:$E$206)-$F38,2))))</f>
        <v/>
      </c>
      <c r="H38" s="52">
        <f>IF($B38="","",IF(OR($F38="",$G38=""),"",ROUND(ABS($F38-$G38),2)))</f>
        <v/>
      </c>
      <c r="I38" s="3">
        <f>IF($B38="","",IF($D38&lt;2,"⚠ falta 2º avaliador",IF($D38&gt;2,"⚠ mais de 2 avaliações — conferir",IF(AND(ISNUMBER($H38),$H38&gt;1),"⚠ divergência &gt; 1,0 — média suspensa, calibrar","OK"))))</f>
        <v/>
      </c>
      <c r="J38" s="3" t="n"/>
      <c r="K38" s="52" t="n"/>
      <c r="L38" s="37" t="n"/>
      <c r="M38" s="52">
        <f>IF($E38="","",COUNTIF($E$5:$E$64,"&gt;"&amp;$E38)+1)</f>
        <v/>
      </c>
      <c r="N38" s="52">
        <f>IF($B38="","",IF(Entrevista!$H38="","",Entrevista!$H38))</f>
        <v/>
      </c>
      <c r="O38" s="3">
        <f>IF($B38="","",IF(Entrevista!$L38="","",Entrevista!$L38))</f>
        <v/>
      </c>
      <c r="P38" s="53" t="n"/>
      <c r="Q38" s="53" t="n"/>
      <c r="R38" s="53" t="n"/>
      <c r="S38" s="53" t="n"/>
      <c r="T38" s="53" t="n"/>
      <c r="U38" s="53" t="n"/>
      <c r="V38" s="53" t="n"/>
      <c r="W38" s="53" t="n"/>
      <c r="X38" s="53" t="n"/>
      <c r="Y38" s="53" t="n"/>
      <c r="Z38" s="53" t="n"/>
    </row>
    <row r="39" ht="14.25" customHeight="1" s="65">
      <c r="A39" s="3">
        <f>IF($B39="","",ROW()-4)</f>
        <v/>
      </c>
      <c r="B39" s="53" t="n"/>
      <c r="C39" s="52" t="n"/>
      <c r="D39" s="52">
        <f>IF($B39="","",COUNTIFS('Avaliação'!$C$7:$C$206,$B39,'Avaliação'!$E$7:$E$206,"&gt;=0"))</f>
        <v/>
      </c>
      <c r="E39" s="32">
        <f>IF($B39="","",IFERROR(ROUND(AVERAGEIF('Avaliação'!$C$7:$C$206,$B39,'Avaliação'!$E$7:$E$206),2),""))</f>
        <v/>
      </c>
      <c r="F39" s="52">
        <f t="array" ref="F39">IF($B39="","",IFERROR(INDEX('Avaliação'!$E$7:$E$206,MATCH($B39,'Avaliação'!$C$7:$C$206,0)),""))</f>
        <v/>
      </c>
      <c r="G39" s="52">
        <f>IF($B39="","",IF($D39&lt;&gt;2,"",IF($F39="","",ROUND(SUMIF('Avaliação'!$C$7:$C$206,$B39,'Avaliação'!$E$7:$E$206)-$F39,2))))</f>
        <v/>
      </c>
      <c r="H39" s="52">
        <f>IF($B39="","",IF(OR($F39="",$G39=""),"",ROUND(ABS($F39-$G39),2)))</f>
        <v/>
      </c>
      <c r="I39" s="3">
        <f>IF($B39="","",IF($D39&lt;2,"⚠ falta 2º avaliador",IF($D39&gt;2,"⚠ mais de 2 avaliações — conferir",IF(AND(ISNUMBER($H39),$H39&gt;1),"⚠ divergência &gt; 1,0 — média suspensa, calibrar","OK"))))</f>
        <v/>
      </c>
      <c r="J39" s="3" t="n"/>
      <c r="K39" s="52" t="n"/>
      <c r="L39" s="37" t="n"/>
      <c r="M39" s="52">
        <f>IF($E39="","",COUNTIF($E$5:$E$64,"&gt;"&amp;$E39)+1)</f>
        <v/>
      </c>
      <c r="N39" s="52">
        <f>IF($B39="","",IF(Entrevista!$H39="","",Entrevista!$H39))</f>
        <v/>
      </c>
      <c r="O39" s="3">
        <f>IF($B39="","",IF(Entrevista!$L39="","",Entrevista!$L39))</f>
        <v/>
      </c>
      <c r="P39" s="53" t="n"/>
      <c r="Q39" s="53" t="n"/>
      <c r="R39" s="53" t="n"/>
      <c r="S39" s="53" t="n"/>
      <c r="T39" s="53" t="n"/>
      <c r="U39" s="53" t="n"/>
      <c r="V39" s="53" t="n"/>
      <c r="W39" s="53" t="n"/>
      <c r="X39" s="53" t="n"/>
      <c r="Y39" s="53" t="n"/>
      <c r="Z39" s="53" t="n"/>
    </row>
    <row r="40" ht="14.25" customHeight="1" s="65">
      <c r="A40" s="3">
        <f>IF($B40="","",ROW()-4)</f>
        <v/>
      </c>
      <c r="B40" s="53" t="n"/>
      <c r="C40" s="52" t="n"/>
      <c r="D40" s="52">
        <f>IF($B40="","",COUNTIFS('Avaliação'!$C$7:$C$206,$B40,'Avaliação'!$E$7:$E$206,"&gt;=0"))</f>
        <v/>
      </c>
      <c r="E40" s="32">
        <f>IF($B40="","",IFERROR(ROUND(AVERAGEIF('Avaliação'!$C$7:$C$206,$B40,'Avaliação'!$E$7:$E$206),2),""))</f>
        <v/>
      </c>
      <c r="F40" s="52">
        <f t="array" ref="F40">IF($B40="","",IFERROR(INDEX('Avaliação'!$E$7:$E$206,MATCH($B40,'Avaliação'!$C$7:$C$206,0)),""))</f>
        <v/>
      </c>
      <c r="G40" s="52">
        <f>IF($B40="","",IF($D40&lt;&gt;2,"",IF($F40="","",ROUND(SUMIF('Avaliação'!$C$7:$C$206,$B40,'Avaliação'!$E$7:$E$206)-$F40,2))))</f>
        <v/>
      </c>
      <c r="H40" s="52">
        <f>IF($B40="","",IF(OR($F40="",$G40=""),"",ROUND(ABS($F40-$G40),2)))</f>
        <v/>
      </c>
      <c r="I40" s="3">
        <f>IF($B40="","",IF($D40&lt;2,"⚠ falta 2º avaliador",IF($D40&gt;2,"⚠ mais de 2 avaliações — conferir",IF(AND(ISNUMBER($H40),$H40&gt;1),"⚠ divergência &gt; 1,0 — média suspensa, calibrar","OK"))))</f>
        <v/>
      </c>
      <c r="J40" s="3" t="n"/>
      <c r="K40" s="52" t="n"/>
      <c r="L40" s="37" t="n"/>
      <c r="M40" s="52">
        <f>IF($E40="","",COUNTIF($E$5:$E$64,"&gt;"&amp;$E40)+1)</f>
        <v/>
      </c>
      <c r="N40" s="52">
        <f>IF($B40="","",IF(Entrevista!$H40="","",Entrevista!$H40))</f>
        <v/>
      </c>
      <c r="O40" s="3">
        <f>IF($B40="","",IF(Entrevista!$L40="","",Entrevista!$L40))</f>
        <v/>
      </c>
      <c r="P40" s="53" t="n"/>
      <c r="Q40" s="53" t="n"/>
      <c r="R40" s="53" t="n"/>
      <c r="S40" s="53" t="n"/>
      <c r="T40" s="53" t="n"/>
      <c r="U40" s="53" t="n"/>
      <c r="V40" s="53" t="n"/>
      <c r="W40" s="53" t="n"/>
      <c r="X40" s="53" t="n"/>
      <c r="Y40" s="53" t="n"/>
      <c r="Z40" s="53" t="n"/>
    </row>
    <row r="41" ht="14.25" customHeight="1" s="65">
      <c r="A41" s="3">
        <f>IF($B41="","",ROW()-4)</f>
        <v/>
      </c>
      <c r="B41" s="53" t="n"/>
      <c r="C41" s="52" t="n"/>
      <c r="D41" s="52">
        <f>IF($B41="","",COUNTIFS('Avaliação'!$C$7:$C$206,$B41,'Avaliação'!$E$7:$E$206,"&gt;=0"))</f>
        <v/>
      </c>
      <c r="E41" s="32">
        <f>IF($B41="","",IFERROR(ROUND(AVERAGEIF('Avaliação'!$C$7:$C$206,$B41,'Avaliação'!$E$7:$E$206),2),""))</f>
        <v/>
      </c>
      <c r="F41" s="52">
        <f t="array" ref="F41">IF($B41="","",IFERROR(INDEX('Avaliação'!$E$7:$E$206,MATCH($B41,'Avaliação'!$C$7:$C$206,0)),""))</f>
        <v/>
      </c>
      <c r="G41" s="52">
        <f>IF($B41="","",IF($D41&lt;&gt;2,"",IF($F41="","",ROUND(SUMIF('Avaliação'!$C$7:$C$206,$B41,'Avaliação'!$E$7:$E$206)-$F41,2))))</f>
        <v/>
      </c>
      <c r="H41" s="52">
        <f>IF($B41="","",IF(OR($F41="",$G41=""),"",ROUND(ABS($F41-$G41),2)))</f>
        <v/>
      </c>
      <c r="I41" s="3">
        <f>IF($B41="","",IF($D41&lt;2,"⚠ falta 2º avaliador",IF($D41&gt;2,"⚠ mais de 2 avaliações — conferir",IF(AND(ISNUMBER($H41),$H41&gt;1),"⚠ divergência &gt; 1,0 — média suspensa, calibrar","OK"))))</f>
        <v/>
      </c>
      <c r="J41" s="3" t="n"/>
      <c r="K41" s="52" t="n"/>
      <c r="L41" s="37" t="n"/>
      <c r="M41" s="52">
        <f>IF($E41="","",COUNTIF($E$5:$E$64,"&gt;"&amp;$E41)+1)</f>
        <v/>
      </c>
      <c r="N41" s="52">
        <f>IF($B41="","",IF(Entrevista!$H41="","",Entrevista!$H41))</f>
        <v/>
      </c>
      <c r="O41" s="3">
        <f>IF($B41="","",IF(Entrevista!$L41="","",Entrevista!$L41))</f>
        <v/>
      </c>
      <c r="P41" s="53" t="n"/>
      <c r="Q41" s="53" t="n"/>
      <c r="R41" s="53" t="n"/>
      <c r="S41" s="53" t="n"/>
      <c r="T41" s="53" t="n"/>
      <c r="U41" s="53" t="n"/>
      <c r="V41" s="53" t="n"/>
      <c r="W41" s="53" t="n"/>
      <c r="X41" s="53" t="n"/>
      <c r="Y41" s="53" t="n"/>
      <c r="Z41" s="53" t="n"/>
    </row>
    <row r="42" ht="14.25" customHeight="1" s="65">
      <c r="A42" s="3">
        <f>IF($B42="","",ROW()-4)</f>
        <v/>
      </c>
      <c r="B42" s="53" t="n"/>
      <c r="C42" s="52" t="n"/>
      <c r="D42" s="52">
        <f>IF($B42="","",COUNTIFS('Avaliação'!$C$7:$C$206,$B42,'Avaliação'!$E$7:$E$206,"&gt;=0"))</f>
        <v/>
      </c>
      <c r="E42" s="32">
        <f>IF($B42="","",IFERROR(ROUND(AVERAGEIF('Avaliação'!$C$7:$C$206,$B42,'Avaliação'!$E$7:$E$206),2),""))</f>
        <v/>
      </c>
      <c r="F42" s="52">
        <f t="array" ref="F42">IF($B42="","",IFERROR(INDEX('Avaliação'!$E$7:$E$206,MATCH($B42,'Avaliação'!$C$7:$C$206,0)),""))</f>
        <v/>
      </c>
      <c r="G42" s="52">
        <f>IF($B42="","",IF($D42&lt;&gt;2,"",IF($F42="","",ROUND(SUMIF('Avaliação'!$C$7:$C$206,$B42,'Avaliação'!$E$7:$E$206)-$F42,2))))</f>
        <v/>
      </c>
      <c r="H42" s="52">
        <f>IF($B42="","",IF(OR($F42="",$G42=""),"",ROUND(ABS($F42-$G42),2)))</f>
        <v/>
      </c>
      <c r="I42" s="3">
        <f>IF($B42="","",IF($D42&lt;2,"⚠ falta 2º avaliador",IF($D42&gt;2,"⚠ mais de 2 avaliações — conferir",IF(AND(ISNUMBER($H42),$H42&gt;1),"⚠ divergência &gt; 1,0 — média suspensa, calibrar","OK"))))</f>
        <v/>
      </c>
      <c r="J42" s="3" t="n"/>
      <c r="K42" s="52" t="n"/>
      <c r="L42" s="37" t="n"/>
      <c r="M42" s="52">
        <f>IF($E42="","",COUNTIF($E$5:$E$64,"&gt;"&amp;$E42)+1)</f>
        <v/>
      </c>
      <c r="N42" s="52">
        <f>IF($B42="","",IF(Entrevista!$H42="","",Entrevista!$H42))</f>
        <v/>
      </c>
      <c r="O42" s="3">
        <f>IF($B42="","",IF(Entrevista!$L42="","",Entrevista!$L42))</f>
        <v/>
      </c>
      <c r="P42" s="53" t="n"/>
      <c r="Q42" s="53" t="n"/>
      <c r="R42" s="53" t="n"/>
      <c r="S42" s="53" t="n"/>
      <c r="T42" s="53" t="n"/>
      <c r="U42" s="53" t="n"/>
      <c r="V42" s="53" t="n"/>
      <c r="W42" s="53" t="n"/>
      <c r="X42" s="53" t="n"/>
      <c r="Y42" s="53" t="n"/>
      <c r="Z42" s="53" t="n"/>
    </row>
    <row r="43" ht="14.25" customHeight="1" s="65">
      <c r="A43" s="3">
        <f>IF($B43="","",ROW()-4)</f>
        <v/>
      </c>
      <c r="B43" s="53" t="n"/>
      <c r="C43" s="52" t="n"/>
      <c r="D43" s="52">
        <f>IF($B43="","",COUNTIFS('Avaliação'!$C$7:$C$206,$B43,'Avaliação'!$E$7:$E$206,"&gt;=0"))</f>
        <v/>
      </c>
      <c r="E43" s="32">
        <f>IF($B43="","",IFERROR(ROUND(AVERAGEIF('Avaliação'!$C$7:$C$206,$B43,'Avaliação'!$E$7:$E$206),2),""))</f>
        <v/>
      </c>
      <c r="F43" s="52">
        <f t="array" ref="F43">IF($B43="","",IFERROR(INDEX('Avaliação'!$E$7:$E$206,MATCH($B43,'Avaliação'!$C$7:$C$206,0)),""))</f>
        <v/>
      </c>
      <c r="G43" s="52">
        <f>IF($B43="","",IF($D43&lt;&gt;2,"",IF($F43="","",ROUND(SUMIF('Avaliação'!$C$7:$C$206,$B43,'Avaliação'!$E$7:$E$206)-$F43,2))))</f>
        <v/>
      </c>
      <c r="H43" s="52">
        <f>IF($B43="","",IF(OR($F43="",$G43=""),"",ROUND(ABS($F43-$G43),2)))</f>
        <v/>
      </c>
      <c r="I43" s="3">
        <f>IF($B43="","",IF($D43&lt;2,"⚠ falta 2º avaliador",IF($D43&gt;2,"⚠ mais de 2 avaliações — conferir",IF(AND(ISNUMBER($H43),$H43&gt;1),"⚠ divergência &gt; 1,0 — média suspensa, calibrar","OK"))))</f>
        <v/>
      </c>
      <c r="J43" s="3" t="n"/>
      <c r="K43" s="52" t="n"/>
      <c r="L43" s="37" t="n"/>
      <c r="M43" s="52">
        <f>IF($E43="","",COUNTIF($E$5:$E$64,"&gt;"&amp;$E43)+1)</f>
        <v/>
      </c>
      <c r="N43" s="52">
        <f>IF($B43="","",IF(Entrevista!$H43="","",Entrevista!$H43))</f>
        <v/>
      </c>
      <c r="O43" s="3">
        <f>IF($B43="","",IF(Entrevista!$L43="","",Entrevista!$L43))</f>
        <v/>
      </c>
      <c r="P43" s="53" t="n"/>
      <c r="Q43" s="53" t="n"/>
      <c r="R43" s="53" t="n"/>
      <c r="S43" s="53" t="n"/>
      <c r="T43" s="53" t="n"/>
      <c r="U43" s="53" t="n"/>
      <c r="V43" s="53" t="n"/>
      <c r="W43" s="53" t="n"/>
      <c r="X43" s="53" t="n"/>
      <c r="Y43" s="53" t="n"/>
      <c r="Z43" s="53" t="n"/>
    </row>
    <row r="44" ht="14.25" customHeight="1" s="65">
      <c r="A44" s="3">
        <f>IF($B44="","",ROW()-4)</f>
        <v/>
      </c>
      <c r="B44" s="53" t="n"/>
      <c r="C44" s="52" t="n"/>
      <c r="D44" s="52">
        <f>IF($B44="","",COUNTIFS('Avaliação'!$C$7:$C$206,$B44,'Avaliação'!$E$7:$E$206,"&gt;=0"))</f>
        <v/>
      </c>
      <c r="E44" s="32">
        <f>IF($B44="","",IFERROR(ROUND(AVERAGEIF('Avaliação'!$C$7:$C$206,$B44,'Avaliação'!$E$7:$E$206),2),""))</f>
        <v/>
      </c>
      <c r="F44" s="52">
        <f t="array" ref="F44">IF($B44="","",IFERROR(INDEX('Avaliação'!$E$7:$E$206,MATCH($B44,'Avaliação'!$C$7:$C$206,0)),""))</f>
        <v/>
      </c>
      <c r="G44" s="52">
        <f>IF($B44="","",IF($D44&lt;&gt;2,"",IF($F44="","",ROUND(SUMIF('Avaliação'!$C$7:$C$206,$B44,'Avaliação'!$E$7:$E$206)-$F44,2))))</f>
        <v/>
      </c>
      <c r="H44" s="52">
        <f>IF($B44="","",IF(OR($F44="",$G44=""),"",ROUND(ABS($F44-$G44),2)))</f>
        <v/>
      </c>
      <c r="I44" s="3">
        <f>IF($B44="","",IF($D44&lt;2,"⚠ falta 2º avaliador",IF($D44&gt;2,"⚠ mais de 2 avaliações — conferir",IF(AND(ISNUMBER($H44),$H44&gt;1),"⚠ divergência &gt; 1,0 — média suspensa, calibrar","OK"))))</f>
        <v/>
      </c>
      <c r="J44" s="3" t="n"/>
      <c r="K44" s="52" t="n"/>
      <c r="L44" s="37" t="n"/>
      <c r="M44" s="52">
        <f>IF($E44="","",COUNTIF($E$5:$E$64,"&gt;"&amp;$E44)+1)</f>
        <v/>
      </c>
      <c r="N44" s="52">
        <f>IF($B44="","",IF(Entrevista!$H44="","",Entrevista!$H44))</f>
        <v/>
      </c>
      <c r="O44" s="3">
        <f>IF($B44="","",IF(Entrevista!$L44="","",Entrevista!$L44))</f>
        <v/>
      </c>
      <c r="P44" s="53" t="n"/>
      <c r="Q44" s="53" t="n"/>
      <c r="R44" s="53" t="n"/>
      <c r="S44" s="53" t="n"/>
      <c r="T44" s="53" t="n"/>
      <c r="U44" s="53" t="n"/>
      <c r="V44" s="53" t="n"/>
      <c r="W44" s="53" t="n"/>
      <c r="X44" s="53" t="n"/>
      <c r="Y44" s="53" t="n"/>
      <c r="Z44" s="53" t="n"/>
    </row>
    <row r="45" ht="14.25" customHeight="1" s="65">
      <c r="A45" s="3">
        <f>IF($B45="","",ROW()-4)</f>
        <v/>
      </c>
      <c r="B45" s="53" t="n"/>
      <c r="C45" s="52" t="n"/>
      <c r="D45" s="52">
        <f>IF($B45="","",COUNTIFS('Avaliação'!$C$7:$C$206,$B45,'Avaliação'!$E$7:$E$206,"&gt;=0"))</f>
        <v/>
      </c>
      <c r="E45" s="32">
        <f>IF($B45="","",IFERROR(ROUND(AVERAGEIF('Avaliação'!$C$7:$C$206,$B45,'Avaliação'!$E$7:$E$206),2),""))</f>
        <v/>
      </c>
      <c r="F45" s="52">
        <f t="array" ref="F45">IF($B45="","",IFERROR(INDEX('Avaliação'!$E$7:$E$206,MATCH($B45,'Avaliação'!$C$7:$C$206,0)),""))</f>
        <v/>
      </c>
      <c r="G45" s="52">
        <f>IF($B45="","",IF($D45&lt;&gt;2,"",IF($F45="","",ROUND(SUMIF('Avaliação'!$C$7:$C$206,$B45,'Avaliação'!$E$7:$E$206)-$F45,2))))</f>
        <v/>
      </c>
      <c r="H45" s="52">
        <f>IF($B45="","",IF(OR($F45="",$G45=""),"",ROUND(ABS($F45-$G45),2)))</f>
        <v/>
      </c>
      <c r="I45" s="3">
        <f>IF($B45="","",IF($D45&lt;2,"⚠ falta 2º avaliador",IF($D45&gt;2,"⚠ mais de 2 avaliações — conferir",IF(AND(ISNUMBER($H45),$H45&gt;1),"⚠ divergência &gt; 1,0 — média suspensa, calibrar","OK"))))</f>
        <v/>
      </c>
      <c r="J45" s="3" t="n"/>
      <c r="K45" s="52" t="n"/>
      <c r="L45" s="37" t="n"/>
      <c r="M45" s="52">
        <f>IF($E45="","",COUNTIF($E$5:$E$64,"&gt;"&amp;$E45)+1)</f>
        <v/>
      </c>
      <c r="N45" s="52">
        <f>IF($B45="","",IF(Entrevista!$H45="","",Entrevista!$H45))</f>
        <v/>
      </c>
      <c r="O45" s="3">
        <f>IF($B45="","",IF(Entrevista!$L45="","",Entrevista!$L45))</f>
        <v/>
      </c>
      <c r="P45" s="53" t="n"/>
      <c r="Q45" s="53" t="n"/>
      <c r="R45" s="53" t="n"/>
      <c r="S45" s="53" t="n"/>
      <c r="T45" s="53" t="n"/>
      <c r="U45" s="53" t="n"/>
      <c r="V45" s="53" t="n"/>
      <c r="W45" s="53" t="n"/>
      <c r="X45" s="53" t="n"/>
      <c r="Y45" s="53" t="n"/>
      <c r="Z45" s="53" t="n"/>
    </row>
    <row r="46" ht="14.25" customHeight="1" s="65">
      <c r="A46" s="3">
        <f>IF($B46="","",ROW()-4)</f>
        <v/>
      </c>
      <c r="B46" s="53" t="n"/>
      <c r="C46" s="52" t="n"/>
      <c r="D46" s="52">
        <f>IF($B46="","",COUNTIFS('Avaliação'!$C$7:$C$206,$B46,'Avaliação'!$E$7:$E$206,"&gt;=0"))</f>
        <v/>
      </c>
      <c r="E46" s="32">
        <f>IF($B46="","",IFERROR(ROUND(AVERAGEIF('Avaliação'!$C$7:$C$206,$B46,'Avaliação'!$E$7:$E$206),2),""))</f>
        <v/>
      </c>
      <c r="F46" s="52">
        <f t="array" ref="F46">IF($B46="","",IFERROR(INDEX('Avaliação'!$E$7:$E$206,MATCH($B46,'Avaliação'!$C$7:$C$206,0)),""))</f>
        <v/>
      </c>
      <c r="G46" s="52">
        <f>IF($B46="","",IF($D46&lt;&gt;2,"",IF($F46="","",ROUND(SUMIF('Avaliação'!$C$7:$C$206,$B46,'Avaliação'!$E$7:$E$206)-$F46,2))))</f>
        <v/>
      </c>
      <c r="H46" s="52">
        <f>IF($B46="","",IF(OR($F46="",$G46=""),"",ROUND(ABS($F46-$G46),2)))</f>
        <v/>
      </c>
      <c r="I46" s="3">
        <f>IF($B46="","",IF($D46&lt;2,"⚠ falta 2º avaliador",IF($D46&gt;2,"⚠ mais de 2 avaliações — conferir",IF(AND(ISNUMBER($H46),$H46&gt;1),"⚠ divergência &gt; 1,0 — média suspensa, calibrar","OK"))))</f>
        <v/>
      </c>
      <c r="J46" s="3" t="n"/>
      <c r="K46" s="52" t="n"/>
      <c r="L46" s="37" t="n"/>
      <c r="M46" s="52">
        <f>IF($E46="","",COUNTIF($E$5:$E$64,"&gt;"&amp;$E46)+1)</f>
        <v/>
      </c>
      <c r="N46" s="52">
        <f>IF($B46="","",IF(Entrevista!$H46="","",Entrevista!$H46))</f>
        <v/>
      </c>
      <c r="O46" s="3">
        <f>IF($B46="","",IF(Entrevista!$L46="","",Entrevista!$L46))</f>
        <v/>
      </c>
      <c r="P46" s="53" t="n"/>
      <c r="Q46" s="53" t="n"/>
      <c r="R46" s="53" t="n"/>
      <c r="S46" s="53" t="n"/>
      <c r="T46" s="53" t="n"/>
      <c r="U46" s="53" t="n"/>
      <c r="V46" s="53" t="n"/>
      <c r="W46" s="53" t="n"/>
      <c r="X46" s="53" t="n"/>
      <c r="Y46" s="53" t="n"/>
      <c r="Z46" s="53" t="n"/>
    </row>
    <row r="47" ht="14.25" customHeight="1" s="65">
      <c r="A47" s="3">
        <f>IF($B47="","",ROW()-4)</f>
        <v/>
      </c>
      <c r="B47" s="53" t="n"/>
      <c r="C47" s="52" t="n"/>
      <c r="D47" s="52">
        <f>IF($B47="","",COUNTIFS('Avaliação'!$C$7:$C$206,$B47,'Avaliação'!$E$7:$E$206,"&gt;=0"))</f>
        <v/>
      </c>
      <c r="E47" s="32">
        <f>IF($B47="","",IFERROR(ROUND(AVERAGEIF('Avaliação'!$C$7:$C$206,$B47,'Avaliação'!$E$7:$E$206),2),""))</f>
        <v/>
      </c>
      <c r="F47" s="52">
        <f t="array" ref="F47">IF($B47="","",IFERROR(INDEX('Avaliação'!$E$7:$E$206,MATCH($B47,'Avaliação'!$C$7:$C$206,0)),""))</f>
        <v/>
      </c>
      <c r="G47" s="52">
        <f>IF($B47="","",IF($D47&lt;&gt;2,"",IF($F47="","",ROUND(SUMIF('Avaliação'!$C$7:$C$206,$B47,'Avaliação'!$E$7:$E$206)-$F47,2))))</f>
        <v/>
      </c>
      <c r="H47" s="52">
        <f>IF($B47="","",IF(OR($F47="",$G47=""),"",ROUND(ABS($F47-$G47),2)))</f>
        <v/>
      </c>
      <c r="I47" s="3">
        <f>IF($B47="","",IF($D47&lt;2,"⚠ falta 2º avaliador",IF($D47&gt;2,"⚠ mais de 2 avaliações — conferir",IF(AND(ISNUMBER($H47),$H47&gt;1),"⚠ divergência &gt; 1,0 — média suspensa, calibrar","OK"))))</f>
        <v/>
      </c>
      <c r="J47" s="3" t="n"/>
      <c r="K47" s="52" t="n"/>
      <c r="L47" s="37" t="n"/>
      <c r="M47" s="52">
        <f>IF($E47="","",COUNTIF($E$5:$E$64,"&gt;"&amp;$E47)+1)</f>
        <v/>
      </c>
      <c r="N47" s="52">
        <f>IF($B47="","",IF(Entrevista!$H47="","",Entrevista!$H47))</f>
        <v/>
      </c>
      <c r="O47" s="3">
        <f>IF($B47="","",IF(Entrevista!$L47="","",Entrevista!$L47))</f>
        <v/>
      </c>
      <c r="P47" s="53" t="n"/>
      <c r="Q47" s="53" t="n"/>
      <c r="R47" s="53" t="n"/>
      <c r="S47" s="53" t="n"/>
      <c r="T47" s="53" t="n"/>
      <c r="U47" s="53" t="n"/>
      <c r="V47" s="53" t="n"/>
      <c r="W47" s="53" t="n"/>
      <c r="X47" s="53" t="n"/>
      <c r="Y47" s="53" t="n"/>
      <c r="Z47" s="53" t="n"/>
    </row>
    <row r="48" ht="14.25" customHeight="1" s="65">
      <c r="A48" s="3">
        <f>IF($B48="","",ROW()-4)</f>
        <v/>
      </c>
      <c r="B48" s="53" t="n"/>
      <c r="C48" s="52" t="n"/>
      <c r="D48" s="52">
        <f>IF($B48="","",COUNTIFS('Avaliação'!$C$7:$C$206,$B48,'Avaliação'!$E$7:$E$206,"&gt;=0"))</f>
        <v/>
      </c>
      <c r="E48" s="32">
        <f>IF($B48="","",IFERROR(ROUND(AVERAGEIF('Avaliação'!$C$7:$C$206,$B48,'Avaliação'!$E$7:$E$206),2),""))</f>
        <v/>
      </c>
      <c r="F48" s="52">
        <f t="array" ref="F48">IF($B48="","",IFERROR(INDEX('Avaliação'!$E$7:$E$206,MATCH($B48,'Avaliação'!$C$7:$C$206,0)),""))</f>
        <v/>
      </c>
      <c r="G48" s="52">
        <f>IF($B48="","",IF($D48&lt;&gt;2,"",IF($F48="","",ROUND(SUMIF('Avaliação'!$C$7:$C$206,$B48,'Avaliação'!$E$7:$E$206)-$F48,2))))</f>
        <v/>
      </c>
      <c r="H48" s="52">
        <f>IF($B48="","",IF(OR($F48="",$G48=""),"",ROUND(ABS($F48-$G48),2)))</f>
        <v/>
      </c>
      <c r="I48" s="3">
        <f>IF($B48="","",IF($D48&lt;2,"⚠ falta 2º avaliador",IF($D48&gt;2,"⚠ mais de 2 avaliações — conferir",IF(AND(ISNUMBER($H48),$H48&gt;1),"⚠ divergência &gt; 1,0 — média suspensa, calibrar","OK"))))</f>
        <v/>
      </c>
      <c r="J48" s="3" t="n"/>
      <c r="K48" s="52" t="n"/>
      <c r="L48" s="37" t="n"/>
      <c r="M48" s="52">
        <f>IF($E48="","",COUNTIF($E$5:$E$64,"&gt;"&amp;$E48)+1)</f>
        <v/>
      </c>
      <c r="N48" s="52">
        <f>IF($B48="","",IF(Entrevista!$H48="","",Entrevista!$H48))</f>
        <v/>
      </c>
      <c r="O48" s="3">
        <f>IF($B48="","",IF(Entrevista!$L48="","",Entrevista!$L48))</f>
        <v/>
      </c>
      <c r="P48" s="53" t="n"/>
      <c r="Q48" s="53" t="n"/>
      <c r="R48" s="53" t="n"/>
      <c r="S48" s="53" t="n"/>
      <c r="T48" s="53" t="n"/>
      <c r="U48" s="53" t="n"/>
      <c r="V48" s="53" t="n"/>
      <c r="W48" s="53" t="n"/>
      <c r="X48" s="53" t="n"/>
      <c r="Y48" s="53" t="n"/>
      <c r="Z48" s="53" t="n"/>
    </row>
    <row r="49" ht="14.25" customHeight="1" s="65">
      <c r="A49" s="3">
        <f>IF($B49="","",ROW()-4)</f>
        <v/>
      </c>
      <c r="B49" s="53" t="n"/>
      <c r="C49" s="52" t="n"/>
      <c r="D49" s="52">
        <f>IF($B49="","",COUNTIFS('Avaliação'!$C$7:$C$206,$B49,'Avaliação'!$E$7:$E$206,"&gt;=0"))</f>
        <v/>
      </c>
      <c r="E49" s="32">
        <f>IF($B49="","",IFERROR(ROUND(AVERAGEIF('Avaliação'!$C$7:$C$206,$B49,'Avaliação'!$E$7:$E$206),2),""))</f>
        <v/>
      </c>
      <c r="F49" s="52">
        <f t="array" ref="F49">IF($B49="","",IFERROR(INDEX('Avaliação'!$E$7:$E$206,MATCH($B49,'Avaliação'!$C$7:$C$206,0)),""))</f>
        <v/>
      </c>
      <c r="G49" s="52">
        <f>IF($B49="","",IF($D49&lt;&gt;2,"",IF($F49="","",ROUND(SUMIF('Avaliação'!$C$7:$C$206,$B49,'Avaliação'!$E$7:$E$206)-$F49,2))))</f>
        <v/>
      </c>
      <c r="H49" s="52">
        <f>IF($B49="","",IF(OR($F49="",$G49=""),"",ROUND(ABS($F49-$G49),2)))</f>
        <v/>
      </c>
      <c r="I49" s="3">
        <f>IF($B49="","",IF($D49&lt;2,"⚠ falta 2º avaliador",IF($D49&gt;2,"⚠ mais de 2 avaliações — conferir",IF(AND(ISNUMBER($H49),$H49&gt;1),"⚠ divergência &gt; 1,0 — média suspensa, calibrar","OK"))))</f>
        <v/>
      </c>
      <c r="J49" s="3" t="n"/>
      <c r="K49" s="52" t="n"/>
      <c r="L49" s="37" t="n"/>
      <c r="M49" s="52">
        <f>IF($E49="","",COUNTIF($E$5:$E$64,"&gt;"&amp;$E49)+1)</f>
        <v/>
      </c>
      <c r="N49" s="52">
        <f>IF($B49="","",IF(Entrevista!$H49="","",Entrevista!$H49))</f>
        <v/>
      </c>
      <c r="O49" s="3">
        <f>IF($B49="","",IF(Entrevista!$L49="","",Entrevista!$L49))</f>
        <v/>
      </c>
      <c r="P49" s="53" t="n"/>
      <c r="Q49" s="53" t="n"/>
      <c r="R49" s="53" t="n"/>
      <c r="S49" s="53" t="n"/>
      <c r="T49" s="53" t="n"/>
      <c r="U49" s="53" t="n"/>
      <c r="V49" s="53" t="n"/>
      <c r="W49" s="53" t="n"/>
      <c r="X49" s="53" t="n"/>
      <c r="Y49" s="53" t="n"/>
      <c r="Z49" s="53" t="n"/>
    </row>
    <row r="50" ht="14.25" customHeight="1" s="65">
      <c r="A50" s="3">
        <f>IF($B50="","",ROW()-4)</f>
        <v/>
      </c>
      <c r="B50" s="53" t="n"/>
      <c r="C50" s="52" t="n"/>
      <c r="D50" s="52">
        <f>IF($B50="","",COUNTIFS('Avaliação'!$C$7:$C$206,$B50,'Avaliação'!$E$7:$E$206,"&gt;=0"))</f>
        <v/>
      </c>
      <c r="E50" s="32">
        <f>IF($B50="","",IFERROR(ROUND(AVERAGEIF('Avaliação'!$C$7:$C$206,$B50,'Avaliação'!$E$7:$E$206),2),""))</f>
        <v/>
      </c>
      <c r="F50" s="52">
        <f t="array" ref="F50">IF($B50="","",IFERROR(INDEX('Avaliação'!$E$7:$E$206,MATCH($B50,'Avaliação'!$C$7:$C$206,0)),""))</f>
        <v/>
      </c>
      <c r="G50" s="52">
        <f>IF($B50="","",IF($D50&lt;&gt;2,"",IF($F50="","",ROUND(SUMIF('Avaliação'!$C$7:$C$206,$B50,'Avaliação'!$E$7:$E$206)-$F50,2))))</f>
        <v/>
      </c>
      <c r="H50" s="52">
        <f>IF($B50="","",IF(OR($F50="",$G50=""),"",ROUND(ABS($F50-$G50),2)))</f>
        <v/>
      </c>
      <c r="I50" s="3">
        <f>IF($B50="","",IF($D50&lt;2,"⚠ falta 2º avaliador",IF($D50&gt;2,"⚠ mais de 2 avaliações — conferir",IF(AND(ISNUMBER($H50),$H50&gt;1),"⚠ divergência &gt; 1,0 — média suspensa, calibrar","OK"))))</f>
        <v/>
      </c>
      <c r="J50" s="3" t="n"/>
      <c r="K50" s="52" t="n"/>
      <c r="L50" s="37" t="n"/>
      <c r="M50" s="52">
        <f>IF($E50="","",COUNTIF($E$5:$E$64,"&gt;"&amp;$E50)+1)</f>
        <v/>
      </c>
      <c r="N50" s="52">
        <f>IF($B50="","",IF(Entrevista!$H50="","",Entrevista!$H50))</f>
        <v/>
      </c>
      <c r="O50" s="3">
        <f>IF($B50="","",IF(Entrevista!$L50="","",Entrevista!$L50))</f>
        <v/>
      </c>
      <c r="P50" s="53" t="n"/>
      <c r="Q50" s="53" t="n"/>
      <c r="R50" s="53" t="n"/>
      <c r="S50" s="53" t="n"/>
      <c r="T50" s="53" t="n"/>
      <c r="U50" s="53" t="n"/>
      <c r="V50" s="53" t="n"/>
      <c r="W50" s="53" t="n"/>
      <c r="X50" s="53" t="n"/>
      <c r="Y50" s="53" t="n"/>
      <c r="Z50" s="53" t="n"/>
    </row>
    <row r="51" ht="14.25" customHeight="1" s="65">
      <c r="A51" s="3">
        <f>IF($B51="","",ROW()-4)</f>
        <v/>
      </c>
      <c r="B51" s="53" t="n"/>
      <c r="C51" s="52" t="n"/>
      <c r="D51" s="52">
        <f>IF($B51="","",COUNTIFS('Avaliação'!$C$7:$C$206,$B51,'Avaliação'!$E$7:$E$206,"&gt;=0"))</f>
        <v/>
      </c>
      <c r="E51" s="32">
        <f>IF($B51="","",IFERROR(ROUND(AVERAGEIF('Avaliação'!$C$7:$C$206,$B51,'Avaliação'!$E$7:$E$206),2),""))</f>
        <v/>
      </c>
      <c r="F51" s="52">
        <f t="array" ref="F51">IF($B51="","",IFERROR(INDEX('Avaliação'!$E$7:$E$206,MATCH($B51,'Avaliação'!$C$7:$C$206,0)),""))</f>
        <v/>
      </c>
      <c r="G51" s="52">
        <f>IF($B51="","",IF($D51&lt;&gt;2,"",IF($F51="","",ROUND(SUMIF('Avaliação'!$C$7:$C$206,$B51,'Avaliação'!$E$7:$E$206)-$F51,2))))</f>
        <v/>
      </c>
      <c r="H51" s="52">
        <f>IF($B51="","",IF(OR($F51="",$G51=""),"",ROUND(ABS($F51-$G51),2)))</f>
        <v/>
      </c>
      <c r="I51" s="3">
        <f>IF($B51="","",IF($D51&lt;2,"⚠ falta 2º avaliador",IF($D51&gt;2,"⚠ mais de 2 avaliações — conferir",IF(AND(ISNUMBER($H51),$H51&gt;1),"⚠ divergência &gt; 1,0 — média suspensa, calibrar","OK"))))</f>
        <v/>
      </c>
      <c r="J51" s="3" t="n"/>
      <c r="K51" s="52" t="n"/>
      <c r="L51" s="37" t="n"/>
      <c r="M51" s="52">
        <f>IF($E51="","",COUNTIF($E$5:$E$64,"&gt;"&amp;$E51)+1)</f>
        <v/>
      </c>
      <c r="N51" s="52">
        <f>IF($B51="","",IF(Entrevista!$H51="","",Entrevista!$H51))</f>
        <v/>
      </c>
      <c r="O51" s="3">
        <f>IF($B51="","",IF(Entrevista!$L51="","",Entrevista!$L51))</f>
        <v/>
      </c>
      <c r="P51" s="53" t="n"/>
      <c r="Q51" s="53" t="n"/>
      <c r="R51" s="53" t="n"/>
      <c r="S51" s="53" t="n"/>
      <c r="T51" s="53" t="n"/>
      <c r="U51" s="53" t="n"/>
      <c r="V51" s="53" t="n"/>
      <c r="W51" s="53" t="n"/>
      <c r="X51" s="53" t="n"/>
      <c r="Y51" s="53" t="n"/>
      <c r="Z51" s="53" t="n"/>
    </row>
    <row r="52" ht="14.25" customHeight="1" s="65">
      <c r="A52" s="3">
        <f>IF($B52="","",ROW()-4)</f>
        <v/>
      </c>
      <c r="B52" s="53" t="n"/>
      <c r="C52" s="52" t="n"/>
      <c r="D52" s="52">
        <f>IF($B52="","",COUNTIFS('Avaliação'!$C$7:$C$206,$B52,'Avaliação'!$E$7:$E$206,"&gt;=0"))</f>
        <v/>
      </c>
      <c r="E52" s="32">
        <f>IF($B52="","",IFERROR(ROUND(AVERAGEIF('Avaliação'!$C$7:$C$206,$B52,'Avaliação'!$E$7:$E$206),2),""))</f>
        <v/>
      </c>
      <c r="F52" s="52">
        <f t="array" ref="F52">IF($B52="","",IFERROR(INDEX('Avaliação'!$E$7:$E$206,MATCH($B52,'Avaliação'!$C$7:$C$206,0)),""))</f>
        <v/>
      </c>
      <c r="G52" s="52">
        <f>IF($B52="","",IF($D52&lt;&gt;2,"",IF($F52="","",ROUND(SUMIF('Avaliação'!$C$7:$C$206,$B52,'Avaliação'!$E$7:$E$206)-$F52,2))))</f>
        <v/>
      </c>
      <c r="H52" s="52">
        <f>IF($B52="","",IF(OR($F52="",$G52=""),"",ROUND(ABS($F52-$G52),2)))</f>
        <v/>
      </c>
      <c r="I52" s="3">
        <f>IF($B52="","",IF($D52&lt;2,"⚠ falta 2º avaliador",IF($D52&gt;2,"⚠ mais de 2 avaliações — conferir",IF(AND(ISNUMBER($H52),$H52&gt;1),"⚠ divergência &gt; 1,0 — média suspensa, calibrar","OK"))))</f>
        <v/>
      </c>
      <c r="J52" s="3" t="n"/>
      <c r="K52" s="52" t="n"/>
      <c r="L52" s="37" t="n"/>
      <c r="M52" s="52">
        <f>IF($E52="","",COUNTIF($E$5:$E$64,"&gt;"&amp;$E52)+1)</f>
        <v/>
      </c>
      <c r="N52" s="52">
        <f>IF($B52="","",IF(Entrevista!$H52="","",Entrevista!$H52))</f>
        <v/>
      </c>
      <c r="O52" s="3">
        <f>IF($B52="","",IF(Entrevista!$L52="","",Entrevista!$L52))</f>
        <v/>
      </c>
      <c r="P52" s="53" t="n"/>
      <c r="Q52" s="53" t="n"/>
      <c r="R52" s="53" t="n"/>
      <c r="S52" s="53" t="n"/>
      <c r="T52" s="53" t="n"/>
      <c r="U52" s="53" t="n"/>
      <c r="V52" s="53" t="n"/>
      <c r="W52" s="53" t="n"/>
      <c r="X52" s="53" t="n"/>
      <c r="Y52" s="53" t="n"/>
      <c r="Z52" s="53" t="n"/>
    </row>
    <row r="53" ht="14.25" customHeight="1" s="65">
      <c r="A53" s="3">
        <f>IF($B53="","",ROW()-4)</f>
        <v/>
      </c>
      <c r="B53" s="53" t="n"/>
      <c r="C53" s="52" t="n"/>
      <c r="D53" s="52">
        <f>IF($B53="","",COUNTIFS('Avaliação'!$C$7:$C$206,$B53,'Avaliação'!$E$7:$E$206,"&gt;=0"))</f>
        <v/>
      </c>
      <c r="E53" s="32">
        <f>IF($B53="","",IFERROR(ROUND(AVERAGEIF('Avaliação'!$C$7:$C$206,$B53,'Avaliação'!$E$7:$E$206),2),""))</f>
        <v/>
      </c>
      <c r="F53" s="52">
        <f t="array" ref="F53">IF($B53="","",IFERROR(INDEX('Avaliação'!$E$7:$E$206,MATCH($B53,'Avaliação'!$C$7:$C$206,0)),""))</f>
        <v/>
      </c>
      <c r="G53" s="52">
        <f>IF($B53="","",IF($D53&lt;&gt;2,"",IF($F53="","",ROUND(SUMIF('Avaliação'!$C$7:$C$206,$B53,'Avaliação'!$E$7:$E$206)-$F53,2))))</f>
        <v/>
      </c>
      <c r="H53" s="52">
        <f>IF($B53="","",IF(OR($F53="",$G53=""),"",ROUND(ABS($F53-$G53),2)))</f>
        <v/>
      </c>
      <c r="I53" s="3">
        <f>IF($B53="","",IF($D53&lt;2,"⚠ falta 2º avaliador",IF($D53&gt;2,"⚠ mais de 2 avaliações — conferir",IF(AND(ISNUMBER($H53),$H53&gt;1),"⚠ divergência &gt; 1,0 — média suspensa, calibrar","OK"))))</f>
        <v/>
      </c>
      <c r="J53" s="3" t="n"/>
      <c r="K53" s="52" t="n"/>
      <c r="L53" s="37" t="n"/>
      <c r="M53" s="52">
        <f>IF($E53="","",COUNTIF($E$5:$E$64,"&gt;"&amp;$E53)+1)</f>
        <v/>
      </c>
      <c r="N53" s="52">
        <f>IF($B53="","",IF(Entrevista!$H53="","",Entrevista!$H53))</f>
        <v/>
      </c>
      <c r="O53" s="3">
        <f>IF($B53="","",IF(Entrevista!$L53="","",Entrevista!$L53))</f>
        <v/>
      </c>
      <c r="P53" s="53" t="n"/>
      <c r="Q53" s="53" t="n"/>
      <c r="R53" s="53" t="n"/>
      <c r="S53" s="53" t="n"/>
      <c r="T53" s="53" t="n"/>
      <c r="U53" s="53" t="n"/>
      <c r="V53" s="53" t="n"/>
      <c r="W53" s="53" t="n"/>
      <c r="X53" s="53" t="n"/>
      <c r="Y53" s="53" t="n"/>
      <c r="Z53" s="53" t="n"/>
    </row>
    <row r="54" ht="14.25" customHeight="1" s="65">
      <c r="A54" s="3">
        <f>IF($B54="","",ROW()-4)</f>
        <v/>
      </c>
      <c r="B54" s="53" t="n"/>
      <c r="C54" s="52" t="n"/>
      <c r="D54" s="52">
        <f>IF($B54="","",COUNTIFS('Avaliação'!$C$7:$C$206,$B54,'Avaliação'!$E$7:$E$206,"&gt;=0"))</f>
        <v/>
      </c>
      <c r="E54" s="32">
        <f>IF($B54="","",IFERROR(ROUND(AVERAGEIF('Avaliação'!$C$7:$C$206,$B54,'Avaliação'!$E$7:$E$206),2),""))</f>
        <v/>
      </c>
      <c r="F54" s="52">
        <f t="array" ref="F54">IF($B54="","",IFERROR(INDEX('Avaliação'!$E$7:$E$206,MATCH($B54,'Avaliação'!$C$7:$C$206,0)),""))</f>
        <v/>
      </c>
      <c r="G54" s="52">
        <f>IF($B54="","",IF($D54&lt;&gt;2,"",IF($F54="","",ROUND(SUMIF('Avaliação'!$C$7:$C$206,$B54,'Avaliação'!$E$7:$E$206)-$F54,2))))</f>
        <v/>
      </c>
      <c r="H54" s="52">
        <f>IF($B54="","",IF(OR($F54="",$G54=""),"",ROUND(ABS($F54-$G54),2)))</f>
        <v/>
      </c>
      <c r="I54" s="3">
        <f>IF($B54="","",IF($D54&lt;2,"⚠ falta 2º avaliador",IF($D54&gt;2,"⚠ mais de 2 avaliações — conferir",IF(AND(ISNUMBER($H54),$H54&gt;1),"⚠ divergência &gt; 1,0 — média suspensa, calibrar","OK"))))</f>
        <v/>
      </c>
      <c r="J54" s="3" t="n"/>
      <c r="K54" s="52" t="n"/>
      <c r="L54" s="37" t="n"/>
      <c r="M54" s="52">
        <f>IF($E54="","",COUNTIF($E$5:$E$64,"&gt;"&amp;$E54)+1)</f>
        <v/>
      </c>
      <c r="N54" s="52">
        <f>IF($B54="","",IF(Entrevista!$H54="","",Entrevista!$H54))</f>
        <v/>
      </c>
      <c r="O54" s="3">
        <f>IF($B54="","",IF(Entrevista!$L54="","",Entrevista!$L54))</f>
        <v/>
      </c>
      <c r="P54" s="53" t="n"/>
      <c r="Q54" s="53" t="n"/>
      <c r="R54" s="53" t="n"/>
      <c r="S54" s="53" t="n"/>
      <c r="T54" s="53" t="n"/>
      <c r="U54" s="53" t="n"/>
      <c r="V54" s="53" t="n"/>
      <c r="W54" s="53" t="n"/>
      <c r="X54" s="53" t="n"/>
      <c r="Y54" s="53" t="n"/>
      <c r="Z54" s="53" t="n"/>
    </row>
    <row r="55" ht="14.25" customHeight="1" s="65">
      <c r="A55" s="3">
        <f>IF($B55="","",ROW()-4)</f>
        <v/>
      </c>
      <c r="B55" s="53" t="n"/>
      <c r="C55" s="52" t="n"/>
      <c r="D55" s="52">
        <f>IF($B55="","",COUNTIFS('Avaliação'!$C$7:$C$206,$B55,'Avaliação'!$E$7:$E$206,"&gt;=0"))</f>
        <v/>
      </c>
      <c r="E55" s="32">
        <f>IF($B55="","",IFERROR(ROUND(AVERAGEIF('Avaliação'!$C$7:$C$206,$B55,'Avaliação'!$E$7:$E$206),2),""))</f>
        <v/>
      </c>
      <c r="F55" s="52">
        <f t="array" ref="F55">IF($B55="","",IFERROR(INDEX('Avaliação'!$E$7:$E$206,MATCH($B55,'Avaliação'!$C$7:$C$206,0)),""))</f>
        <v/>
      </c>
      <c r="G55" s="52">
        <f>IF($B55="","",IF($D55&lt;&gt;2,"",IF($F55="","",ROUND(SUMIF('Avaliação'!$C$7:$C$206,$B55,'Avaliação'!$E$7:$E$206)-$F55,2))))</f>
        <v/>
      </c>
      <c r="H55" s="52">
        <f>IF($B55="","",IF(OR($F55="",$G55=""),"",ROUND(ABS($F55-$G55),2)))</f>
        <v/>
      </c>
      <c r="I55" s="3">
        <f>IF($B55="","",IF($D55&lt;2,"⚠ falta 2º avaliador",IF($D55&gt;2,"⚠ mais de 2 avaliações — conferir",IF(AND(ISNUMBER($H55),$H55&gt;1),"⚠ divergência &gt; 1,0 — média suspensa, calibrar","OK"))))</f>
        <v/>
      </c>
      <c r="J55" s="3" t="n"/>
      <c r="K55" s="52" t="n"/>
      <c r="L55" s="37" t="n"/>
      <c r="M55" s="52">
        <f>IF($E55="","",COUNTIF($E$5:$E$64,"&gt;"&amp;$E55)+1)</f>
        <v/>
      </c>
      <c r="N55" s="52">
        <f>IF($B55="","",IF(Entrevista!$H55="","",Entrevista!$H55))</f>
        <v/>
      </c>
      <c r="O55" s="3">
        <f>IF($B55="","",IF(Entrevista!$L55="","",Entrevista!$L55))</f>
        <v/>
      </c>
      <c r="P55" s="53" t="n"/>
      <c r="Q55" s="53" t="n"/>
      <c r="R55" s="53" t="n"/>
      <c r="S55" s="53" t="n"/>
      <c r="T55" s="53" t="n"/>
      <c r="U55" s="53" t="n"/>
      <c r="V55" s="53" t="n"/>
      <c r="W55" s="53" t="n"/>
      <c r="X55" s="53" t="n"/>
      <c r="Y55" s="53" t="n"/>
      <c r="Z55" s="53" t="n"/>
    </row>
    <row r="56" ht="14.25" customHeight="1" s="65">
      <c r="A56" s="3">
        <f>IF($B56="","",ROW()-4)</f>
        <v/>
      </c>
      <c r="B56" s="53" t="n"/>
      <c r="C56" s="52" t="n"/>
      <c r="D56" s="52">
        <f>IF($B56="","",COUNTIFS('Avaliação'!$C$7:$C$206,$B56,'Avaliação'!$E$7:$E$206,"&gt;=0"))</f>
        <v/>
      </c>
      <c r="E56" s="32">
        <f>IF($B56="","",IFERROR(ROUND(AVERAGEIF('Avaliação'!$C$7:$C$206,$B56,'Avaliação'!$E$7:$E$206),2),""))</f>
        <v/>
      </c>
      <c r="F56" s="52">
        <f t="array" ref="F56">IF($B56="","",IFERROR(INDEX('Avaliação'!$E$7:$E$206,MATCH($B56,'Avaliação'!$C$7:$C$206,0)),""))</f>
        <v/>
      </c>
      <c r="G56" s="52">
        <f>IF($B56="","",IF($D56&lt;&gt;2,"",IF($F56="","",ROUND(SUMIF('Avaliação'!$C$7:$C$206,$B56,'Avaliação'!$E$7:$E$206)-$F56,2))))</f>
        <v/>
      </c>
      <c r="H56" s="52">
        <f>IF($B56="","",IF(OR($F56="",$G56=""),"",ROUND(ABS($F56-$G56),2)))</f>
        <v/>
      </c>
      <c r="I56" s="3">
        <f>IF($B56="","",IF($D56&lt;2,"⚠ falta 2º avaliador",IF($D56&gt;2,"⚠ mais de 2 avaliações — conferir",IF(AND(ISNUMBER($H56),$H56&gt;1),"⚠ divergência &gt; 1,0 — média suspensa, calibrar","OK"))))</f>
        <v/>
      </c>
      <c r="J56" s="3" t="n"/>
      <c r="K56" s="52" t="n"/>
      <c r="L56" s="37" t="n"/>
      <c r="M56" s="52">
        <f>IF($E56="","",COUNTIF($E$5:$E$64,"&gt;"&amp;$E56)+1)</f>
        <v/>
      </c>
      <c r="N56" s="52">
        <f>IF($B56="","",IF(Entrevista!$H56="","",Entrevista!$H56))</f>
        <v/>
      </c>
      <c r="O56" s="3">
        <f>IF($B56="","",IF(Entrevista!$L56="","",Entrevista!$L56))</f>
        <v/>
      </c>
      <c r="P56" s="53" t="n"/>
      <c r="Q56" s="53" t="n"/>
      <c r="R56" s="53" t="n"/>
      <c r="S56" s="53" t="n"/>
      <c r="T56" s="53" t="n"/>
      <c r="U56" s="53" t="n"/>
      <c r="V56" s="53" t="n"/>
      <c r="W56" s="53" t="n"/>
      <c r="X56" s="53" t="n"/>
      <c r="Y56" s="53" t="n"/>
      <c r="Z56" s="53" t="n"/>
    </row>
    <row r="57" ht="14.25" customHeight="1" s="65">
      <c r="A57" s="3">
        <f>IF($B57="","",ROW()-4)</f>
        <v/>
      </c>
      <c r="B57" s="53" t="n"/>
      <c r="C57" s="52" t="n"/>
      <c r="D57" s="52">
        <f>IF($B57="","",COUNTIFS('Avaliação'!$C$7:$C$206,$B57,'Avaliação'!$E$7:$E$206,"&gt;=0"))</f>
        <v/>
      </c>
      <c r="E57" s="32">
        <f>IF($B57="","",IFERROR(ROUND(AVERAGEIF('Avaliação'!$C$7:$C$206,$B57,'Avaliação'!$E$7:$E$206),2),""))</f>
        <v/>
      </c>
      <c r="F57" s="52">
        <f t="array" ref="F57">IF($B57="","",IFERROR(INDEX('Avaliação'!$E$7:$E$206,MATCH($B57,'Avaliação'!$C$7:$C$206,0)),""))</f>
        <v/>
      </c>
      <c r="G57" s="52">
        <f>IF($B57="","",IF($D57&lt;&gt;2,"",IF($F57="","",ROUND(SUMIF('Avaliação'!$C$7:$C$206,$B57,'Avaliação'!$E$7:$E$206)-$F57,2))))</f>
        <v/>
      </c>
      <c r="H57" s="52">
        <f>IF($B57="","",IF(OR($F57="",$G57=""),"",ROUND(ABS($F57-$G57),2)))</f>
        <v/>
      </c>
      <c r="I57" s="3">
        <f>IF($B57="","",IF($D57&lt;2,"⚠ falta 2º avaliador",IF($D57&gt;2,"⚠ mais de 2 avaliações — conferir",IF(AND(ISNUMBER($H57),$H57&gt;1),"⚠ divergência &gt; 1,0 — média suspensa, calibrar","OK"))))</f>
        <v/>
      </c>
      <c r="J57" s="3" t="n"/>
      <c r="K57" s="52" t="n"/>
      <c r="L57" s="37" t="n"/>
      <c r="M57" s="52">
        <f>IF($E57="","",COUNTIF($E$5:$E$64,"&gt;"&amp;$E57)+1)</f>
        <v/>
      </c>
      <c r="N57" s="52">
        <f>IF($B57="","",IF(Entrevista!$H57="","",Entrevista!$H57))</f>
        <v/>
      </c>
      <c r="O57" s="3">
        <f>IF($B57="","",IF(Entrevista!$L57="","",Entrevista!$L57))</f>
        <v/>
      </c>
      <c r="P57" s="53" t="n"/>
      <c r="Q57" s="53" t="n"/>
      <c r="R57" s="53" t="n"/>
      <c r="S57" s="53" t="n"/>
      <c r="T57" s="53" t="n"/>
      <c r="U57" s="53" t="n"/>
      <c r="V57" s="53" t="n"/>
      <c r="W57" s="53" t="n"/>
      <c r="X57" s="53" t="n"/>
      <c r="Y57" s="53" t="n"/>
      <c r="Z57" s="53" t="n"/>
    </row>
    <row r="58" ht="14.25" customHeight="1" s="65">
      <c r="A58" s="3">
        <f>IF($B58="","",ROW()-4)</f>
        <v/>
      </c>
      <c r="B58" s="53" t="n"/>
      <c r="C58" s="52" t="n"/>
      <c r="D58" s="52">
        <f>IF($B58="","",COUNTIFS('Avaliação'!$C$7:$C$206,$B58,'Avaliação'!$E$7:$E$206,"&gt;=0"))</f>
        <v/>
      </c>
      <c r="E58" s="32">
        <f>IF($B58="","",IFERROR(ROUND(AVERAGEIF('Avaliação'!$C$7:$C$206,$B58,'Avaliação'!$E$7:$E$206),2),""))</f>
        <v/>
      </c>
      <c r="F58" s="52">
        <f t="array" ref="F58">IF($B58="","",IFERROR(INDEX('Avaliação'!$E$7:$E$206,MATCH($B58,'Avaliação'!$C$7:$C$206,0)),""))</f>
        <v/>
      </c>
      <c r="G58" s="52">
        <f>IF($B58="","",IF($D58&lt;&gt;2,"",IF($F58="","",ROUND(SUMIF('Avaliação'!$C$7:$C$206,$B58,'Avaliação'!$E$7:$E$206)-$F58,2))))</f>
        <v/>
      </c>
      <c r="H58" s="52">
        <f>IF($B58="","",IF(OR($F58="",$G58=""),"",ROUND(ABS($F58-$G58),2)))</f>
        <v/>
      </c>
      <c r="I58" s="3">
        <f>IF($B58="","",IF($D58&lt;2,"⚠ falta 2º avaliador",IF($D58&gt;2,"⚠ mais de 2 avaliações — conferir",IF(AND(ISNUMBER($H58),$H58&gt;1),"⚠ divergência &gt; 1,0 — média suspensa, calibrar","OK"))))</f>
        <v/>
      </c>
      <c r="J58" s="3" t="n"/>
      <c r="K58" s="52" t="n"/>
      <c r="L58" s="37" t="n"/>
      <c r="M58" s="52">
        <f>IF($E58="","",COUNTIF($E$5:$E$64,"&gt;"&amp;$E58)+1)</f>
        <v/>
      </c>
      <c r="N58" s="52">
        <f>IF($B58="","",IF(Entrevista!$H58="","",Entrevista!$H58))</f>
        <v/>
      </c>
      <c r="O58" s="3">
        <f>IF($B58="","",IF(Entrevista!$L58="","",Entrevista!$L58))</f>
        <v/>
      </c>
      <c r="P58" s="53" t="n"/>
      <c r="Q58" s="53" t="n"/>
      <c r="R58" s="53" t="n"/>
      <c r="S58" s="53" t="n"/>
      <c r="T58" s="53" t="n"/>
      <c r="U58" s="53" t="n"/>
      <c r="V58" s="53" t="n"/>
      <c r="W58" s="53" t="n"/>
      <c r="X58" s="53" t="n"/>
      <c r="Y58" s="53" t="n"/>
      <c r="Z58" s="53" t="n"/>
    </row>
    <row r="59" ht="14.25" customHeight="1" s="65">
      <c r="A59" s="3">
        <f>IF($B59="","",ROW()-4)</f>
        <v/>
      </c>
      <c r="B59" s="53" t="n"/>
      <c r="C59" s="52" t="n"/>
      <c r="D59" s="52">
        <f>IF($B59="","",COUNTIFS('Avaliação'!$C$7:$C$206,$B59,'Avaliação'!$E$7:$E$206,"&gt;=0"))</f>
        <v/>
      </c>
      <c r="E59" s="32">
        <f>IF($B59="","",IFERROR(ROUND(AVERAGEIF('Avaliação'!$C$7:$C$206,$B59,'Avaliação'!$E$7:$E$206),2),""))</f>
        <v/>
      </c>
      <c r="F59" s="52">
        <f t="array" ref="F59">IF($B59="","",IFERROR(INDEX('Avaliação'!$E$7:$E$206,MATCH($B59,'Avaliação'!$C$7:$C$206,0)),""))</f>
        <v/>
      </c>
      <c r="G59" s="52">
        <f>IF($B59="","",IF($D59&lt;&gt;2,"",IF($F59="","",ROUND(SUMIF('Avaliação'!$C$7:$C$206,$B59,'Avaliação'!$E$7:$E$206)-$F59,2))))</f>
        <v/>
      </c>
      <c r="H59" s="52">
        <f>IF($B59="","",IF(OR($F59="",$G59=""),"",ROUND(ABS($F59-$G59),2)))</f>
        <v/>
      </c>
      <c r="I59" s="3">
        <f>IF($B59="","",IF($D59&lt;2,"⚠ falta 2º avaliador",IF($D59&gt;2,"⚠ mais de 2 avaliações — conferir",IF(AND(ISNUMBER($H59),$H59&gt;1),"⚠ divergência &gt; 1,0 — média suspensa, calibrar","OK"))))</f>
        <v/>
      </c>
      <c r="J59" s="3" t="n"/>
      <c r="K59" s="52" t="n"/>
      <c r="L59" s="37" t="n"/>
      <c r="M59" s="52">
        <f>IF($E59="","",COUNTIF($E$5:$E$64,"&gt;"&amp;$E59)+1)</f>
        <v/>
      </c>
      <c r="N59" s="52">
        <f>IF($B59="","",IF(Entrevista!$H59="","",Entrevista!$H59))</f>
        <v/>
      </c>
      <c r="O59" s="3">
        <f>IF($B59="","",IF(Entrevista!$L59="","",Entrevista!$L59))</f>
        <v/>
      </c>
      <c r="P59" s="53" t="n"/>
      <c r="Q59" s="53" t="n"/>
      <c r="R59" s="53" t="n"/>
      <c r="S59" s="53" t="n"/>
      <c r="T59" s="53" t="n"/>
      <c r="U59" s="53" t="n"/>
      <c r="V59" s="53" t="n"/>
      <c r="W59" s="53" t="n"/>
      <c r="X59" s="53" t="n"/>
      <c r="Y59" s="53" t="n"/>
      <c r="Z59" s="53" t="n"/>
    </row>
    <row r="60" ht="14.25" customHeight="1" s="65">
      <c r="A60" s="3">
        <f>IF($B60="","",ROW()-4)</f>
        <v/>
      </c>
      <c r="B60" s="53" t="n"/>
      <c r="C60" s="52" t="n"/>
      <c r="D60" s="52">
        <f>IF($B60="","",COUNTIFS('Avaliação'!$C$7:$C$206,$B60,'Avaliação'!$E$7:$E$206,"&gt;=0"))</f>
        <v/>
      </c>
      <c r="E60" s="32">
        <f>IF($B60="","",IFERROR(ROUND(AVERAGEIF('Avaliação'!$C$7:$C$206,$B60,'Avaliação'!$E$7:$E$206),2),""))</f>
        <v/>
      </c>
      <c r="F60" s="52">
        <f t="array" ref="F60">IF($B60="","",IFERROR(INDEX('Avaliação'!$E$7:$E$206,MATCH($B60,'Avaliação'!$C$7:$C$206,0)),""))</f>
        <v/>
      </c>
      <c r="G60" s="52">
        <f>IF($B60="","",IF($D60&lt;&gt;2,"",IF($F60="","",ROUND(SUMIF('Avaliação'!$C$7:$C$206,$B60,'Avaliação'!$E$7:$E$206)-$F60,2))))</f>
        <v/>
      </c>
      <c r="H60" s="52">
        <f>IF($B60="","",IF(OR($F60="",$G60=""),"",ROUND(ABS($F60-$G60),2)))</f>
        <v/>
      </c>
      <c r="I60" s="3">
        <f>IF($B60="","",IF($D60&lt;2,"⚠ falta 2º avaliador",IF($D60&gt;2,"⚠ mais de 2 avaliações — conferir",IF(AND(ISNUMBER($H60),$H60&gt;1),"⚠ divergência &gt; 1,0 — média suspensa, calibrar","OK"))))</f>
        <v/>
      </c>
      <c r="J60" s="3" t="n"/>
      <c r="K60" s="52" t="n"/>
      <c r="L60" s="37" t="n"/>
      <c r="M60" s="52">
        <f>IF($E60="","",COUNTIF($E$5:$E$64,"&gt;"&amp;$E60)+1)</f>
        <v/>
      </c>
      <c r="N60" s="52">
        <f>IF($B60="","",IF(Entrevista!$H60="","",Entrevista!$H60))</f>
        <v/>
      </c>
      <c r="O60" s="3">
        <f>IF($B60="","",IF(Entrevista!$L60="","",Entrevista!$L60))</f>
        <v/>
      </c>
      <c r="P60" s="53" t="n"/>
      <c r="Q60" s="53" t="n"/>
      <c r="R60" s="53" t="n"/>
      <c r="S60" s="53" t="n"/>
      <c r="T60" s="53" t="n"/>
      <c r="U60" s="53" t="n"/>
      <c r="V60" s="53" t="n"/>
      <c r="W60" s="53" t="n"/>
      <c r="X60" s="53" t="n"/>
      <c r="Y60" s="53" t="n"/>
      <c r="Z60" s="53" t="n"/>
    </row>
    <row r="61" ht="14.25" customHeight="1" s="65">
      <c r="A61" s="3">
        <f>IF($B61="","",ROW()-4)</f>
        <v/>
      </c>
      <c r="B61" s="53" t="n"/>
      <c r="C61" s="52" t="n"/>
      <c r="D61" s="52">
        <f>IF($B61="","",COUNTIFS('Avaliação'!$C$7:$C$206,$B61,'Avaliação'!$E$7:$E$206,"&gt;=0"))</f>
        <v/>
      </c>
      <c r="E61" s="32">
        <f>IF($B61="","",IFERROR(ROUND(AVERAGEIF('Avaliação'!$C$7:$C$206,$B61,'Avaliação'!$E$7:$E$206),2),""))</f>
        <v/>
      </c>
      <c r="F61" s="52">
        <f t="array" ref="F61">IF($B61="","",IFERROR(INDEX('Avaliação'!$E$7:$E$206,MATCH($B61,'Avaliação'!$C$7:$C$206,0)),""))</f>
        <v/>
      </c>
      <c r="G61" s="52">
        <f>IF($B61="","",IF($D61&lt;&gt;2,"",IF($F61="","",ROUND(SUMIF('Avaliação'!$C$7:$C$206,$B61,'Avaliação'!$E$7:$E$206)-$F61,2))))</f>
        <v/>
      </c>
      <c r="H61" s="52">
        <f>IF($B61="","",IF(OR($F61="",$G61=""),"",ROUND(ABS($F61-$G61),2)))</f>
        <v/>
      </c>
      <c r="I61" s="3">
        <f>IF($B61="","",IF($D61&lt;2,"⚠ falta 2º avaliador",IF($D61&gt;2,"⚠ mais de 2 avaliações — conferir",IF(AND(ISNUMBER($H61),$H61&gt;1),"⚠ divergência &gt; 1,0 — média suspensa, calibrar","OK"))))</f>
        <v/>
      </c>
      <c r="J61" s="3" t="n"/>
      <c r="K61" s="52" t="n"/>
      <c r="L61" s="37" t="n"/>
      <c r="M61" s="52">
        <f>IF($E61="","",COUNTIF($E$5:$E$64,"&gt;"&amp;$E61)+1)</f>
        <v/>
      </c>
      <c r="N61" s="52">
        <f>IF($B61="","",IF(Entrevista!$H61="","",Entrevista!$H61))</f>
        <v/>
      </c>
      <c r="O61" s="3">
        <f>IF($B61="","",IF(Entrevista!$L61="","",Entrevista!$L61))</f>
        <v/>
      </c>
      <c r="P61" s="53" t="n"/>
      <c r="Q61" s="53" t="n"/>
      <c r="R61" s="53" t="n"/>
      <c r="S61" s="53" t="n"/>
      <c r="T61" s="53" t="n"/>
      <c r="U61" s="53" t="n"/>
      <c r="V61" s="53" t="n"/>
      <c r="W61" s="53" t="n"/>
      <c r="X61" s="53" t="n"/>
      <c r="Y61" s="53" t="n"/>
      <c r="Z61" s="53" t="n"/>
    </row>
    <row r="62" ht="14.25" customHeight="1" s="65">
      <c r="A62" s="3">
        <f>IF($B62="","",ROW()-4)</f>
        <v/>
      </c>
      <c r="B62" s="53" t="n"/>
      <c r="C62" s="52" t="n"/>
      <c r="D62" s="52">
        <f>IF($B62="","",COUNTIFS('Avaliação'!$C$7:$C$206,$B62,'Avaliação'!$E$7:$E$206,"&gt;=0"))</f>
        <v/>
      </c>
      <c r="E62" s="32">
        <f>IF($B62="","",IFERROR(ROUND(AVERAGEIF('Avaliação'!$C$7:$C$206,$B62,'Avaliação'!$E$7:$E$206),2),""))</f>
        <v/>
      </c>
      <c r="F62" s="52">
        <f t="array" ref="F62">IF($B62="","",IFERROR(INDEX('Avaliação'!$E$7:$E$206,MATCH($B62,'Avaliação'!$C$7:$C$206,0)),""))</f>
        <v/>
      </c>
      <c r="G62" s="52">
        <f>IF($B62="","",IF($D62&lt;&gt;2,"",IF($F62="","",ROUND(SUMIF('Avaliação'!$C$7:$C$206,$B62,'Avaliação'!$E$7:$E$206)-$F62,2))))</f>
        <v/>
      </c>
      <c r="H62" s="52">
        <f>IF($B62="","",IF(OR($F62="",$G62=""),"",ROUND(ABS($F62-$G62),2)))</f>
        <v/>
      </c>
      <c r="I62" s="3">
        <f>IF($B62="","",IF($D62&lt;2,"⚠ falta 2º avaliador",IF($D62&gt;2,"⚠ mais de 2 avaliações — conferir",IF(AND(ISNUMBER($H62),$H62&gt;1),"⚠ divergência &gt; 1,0 — média suspensa, calibrar","OK"))))</f>
        <v/>
      </c>
      <c r="J62" s="3" t="n"/>
      <c r="K62" s="52" t="n"/>
      <c r="L62" s="37" t="n"/>
      <c r="M62" s="52">
        <f>IF($E62="","",COUNTIF($E$5:$E$64,"&gt;"&amp;$E62)+1)</f>
        <v/>
      </c>
      <c r="N62" s="52">
        <f>IF($B62="","",IF(Entrevista!$H62="","",Entrevista!$H62))</f>
        <v/>
      </c>
      <c r="O62" s="3">
        <f>IF($B62="","",IF(Entrevista!$L62="","",Entrevista!$L62))</f>
        <v/>
      </c>
      <c r="P62" s="53" t="n"/>
      <c r="Q62" s="53" t="n"/>
      <c r="R62" s="53" t="n"/>
      <c r="S62" s="53" t="n"/>
      <c r="T62" s="53" t="n"/>
      <c r="U62" s="53" t="n"/>
      <c r="V62" s="53" t="n"/>
      <c r="W62" s="53" t="n"/>
      <c r="X62" s="53" t="n"/>
      <c r="Y62" s="53" t="n"/>
      <c r="Z62" s="53" t="n"/>
    </row>
    <row r="63" ht="14.25" customHeight="1" s="65">
      <c r="A63" s="3">
        <f>IF($B63="","",ROW()-4)</f>
        <v/>
      </c>
      <c r="B63" s="53" t="n"/>
      <c r="C63" s="52" t="n"/>
      <c r="D63" s="52">
        <f>IF($B63="","",COUNTIFS('Avaliação'!$C$7:$C$206,$B63,'Avaliação'!$E$7:$E$206,"&gt;=0"))</f>
        <v/>
      </c>
      <c r="E63" s="32">
        <f>IF($B63="","",IFERROR(ROUND(AVERAGEIF('Avaliação'!$C$7:$C$206,$B63,'Avaliação'!$E$7:$E$206),2),""))</f>
        <v/>
      </c>
      <c r="F63" s="52">
        <f t="array" ref="F63">IF($B63="","",IFERROR(INDEX('Avaliação'!$E$7:$E$206,MATCH($B63,'Avaliação'!$C$7:$C$206,0)),""))</f>
        <v/>
      </c>
      <c r="G63" s="52">
        <f>IF($B63="","",IF($D63&lt;&gt;2,"",IF($F63="","",ROUND(SUMIF('Avaliação'!$C$7:$C$206,$B63,'Avaliação'!$E$7:$E$206)-$F63,2))))</f>
        <v/>
      </c>
      <c r="H63" s="52">
        <f>IF($B63="","",IF(OR($F63="",$G63=""),"",ROUND(ABS($F63-$G63),2)))</f>
        <v/>
      </c>
      <c r="I63" s="3">
        <f>IF($B63="","",IF($D63&lt;2,"⚠ falta 2º avaliador",IF($D63&gt;2,"⚠ mais de 2 avaliações — conferir",IF(AND(ISNUMBER($H63),$H63&gt;1),"⚠ divergência &gt; 1,0 — média suspensa, calibrar","OK"))))</f>
        <v/>
      </c>
      <c r="J63" s="3" t="n"/>
      <c r="K63" s="52" t="n"/>
      <c r="L63" s="37" t="n"/>
      <c r="M63" s="52">
        <f>IF($E63="","",COUNTIF($E$5:$E$64,"&gt;"&amp;$E63)+1)</f>
        <v/>
      </c>
      <c r="N63" s="52">
        <f>IF($B63="","",IF(Entrevista!$H63="","",Entrevista!$H63))</f>
        <v/>
      </c>
      <c r="O63" s="3">
        <f>IF($B63="","",IF(Entrevista!$L63="","",Entrevista!$L63))</f>
        <v/>
      </c>
      <c r="P63" s="53" t="n"/>
      <c r="Q63" s="53" t="n"/>
      <c r="R63" s="53" t="n"/>
      <c r="S63" s="53" t="n"/>
      <c r="T63" s="53" t="n"/>
      <c r="U63" s="53" t="n"/>
      <c r="V63" s="53" t="n"/>
      <c r="W63" s="53" t="n"/>
      <c r="X63" s="53" t="n"/>
      <c r="Y63" s="53" t="n"/>
      <c r="Z63" s="53" t="n"/>
    </row>
    <row r="64" ht="14.25" customHeight="1" s="65">
      <c r="A64" s="3">
        <f>IF($B64="","",ROW()-4)</f>
        <v/>
      </c>
      <c r="B64" s="53" t="n"/>
      <c r="C64" s="52" t="n"/>
      <c r="D64" s="52">
        <f>IF($B64="","",COUNTIFS('Avaliação'!$C$7:$C$206,$B64,'Avaliação'!$E$7:$E$206,"&gt;=0"))</f>
        <v/>
      </c>
      <c r="E64" s="32">
        <f>IF($B64="","",IFERROR(ROUND(AVERAGEIF('Avaliação'!$C$7:$C$206,$B64,'Avaliação'!$E$7:$E$206),2),""))</f>
        <v/>
      </c>
      <c r="F64" s="52">
        <f t="array" ref="F64">IF($B64="","",IFERROR(INDEX('Avaliação'!$E$7:$E$206,MATCH($B64,'Avaliação'!$C$7:$C$206,0)),""))</f>
        <v/>
      </c>
      <c r="G64" s="52">
        <f>IF($B64="","",IF($D64&lt;&gt;2,"",IF($F64="","",ROUND(SUMIF('Avaliação'!$C$7:$C$206,$B64,'Avaliação'!$E$7:$E$206)-$F64,2))))</f>
        <v/>
      </c>
      <c r="H64" s="52">
        <f>IF($B64="","",IF(OR($F64="",$G64=""),"",ROUND(ABS($F64-$G64),2)))</f>
        <v/>
      </c>
      <c r="I64" s="3">
        <f>IF($B64="","",IF($D64&lt;2,"⚠ falta 2º avaliador",IF($D64&gt;2,"⚠ mais de 2 avaliações — conferir",IF(AND(ISNUMBER($H64),$H64&gt;1),"⚠ divergência &gt; 1,0 — média suspensa, calibrar","OK"))))</f>
        <v/>
      </c>
      <c r="J64" s="3" t="n"/>
      <c r="K64" s="52" t="n"/>
      <c r="L64" s="37" t="n"/>
      <c r="M64" s="52">
        <f>IF($E64="","",COUNTIF($E$5:$E$64,"&gt;"&amp;$E64)+1)</f>
        <v/>
      </c>
      <c r="N64" s="52">
        <f>IF($B64="","",IF(Entrevista!$H64="","",Entrevista!$H64))</f>
        <v/>
      </c>
      <c r="O64" s="3">
        <f>IF($B64="","",IF(Entrevista!$L64="","",Entrevista!$L64))</f>
        <v/>
      </c>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24" customHeight="1" s="65">
      <c r="A66" s="53" t="n"/>
      <c r="B66" s="55" t="inlineStr">
        <is>
          <t>NOTA FINAL = média das notas dos dois avaliadores (6,0 e 7,0 -&gt; 6,50). Se a diferença passar de 1,0, a média fica suspensa: conversem e refaçam o critério que divergiu.</t>
        </is>
      </c>
      <c r="P66" s="53" t="n"/>
      <c r="Q66" s="53" t="n"/>
      <c r="R66" s="53" t="n"/>
      <c r="S66" s="53" t="n"/>
      <c r="T66" s="53" t="n"/>
      <c r="U66" s="53" t="n"/>
      <c r="V66" s="53" t="n"/>
      <c r="W66" s="53" t="n"/>
      <c r="X66" s="53" t="n"/>
      <c r="Y66" s="53" t="n"/>
      <c r="Z66" s="53" t="n"/>
    </row>
    <row r="67" ht="24" customHeight="1" s="65">
      <c r="A67" s="53" t="n"/>
      <c r="B67" s="55" t="inlineStr">
        <is>
          <t>FLAG: não soma nem subtrai ponto e nunca elimina. Ela (i) obriga uma pergunta específica na entrevista e (ii) só desempata entre candidatos a menos de 0,3 ponto um do outro.</t>
        </is>
      </c>
      <c r="P67" s="53" t="n"/>
      <c r="Q67" s="53" t="n"/>
      <c r="R67" s="53" t="n"/>
      <c r="S67" s="53" t="n"/>
      <c r="T67" s="53" t="n"/>
      <c r="U67" s="53" t="n"/>
      <c r="V67" s="53" t="n"/>
      <c r="W67" s="53" t="n"/>
      <c r="X67" s="53" t="n"/>
      <c r="Y67" s="53" t="n"/>
      <c r="Z67" s="53" t="n"/>
    </row>
    <row r="68" ht="24" customHeight="1" s="65">
      <c r="A68" s="53" t="n"/>
      <c r="B68" s="55" t="inlineStr">
        <is>
          <t>HORAS/SEM: o que o candidato declarou no formulário. Em 2025.2 a mediana foi 8h (de 4 a 40). Abaixo de 6h acende vermelho — é conversa de entrevista, não corte.</t>
        </is>
      </c>
      <c r="P68" s="53" t="n"/>
      <c r="Q68" s="53" t="n"/>
      <c r="R68" s="53" t="n"/>
      <c r="S68" s="53" t="n"/>
      <c r="T68" s="53" t="n"/>
      <c r="U68" s="53" t="n"/>
      <c r="V68" s="53" t="n"/>
      <c r="W68" s="53" t="n"/>
      <c r="X68" s="53" t="n"/>
      <c r="Y68" s="53" t="n"/>
      <c r="Z68" s="53" t="n"/>
    </row>
    <row r="69" ht="24" customHeight="1" s="65">
      <c r="A69" s="53" t="n"/>
      <c r="B69" s="55" t="inlineStr">
        <is>
          <t>ENTREVISTA: as duas últimas colunas vêm da aba Entrevista, não se digita aqui. 'Não OK' na checagem de propriedade é VETO — derruba independentemente da nota.</t>
        </is>
      </c>
      <c r="P69" s="53" t="n"/>
      <c r="Q69" s="53" t="n"/>
      <c r="R69" s="53" t="n"/>
      <c r="S69" s="53" t="n"/>
      <c r="T69" s="53" t="n"/>
      <c r="U69" s="53" t="n"/>
      <c r="V69" s="53" t="n"/>
      <c r="W69" s="53" t="n"/>
      <c r="X69" s="53" t="n"/>
      <c r="Y69" s="53" t="n"/>
      <c r="Z69" s="53" t="n"/>
    </row>
    <row r="70" ht="24" customHeight="1" s="65">
      <c r="A70" s="53" t="n"/>
      <c r="B70" s="55"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7">
    <mergeCell ref="B69:O69"/>
    <mergeCell ref="B70:O70"/>
    <mergeCell ref="B68:O68"/>
    <mergeCell ref="B2:O2"/>
    <mergeCell ref="B3:O3"/>
    <mergeCell ref="B67:O67"/>
    <mergeCell ref="B66:O66"/>
  </mergeCells>
  <conditionalFormatting sqref="E5:E64">
    <cfRule type="expression" priority="1" dxfId="0" stopIfTrue="1">
      <formula>AND($B5&lt;&gt;"",$D5&lt;2)</formula>
    </cfRule>
    <cfRule type="cellIs" priority="2" operator="greaterThanOrEqual" dxfId="1">
      <formula>7</formula>
    </cfRule>
  </conditionalFormatting>
  <conditionalFormatting sqref="I5:I64">
    <cfRule type="expression" priority="3" dxfId="0">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5" min="1" max="1"/>
    <col width="34" customWidth="1" style="65" min="2" max="2"/>
    <col width="33.29" customWidth="1" style="65" min="3" max="3"/>
    <col width="12" customWidth="1" style="65" min="4" max="5"/>
    <col width="22" customWidth="1" style="65" min="6" max="6"/>
    <col width="11" customWidth="1" style="65" min="7" max="7"/>
    <col width="20" customWidth="1" style="65" min="8" max="8"/>
    <col width="30" customWidth="1" style="65" min="9" max="9"/>
    <col width="42" customWidth="1" style="65" min="10" max="10"/>
    <col width="46" customWidth="1" style="65" min="11" max="11"/>
    <col width="14" customWidth="1" style="65" min="12" max="12"/>
    <col width="40" customWidth="1" style="65" min="13" max="13"/>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ENTREVISTA — nesta versão NÃO pontua. Ela veta, desempata e registra.</t>
        </is>
      </c>
      <c r="N2" s="53" t="n"/>
      <c r="O2" s="53" t="n"/>
      <c r="P2" s="53" t="n"/>
      <c r="Q2" s="53" t="n"/>
      <c r="R2" s="53" t="n"/>
      <c r="S2" s="53" t="n"/>
      <c r="T2" s="53" t="n"/>
      <c r="U2" s="53" t="n"/>
      <c r="V2" s="53" t="n"/>
      <c r="W2" s="53" t="n"/>
      <c r="X2" s="53" t="n"/>
      <c r="Y2" s="53" t="n"/>
      <c r="Z2" s="53" t="n"/>
    </row>
    <row r="3" ht="42" customHeight="1" s="65">
      <c r="A3" s="53" t="n"/>
      <c r="B3" s="70"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c r="N3" s="53" t="n"/>
      <c r="O3" s="53" t="n"/>
      <c r="P3" s="53" t="n"/>
      <c r="Q3" s="53" t="n"/>
      <c r="R3" s="53" t="n"/>
      <c r="S3" s="53" t="n"/>
      <c r="T3" s="53" t="n"/>
      <c r="U3" s="53" t="n"/>
      <c r="V3" s="53" t="n"/>
      <c r="W3" s="53" t="n"/>
      <c r="X3" s="53" t="n"/>
      <c r="Y3" s="53" t="n"/>
      <c r="Z3" s="53" t="n"/>
    </row>
    <row r="4" ht="30" customHeight="1" s="65">
      <c r="A4" s="25" t="inlineStr">
        <is>
          <t>#</t>
        </is>
      </c>
      <c r="B4" s="25" t="inlineStr">
        <is>
          <t>Candidato(a)</t>
        </is>
      </c>
      <c r="C4" s="25" t="inlineStr">
        <is>
          <t>Nome</t>
        </is>
      </c>
      <c r="D4" s="25" t="inlineStr">
        <is>
          <t>Nota do case</t>
        </is>
      </c>
      <c r="E4" s="25" t="inlineStr">
        <is>
          <t>Flag</t>
        </is>
      </c>
      <c r="F4" s="25" t="inlineStr">
        <is>
          <t>Entrevistador(es)</t>
        </is>
      </c>
      <c r="G4" s="25" t="inlineStr">
        <is>
          <t>Data</t>
        </is>
      </c>
      <c r="H4" s="25" t="inlineStr">
        <is>
          <t>Refez a conta ao vivo?</t>
        </is>
      </c>
      <c r="I4" s="25" t="inlineStr">
        <is>
          <t>Qual conta foi pedida</t>
        </is>
      </c>
      <c r="J4" s="25" t="inlineStr">
        <is>
          <t>Pergunta da flag + resposta</t>
        </is>
      </c>
      <c r="K4" s="25" t="inlineStr">
        <is>
          <t>Observações da entrevista</t>
        </is>
      </c>
      <c r="L4" s="25" t="inlineStr">
        <is>
          <t>Decisão</t>
        </is>
      </c>
      <c r="M4" s="25" t="inlineStr">
        <is>
          <t>Motivo da decisão</t>
        </is>
      </c>
      <c r="N4" s="53" t="n"/>
      <c r="O4" s="53" t="n"/>
      <c r="P4" s="53" t="n"/>
      <c r="Q4" s="53" t="n"/>
      <c r="R4" s="53" t="n"/>
      <c r="S4" s="53" t="n"/>
      <c r="T4" s="53" t="n"/>
      <c r="U4" s="53" t="n"/>
      <c r="V4" s="53" t="n"/>
      <c r="W4" s="53" t="n"/>
      <c r="X4" s="53" t="n"/>
      <c r="Y4" s="53" t="n"/>
      <c r="Z4" s="53" t="n"/>
    </row>
    <row r="5" ht="14.25" customHeight="1" s="65">
      <c r="A5" s="52">
        <f>IF($B5="","",ROW()-4)</f>
        <v/>
      </c>
      <c r="B5" s="53" t="n"/>
      <c r="C5" s="53" t="n"/>
      <c r="D5" s="56">
        <f>IF($B5="","",Consolidado!$E5)</f>
        <v/>
      </c>
      <c r="E5" s="52">
        <f>IF($B5="","",Consolidado!$J5)</f>
        <v/>
      </c>
      <c r="F5" s="53" t="n"/>
      <c r="G5" s="57" t="n"/>
      <c r="H5" s="52" t="n"/>
      <c r="I5" s="37" t="n"/>
      <c r="J5" s="37" t="n"/>
      <c r="K5" s="37" t="n"/>
      <c r="L5" s="3" t="n"/>
      <c r="M5" s="37" t="n"/>
      <c r="N5" s="53" t="n"/>
      <c r="O5" s="53" t="n"/>
      <c r="P5" s="53" t="n"/>
      <c r="Q5" s="53" t="n"/>
      <c r="R5" s="53" t="n"/>
      <c r="S5" s="53" t="n"/>
      <c r="T5" s="53" t="n"/>
      <c r="U5" s="53" t="n"/>
      <c r="V5" s="53" t="n"/>
      <c r="W5" s="53" t="n"/>
      <c r="X5" s="53" t="n"/>
      <c r="Y5" s="53" t="n"/>
      <c r="Z5" s="53" t="n"/>
    </row>
    <row r="6" ht="14.25" customHeight="1" s="65">
      <c r="A6" s="52">
        <f>IF($B6="","",ROW()-4)</f>
        <v/>
      </c>
      <c r="B6" s="53" t="n"/>
      <c r="C6" s="53" t="n"/>
      <c r="D6" s="56">
        <f>IF($B6="","",Consolidado!$E6)</f>
        <v/>
      </c>
      <c r="E6" s="52">
        <f>IF($B6="","",Consolidado!$J6)</f>
        <v/>
      </c>
      <c r="F6" s="53" t="n"/>
      <c r="G6" s="57" t="n"/>
      <c r="H6" s="52" t="n"/>
      <c r="I6" s="37" t="n"/>
      <c r="J6" s="37" t="n"/>
      <c r="K6" s="37" t="n"/>
      <c r="L6" s="3" t="n"/>
      <c r="M6" s="37" t="n"/>
      <c r="N6" s="53" t="n"/>
      <c r="O6" s="53" t="n"/>
      <c r="P6" s="53" t="n"/>
      <c r="Q6" s="53" t="n"/>
      <c r="R6" s="53" t="n"/>
      <c r="S6" s="53" t="n"/>
      <c r="T6" s="53" t="n"/>
      <c r="U6" s="53" t="n"/>
      <c r="V6" s="53" t="n"/>
      <c r="W6" s="53" t="n"/>
      <c r="X6" s="53" t="n"/>
      <c r="Y6" s="53" t="n"/>
      <c r="Z6" s="53" t="n"/>
    </row>
    <row r="7" ht="14.25" customHeight="1" s="65">
      <c r="A7" s="52">
        <f>IF($B7="","",ROW()-4)</f>
        <v/>
      </c>
      <c r="B7" s="53" t="n"/>
      <c r="C7" s="53" t="n"/>
      <c r="D7" s="56">
        <f>IF($B7="","",Consolidado!$E7)</f>
        <v/>
      </c>
      <c r="E7" s="52">
        <f>IF($B7="","",Consolidado!$J7)</f>
        <v/>
      </c>
      <c r="F7" s="53" t="n"/>
      <c r="G7" s="57" t="n"/>
      <c r="H7" s="52" t="n"/>
      <c r="I7" s="37" t="n"/>
      <c r="J7" s="37" t="n"/>
      <c r="K7" s="37" t="n"/>
      <c r="L7" s="3" t="n"/>
      <c r="M7" s="37" t="n"/>
      <c r="N7" s="53" t="n"/>
      <c r="O7" s="53" t="n"/>
      <c r="P7" s="53" t="n"/>
      <c r="Q7" s="53" t="n"/>
      <c r="R7" s="53" t="n"/>
      <c r="S7" s="53" t="n"/>
      <c r="T7" s="53" t="n"/>
      <c r="U7" s="53" t="n"/>
      <c r="V7" s="53" t="n"/>
      <c r="W7" s="53" t="n"/>
      <c r="X7" s="53" t="n"/>
      <c r="Y7" s="53" t="n"/>
      <c r="Z7" s="53" t="n"/>
    </row>
    <row r="8" ht="14.25" customHeight="1" s="65">
      <c r="A8" s="52">
        <f>IF($B8="","",ROW()-4)</f>
        <v/>
      </c>
      <c r="B8" s="53" t="n"/>
      <c r="C8" s="53" t="n"/>
      <c r="D8" s="56">
        <f>IF($B8="","",Consolidado!$E8)</f>
        <v/>
      </c>
      <c r="E8" s="52">
        <f>IF($B8="","",Consolidado!$J8)</f>
        <v/>
      </c>
      <c r="F8" s="53" t="n"/>
      <c r="G8" s="57" t="n"/>
      <c r="H8" s="52" t="n"/>
      <c r="I8" s="37" t="n"/>
      <c r="J8" s="37" t="n"/>
      <c r="K8" s="37" t="n"/>
      <c r="L8" s="3" t="n"/>
      <c r="M8" s="37" t="n"/>
      <c r="N8" s="53" t="n"/>
      <c r="O8" s="53" t="n"/>
      <c r="P8" s="53" t="n"/>
      <c r="Q8" s="53" t="n"/>
      <c r="R8" s="53" t="n"/>
      <c r="S8" s="53" t="n"/>
      <c r="T8" s="53" t="n"/>
      <c r="U8" s="53" t="n"/>
      <c r="V8" s="53" t="n"/>
      <c r="W8" s="53" t="n"/>
      <c r="X8" s="53" t="n"/>
      <c r="Y8" s="53" t="n"/>
      <c r="Z8" s="53" t="n"/>
    </row>
    <row r="9" ht="14.25" customHeight="1" s="65">
      <c r="A9" s="52">
        <f>IF($B9="","",ROW()-4)</f>
        <v/>
      </c>
      <c r="B9" s="53" t="n"/>
      <c r="C9" s="53" t="n"/>
      <c r="D9" s="56">
        <f>IF($B9="","",Consolidado!$E9)</f>
        <v/>
      </c>
      <c r="E9" s="52">
        <f>IF($B9="","",Consolidado!$J9)</f>
        <v/>
      </c>
      <c r="F9" s="53" t="n"/>
      <c r="G9" s="57" t="n"/>
      <c r="H9" s="52" t="n"/>
      <c r="I9" s="37" t="n"/>
      <c r="J9" s="37" t="n"/>
      <c r="K9" s="37" t="n"/>
      <c r="L9" s="3" t="n"/>
      <c r="M9" s="37" t="n"/>
      <c r="N9" s="53" t="n"/>
      <c r="O9" s="53" t="n"/>
      <c r="P9" s="53" t="n"/>
      <c r="Q9" s="53" t="n"/>
      <c r="R9" s="53" t="n"/>
      <c r="S9" s="53" t="n"/>
      <c r="T9" s="53" t="n"/>
      <c r="U9" s="53" t="n"/>
      <c r="V9" s="53" t="n"/>
      <c r="W9" s="53" t="n"/>
      <c r="X9" s="53" t="n"/>
      <c r="Y9" s="53" t="n"/>
      <c r="Z9" s="53" t="n"/>
    </row>
    <row r="10" ht="14.25" customHeight="1" s="65">
      <c r="A10" s="52">
        <f>IF($B10="","",ROW()-4)</f>
        <v/>
      </c>
      <c r="B10" s="53" t="n"/>
      <c r="C10" s="53" t="n"/>
      <c r="D10" s="56">
        <f>IF($B10="","",Consolidado!$E10)</f>
        <v/>
      </c>
      <c r="E10" s="52">
        <f>IF($B10="","",Consolidado!$J10)</f>
        <v/>
      </c>
      <c r="F10" s="53" t="n"/>
      <c r="G10" s="57" t="n"/>
      <c r="H10" s="52" t="n"/>
      <c r="I10" s="37" t="n"/>
      <c r="J10" s="37" t="n"/>
      <c r="K10" s="37" t="n"/>
      <c r="L10" s="3" t="n"/>
      <c r="M10" s="37" t="n"/>
      <c r="N10" s="53" t="n"/>
      <c r="O10" s="53" t="n"/>
      <c r="P10" s="53" t="n"/>
      <c r="Q10" s="53" t="n"/>
      <c r="R10" s="53" t="n"/>
      <c r="S10" s="53" t="n"/>
      <c r="T10" s="53" t="n"/>
      <c r="U10" s="53" t="n"/>
      <c r="V10" s="53" t="n"/>
      <c r="W10" s="53" t="n"/>
      <c r="X10" s="53" t="n"/>
      <c r="Y10" s="53" t="n"/>
      <c r="Z10" s="53" t="n"/>
    </row>
    <row r="11" ht="14.25" customHeight="1" s="65">
      <c r="A11" s="52">
        <f>IF($B11="","",ROW()-4)</f>
        <v/>
      </c>
      <c r="B11" s="53" t="n"/>
      <c r="C11" s="53" t="n"/>
      <c r="D11" s="56">
        <f>IF($B11="","",Consolidado!$E11)</f>
        <v/>
      </c>
      <c r="E11" s="52">
        <f>IF($B11="","",Consolidado!$J11)</f>
        <v/>
      </c>
      <c r="F11" s="53" t="n"/>
      <c r="G11" s="57" t="n"/>
      <c r="H11" s="52" t="n"/>
      <c r="I11" s="37" t="n"/>
      <c r="J11" s="37" t="n"/>
      <c r="K11" s="37" t="n"/>
      <c r="L11" s="3" t="n"/>
      <c r="M11" s="37" t="n"/>
      <c r="N11" s="53" t="n"/>
      <c r="O11" s="53" t="n"/>
      <c r="P11" s="53" t="n"/>
      <c r="Q11" s="53" t="n"/>
      <c r="R11" s="53" t="n"/>
      <c r="S11" s="53" t="n"/>
      <c r="T11" s="53" t="n"/>
      <c r="U11" s="53" t="n"/>
      <c r="V11" s="53" t="n"/>
      <c r="W11" s="53" t="n"/>
      <c r="X11" s="53" t="n"/>
      <c r="Y11" s="53" t="n"/>
      <c r="Z11" s="53" t="n"/>
    </row>
    <row r="12" ht="14.25" customHeight="1" s="65">
      <c r="A12" s="52">
        <f>IF($B12="","",ROW()-4)</f>
        <v/>
      </c>
      <c r="B12" s="53" t="n"/>
      <c r="C12" s="53" t="n"/>
      <c r="D12" s="56">
        <f>IF($B12="","",Consolidado!$E12)</f>
        <v/>
      </c>
      <c r="E12" s="52">
        <f>IF($B12="","",Consolidado!$J12)</f>
        <v/>
      </c>
      <c r="F12" s="53" t="n"/>
      <c r="G12" s="57" t="n"/>
      <c r="H12" s="52" t="n"/>
      <c r="I12" s="37" t="n"/>
      <c r="J12" s="37" t="n"/>
      <c r="K12" s="37" t="n"/>
      <c r="L12" s="3" t="n"/>
      <c r="M12" s="37" t="n"/>
      <c r="N12" s="53" t="n"/>
      <c r="O12" s="53" t="n"/>
      <c r="P12" s="53" t="n"/>
      <c r="Q12" s="53" t="n"/>
      <c r="R12" s="53" t="n"/>
      <c r="S12" s="53" t="n"/>
      <c r="T12" s="53" t="n"/>
      <c r="U12" s="53" t="n"/>
      <c r="V12" s="53" t="n"/>
      <c r="W12" s="53" t="n"/>
      <c r="X12" s="53" t="n"/>
      <c r="Y12" s="53" t="n"/>
      <c r="Z12" s="53" t="n"/>
    </row>
    <row r="13" ht="14.25" customHeight="1" s="65">
      <c r="A13" s="52">
        <f>IF($B13="","",ROW()-4)</f>
        <v/>
      </c>
      <c r="B13" s="53" t="n"/>
      <c r="C13" s="53" t="n"/>
      <c r="D13" s="56">
        <f>IF($B13="","",Consolidado!$E13)</f>
        <v/>
      </c>
      <c r="E13" s="52">
        <f>IF($B13="","",Consolidado!$J13)</f>
        <v/>
      </c>
      <c r="F13" s="53" t="n"/>
      <c r="G13" s="57" t="n"/>
      <c r="H13" s="52" t="n"/>
      <c r="I13" s="37" t="n"/>
      <c r="J13" s="37" t="n"/>
      <c r="K13" s="37" t="n"/>
      <c r="L13" s="3" t="n"/>
      <c r="M13" s="37" t="n"/>
      <c r="N13" s="53" t="n"/>
      <c r="O13" s="53" t="n"/>
      <c r="P13" s="53" t="n"/>
      <c r="Q13" s="53" t="n"/>
      <c r="R13" s="53" t="n"/>
      <c r="S13" s="53" t="n"/>
      <c r="T13" s="53" t="n"/>
      <c r="U13" s="53" t="n"/>
      <c r="V13" s="53" t="n"/>
      <c r="W13" s="53" t="n"/>
      <c r="X13" s="53" t="n"/>
      <c r="Y13" s="53" t="n"/>
      <c r="Z13" s="53" t="n"/>
    </row>
    <row r="14" ht="14.25" customHeight="1" s="65">
      <c r="A14" s="52">
        <f>IF($B14="","",ROW()-4)</f>
        <v/>
      </c>
      <c r="B14" s="53" t="n"/>
      <c r="C14" s="53" t="n"/>
      <c r="D14" s="56">
        <f>IF($B14="","",Consolidado!$E14)</f>
        <v/>
      </c>
      <c r="E14" s="52">
        <f>IF($B14="","",Consolidado!$J14)</f>
        <v/>
      </c>
      <c r="F14" s="53" t="n"/>
      <c r="G14" s="57" t="n"/>
      <c r="H14" s="52" t="n"/>
      <c r="I14" s="37" t="n"/>
      <c r="J14" s="37" t="n"/>
      <c r="K14" s="37" t="n"/>
      <c r="L14" s="3" t="n"/>
      <c r="M14" s="37" t="n"/>
      <c r="N14" s="53" t="n"/>
      <c r="O14" s="53" t="n"/>
      <c r="P14" s="53" t="n"/>
      <c r="Q14" s="53" t="n"/>
      <c r="R14" s="53" t="n"/>
      <c r="S14" s="53" t="n"/>
      <c r="T14" s="53" t="n"/>
      <c r="U14" s="53" t="n"/>
      <c r="V14" s="53" t="n"/>
      <c r="W14" s="53" t="n"/>
      <c r="X14" s="53" t="n"/>
      <c r="Y14" s="53" t="n"/>
      <c r="Z14" s="53" t="n"/>
    </row>
    <row r="15" ht="14.25" customHeight="1" s="65">
      <c r="A15" s="52">
        <f>IF($B15="","",ROW()-4)</f>
        <v/>
      </c>
      <c r="B15" s="53" t="n"/>
      <c r="C15" s="53" t="n"/>
      <c r="D15" s="56">
        <f>IF($B15="","",Consolidado!$E15)</f>
        <v/>
      </c>
      <c r="E15" s="52">
        <f>IF($B15="","",Consolidado!$J15)</f>
        <v/>
      </c>
      <c r="F15" s="53" t="n"/>
      <c r="G15" s="57" t="n"/>
      <c r="H15" s="52" t="n"/>
      <c r="I15" s="37" t="n"/>
      <c r="J15" s="37" t="n"/>
      <c r="K15" s="37" t="n"/>
      <c r="L15" s="3" t="n"/>
      <c r="M15" s="37" t="n"/>
      <c r="N15" s="53" t="n"/>
      <c r="O15" s="53" t="n"/>
      <c r="P15" s="53" t="n"/>
      <c r="Q15" s="53" t="n"/>
      <c r="R15" s="53" t="n"/>
      <c r="S15" s="53" t="n"/>
      <c r="T15" s="53" t="n"/>
      <c r="U15" s="53" t="n"/>
      <c r="V15" s="53" t="n"/>
      <c r="W15" s="53" t="n"/>
      <c r="X15" s="53" t="n"/>
      <c r="Y15" s="53" t="n"/>
      <c r="Z15" s="53" t="n"/>
    </row>
    <row r="16" ht="14.25" customHeight="1" s="65">
      <c r="A16" s="52">
        <f>IF($B16="","",ROW()-4)</f>
        <v/>
      </c>
      <c r="B16" s="53" t="n"/>
      <c r="C16" s="53" t="n"/>
      <c r="D16" s="56">
        <f>IF($B16="","",Consolidado!$E16)</f>
        <v/>
      </c>
      <c r="E16" s="52">
        <f>IF($B16="","",Consolidado!$J16)</f>
        <v/>
      </c>
      <c r="F16" s="53" t="n"/>
      <c r="G16" s="57" t="n"/>
      <c r="H16" s="52" t="n"/>
      <c r="I16" s="37" t="n"/>
      <c r="J16" s="37" t="n"/>
      <c r="K16" s="37" t="n"/>
      <c r="L16" s="3" t="n"/>
      <c r="M16" s="37" t="n"/>
      <c r="N16" s="53" t="n"/>
      <c r="O16" s="53" t="n"/>
      <c r="P16" s="53" t="n"/>
      <c r="Q16" s="53" t="n"/>
      <c r="R16" s="53" t="n"/>
      <c r="S16" s="53" t="n"/>
      <c r="T16" s="53" t="n"/>
      <c r="U16" s="53" t="n"/>
      <c r="V16" s="53" t="n"/>
      <c r="W16" s="53" t="n"/>
      <c r="X16" s="53" t="n"/>
      <c r="Y16" s="53" t="n"/>
      <c r="Z16" s="53" t="n"/>
    </row>
    <row r="17" ht="14.25" customHeight="1" s="65">
      <c r="A17" s="52">
        <f>IF($B17="","",ROW()-4)</f>
        <v/>
      </c>
      <c r="B17" s="53" t="n"/>
      <c r="C17" s="53" t="n"/>
      <c r="D17" s="56">
        <f>IF($B17="","",Consolidado!$E17)</f>
        <v/>
      </c>
      <c r="E17" s="52">
        <f>IF($B17="","",Consolidado!$J17)</f>
        <v/>
      </c>
      <c r="F17" s="53" t="n"/>
      <c r="G17" s="57" t="n"/>
      <c r="H17" s="52" t="n"/>
      <c r="I17" s="37" t="n"/>
      <c r="J17" s="37" t="n"/>
      <c r="K17" s="37" t="n"/>
      <c r="L17" s="3" t="n"/>
      <c r="M17" s="37" t="n"/>
      <c r="N17" s="53" t="n"/>
      <c r="O17" s="53" t="n"/>
      <c r="P17" s="53" t="n"/>
      <c r="Q17" s="53" t="n"/>
      <c r="R17" s="53" t="n"/>
      <c r="S17" s="53" t="n"/>
      <c r="T17" s="53" t="n"/>
      <c r="U17" s="53" t="n"/>
      <c r="V17" s="53" t="n"/>
      <c r="W17" s="53" t="n"/>
      <c r="X17" s="53" t="n"/>
      <c r="Y17" s="53" t="n"/>
      <c r="Z17" s="53" t="n"/>
    </row>
    <row r="18" ht="14.25" customHeight="1" s="65">
      <c r="A18" s="52">
        <f>IF($B18="","",ROW()-4)</f>
        <v/>
      </c>
      <c r="B18" s="53" t="n"/>
      <c r="C18" s="53" t="n"/>
      <c r="D18" s="56">
        <f>IF($B18="","",Consolidado!$E18)</f>
        <v/>
      </c>
      <c r="E18" s="52">
        <f>IF($B18="","",Consolidado!$J18)</f>
        <v/>
      </c>
      <c r="F18" s="53" t="n"/>
      <c r="G18" s="57" t="n"/>
      <c r="H18" s="52" t="n"/>
      <c r="I18" s="37" t="n"/>
      <c r="J18" s="37" t="n"/>
      <c r="K18" s="37" t="n"/>
      <c r="L18" s="3" t="n"/>
      <c r="M18" s="37" t="n"/>
      <c r="N18" s="53" t="n"/>
      <c r="O18" s="53" t="n"/>
      <c r="P18" s="53" t="n"/>
      <c r="Q18" s="53" t="n"/>
      <c r="R18" s="53" t="n"/>
      <c r="S18" s="53" t="n"/>
      <c r="T18" s="53" t="n"/>
      <c r="U18" s="53" t="n"/>
      <c r="V18" s="53" t="n"/>
      <c r="W18" s="53" t="n"/>
      <c r="X18" s="53" t="n"/>
      <c r="Y18" s="53" t="n"/>
      <c r="Z18" s="53" t="n"/>
    </row>
    <row r="19" ht="14.25" customHeight="1" s="65">
      <c r="A19" s="52">
        <f>IF($B19="","",ROW()-4)</f>
        <v/>
      </c>
      <c r="B19" s="53" t="n"/>
      <c r="C19" s="53" t="n"/>
      <c r="D19" s="56">
        <f>IF($B19="","",Consolidado!$E19)</f>
        <v/>
      </c>
      <c r="E19" s="52">
        <f>IF($B19="","",Consolidado!$J19)</f>
        <v/>
      </c>
      <c r="F19" s="53" t="n"/>
      <c r="G19" s="57" t="n"/>
      <c r="H19" s="52" t="n"/>
      <c r="I19" s="37" t="n"/>
      <c r="J19" s="37" t="n"/>
      <c r="K19" s="37" t="n"/>
      <c r="L19" s="3" t="n"/>
      <c r="M19" s="37" t="n"/>
      <c r="N19" s="53" t="n"/>
      <c r="O19" s="53" t="n"/>
      <c r="P19" s="53" t="n"/>
      <c r="Q19" s="53" t="n"/>
      <c r="R19" s="53" t="n"/>
      <c r="S19" s="53" t="n"/>
      <c r="T19" s="53" t="n"/>
      <c r="U19" s="53" t="n"/>
      <c r="V19" s="53" t="n"/>
      <c r="W19" s="53" t="n"/>
      <c r="X19" s="53" t="n"/>
      <c r="Y19" s="53" t="n"/>
      <c r="Z19" s="53" t="n"/>
    </row>
    <row r="20" ht="14.25" customHeight="1" s="65">
      <c r="A20" s="52">
        <f>IF($B20="","",ROW()-4)</f>
        <v/>
      </c>
      <c r="B20" s="53" t="n"/>
      <c r="C20" s="53" t="n"/>
      <c r="D20" s="56">
        <f>IF($B20="","",Consolidado!$E20)</f>
        <v/>
      </c>
      <c r="E20" s="52">
        <f>IF($B20="","",Consolidado!$J20)</f>
        <v/>
      </c>
      <c r="F20" s="53" t="n"/>
      <c r="G20" s="57" t="n"/>
      <c r="H20" s="52" t="n"/>
      <c r="I20" s="37" t="n"/>
      <c r="J20" s="37" t="n"/>
      <c r="K20" s="37" t="n"/>
      <c r="L20" s="3" t="n"/>
      <c r="M20" s="37" t="n"/>
      <c r="N20" s="53" t="n"/>
      <c r="O20" s="53" t="n"/>
      <c r="P20" s="53" t="n"/>
      <c r="Q20" s="53" t="n"/>
      <c r="R20" s="53" t="n"/>
      <c r="S20" s="53" t="n"/>
      <c r="T20" s="53" t="n"/>
      <c r="U20" s="53" t="n"/>
      <c r="V20" s="53" t="n"/>
      <c r="W20" s="53" t="n"/>
      <c r="X20" s="53" t="n"/>
      <c r="Y20" s="53" t="n"/>
      <c r="Z20" s="53" t="n"/>
    </row>
    <row r="21" ht="14.25" customHeight="1" s="65">
      <c r="A21" s="52">
        <f>IF($B21="","",ROW()-4)</f>
        <v/>
      </c>
      <c r="B21" s="53" t="n"/>
      <c r="C21" s="53" t="n"/>
      <c r="D21" s="56">
        <f>IF($B21="","",Consolidado!$E21)</f>
        <v/>
      </c>
      <c r="E21" s="52">
        <f>IF($B21="","",Consolidado!$J21)</f>
        <v/>
      </c>
      <c r="F21" s="53" t="n"/>
      <c r="G21" s="57" t="n"/>
      <c r="H21" s="52" t="n"/>
      <c r="I21" s="37" t="n"/>
      <c r="J21" s="37" t="n"/>
      <c r="K21" s="37" t="n"/>
      <c r="L21" s="3" t="n"/>
      <c r="M21" s="37" t="n"/>
      <c r="N21" s="53" t="n"/>
      <c r="O21" s="53" t="n"/>
      <c r="P21" s="53" t="n"/>
      <c r="Q21" s="53" t="n"/>
      <c r="R21" s="53" t="n"/>
      <c r="S21" s="53" t="n"/>
      <c r="T21" s="53" t="n"/>
      <c r="U21" s="53" t="n"/>
      <c r="V21" s="53" t="n"/>
      <c r="W21" s="53" t="n"/>
      <c r="X21" s="53" t="n"/>
      <c r="Y21" s="53" t="n"/>
      <c r="Z21" s="53" t="n"/>
    </row>
    <row r="22" ht="14.25" customHeight="1" s="65">
      <c r="A22" s="52">
        <f>IF($B22="","",ROW()-4)</f>
        <v/>
      </c>
      <c r="B22" s="53" t="n"/>
      <c r="C22" s="53" t="n"/>
      <c r="D22" s="56">
        <f>IF($B22="","",Consolidado!$E22)</f>
        <v/>
      </c>
      <c r="E22" s="52">
        <f>IF($B22="","",Consolidado!$J22)</f>
        <v/>
      </c>
      <c r="F22" s="53" t="n"/>
      <c r="G22" s="57" t="n"/>
      <c r="H22" s="52" t="n"/>
      <c r="I22" s="37" t="n"/>
      <c r="J22" s="37" t="n"/>
      <c r="K22" s="37" t="n"/>
      <c r="L22" s="3" t="n"/>
      <c r="M22" s="37" t="n"/>
      <c r="N22" s="53" t="n"/>
      <c r="O22" s="53" t="n"/>
      <c r="P22" s="53" t="n"/>
      <c r="Q22" s="53" t="n"/>
      <c r="R22" s="53" t="n"/>
      <c r="S22" s="53" t="n"/>
      <c r="T22" s="53" t="n"/>
      <c r="U22" s="53" t="n"/>
      <c r="V22" s="53" t="n"/>
      <c r="W22" s="53" t="n"/>
      <c r="X22" s="53" t="n"/>
      <c r="Y22" s="53" t="n"/>
      <c r="Z22" s="53" t="n"/>
    </row>
    <row r="23" ht="14.25" customHeight="1" s="65">
      <c r="A23" s="52">
        <f>IF($B23="","",ROW()-4)</f>
        <v/>
      </c>
      <c r="B23" s="53" t="n"/>
      <c r="C23" s="53" t="n"/>
      <c r="D23" s="56">
        <f>IF($B23="","",Consolidado!$E23)</f>
        <v/>
      </c>
      <c r="E23" s="52">
        <f>IF($B23="","",Consolidado!$J23)</f>
        <v/>
      </c>
      <c r="F23" s="53" t="n"/>
      <c r="G23" s="57" t="n"/>
      <c r="H23" s="52" t="n"/>
      <c r="I23" s="37" t="n"/>
      <c r="J23" s="37" t="n"/>
      <c r="K23" s="37" t="n"/>
      <c r="L23" s="3" t="n"/>
      <c r="M23" s="37" t="n"/>
      <c r="N23" s="53" t="n"/>
      <c r="O23" s="53" t="n"/>
      <c r="P23" s="53" t="n"/>
      <c r="Q23" s="53" t="n"/>
      <c r="R23" s="53" t="n"/>
      <c r="S23" s="53" t="n"/>
      <c r="T23" s="53" t="n"/>
      <c r="U23" s="53" t="n"/>
      <c r="V23" s="53" t="n"/>
      <c r="W23" s="53" t="n"/>
      <c r="X23" s="53" t="n"/>
      <c r="Y23" s="53" t="n"/>
      <c r="Z23" s="53" t="n"/>
    </row>
    <row r="24" ht="14.25" customHeight="1" s="65">
      <c r="A24" s="52">
        <f>IF($B24="","",ROW()-4)</f>
        <v/>
      </c>
      <c r="B24" s="53" t="n"/>
      <c r="C24" s="53" t="n"/>
      <c r="D24" s="56">
        <f>IF($B24="","",Consolidado!$E24)</f>
        <v/>
      </c>
      <c r="E24" s="52">
        <f>IF($B24="","",Consolidado!$J24)</f>
        <v/>
      </c>
      <c r="F24" s="53" t="n"/>
      <c r="G24" s="57" t="n"/>
      <c r="H24" s="52" t="n"/>
      <c r="I24" s="37" t="n"/>
      <c r="J24" s="37" t="n"/>
      <c r="K24" s="37" t="n"/>
      <c r="L24" s="3" t="n"/>
      <c r="M24" s="37" t="n"/>
      <c r="N24" s="53" t="n"/>
      <c r="O24" s="53" t="n"/>
      <c r="P24" s="53" t="n"/>
      <c r="Q24" s="53" t="n"/>
      <c r="R24" s="53" t="n"/>
      <c r="S24" s="53" t="n"/>
      <c r="T24" s="53" t="n"/>
      <c r="U24" s="53" t="n"/>
      <c r="V24" s="53" t="n"/>
      <c r="W24" s="53" t="n"/>
      <c r="X24" s="53" t="n"/>
      <c r="Y24" s="53" t="n"/>
      <c r="Z24" s="53" t="n"/>
    </row>
    <row r="25" ht="14.25" customHeight="1" s="65">
      <c r="A25" s="52">
        <f>IF($B25="","",ROW()-4)</f>
        <v/>
      </c>
      <c r="B25" s="53" t="n"/>
      <c r="C25" s="53" t="n"/>
      <c r="D25" s="56">
        <f>IF($B25="","",Consolidado!$E25)</f>
        <v/>
      </c>
      <c r="E25" s="52">
        <f>IF($B25="","",Consolidado!$J25)</f>
        <v/>
      </c>
      <c r="F25" s="53" t="n"/>
      <c r="G25" s="57" t="n"/>
      <c r="H25" s="52" t="n"/>
      <c r="I25" s="37" t="n"/>
      <c r="J25" s="37" t="n"/>
      <c r="K25" s="37" t="n"/>
      <c r="L25" s="3" t="n"/>
      <c r="M25" s="37" t="n"/>
      <c r="N25" s="53" t="n"/>
      <c r="O25" s="53" t="n"/>
      <c r="P25" s="53" t="n"/>
      <c r="Q25" s="53" t="n"/>
      <c r="R25" s="53" t="n"/>
      <c r="S25" s="53" t="n"/>
      <c r="T25" s="53" t="n"/>
      <c r="U25" s="53" t="n"/>
      <c r="V25" s="53" t="n"/>
      <c r="W25" s="53" t="n"/>
      <c r="X25" s="53" t="n"/>
      <c r="Y25" s="53" t="n"/>
      <c r="Z25" s="53" t="n"/>
    </row>
    <row r="26" ht="14.25" customHeight="1" s="65">
      <c r="A26" s="52">
        <f>IF($B26="","",ROW()-4)</f>
        <v/>
      </c>
      <c r="B26" s="3">
        <f>IF(Consolidado!$B26="","",Consolidado!$B26)</f>
        <v/>
      </c>
      <c r="C26" s="56" t="n"/>
      <c r="D26" s="56">
        <f>IF($B26="","",Consolidado!$E26)</f>
        <v/>
      </c>
      <c r="E26" s="52">
        <f>IF($B26="","",Consolidado!$J26)</f>
        <v/>
      </c>
      <c r="F26" s="53" t="n"/>
      <c r="G26" s="57" t="n"/>
      <c r="H26" s="52" t="n"/>
      <c r="I26" s="37" t="n"/>
      <c r="J26" s="37" t="n"/>
      <c r="K26" s="37" t="n"/>
      <c r="L26" s="3" t="n"/>
      <c r="M26" s="37" t="n"/>
      <c r="N26" s="53" t="n"/>
      <c r="O26" s="53" t="n"/>
      <c r="P26" s="53" t="n"/>
      <c r="Q26" s="53" t="n"/>
      <c r="R26" s="53" t="n"/>
      <c r="S26" s="53" t="n"/>
      <c r="T26" s="53" t="n"/>
      <c r="U26" s="53" t="n"/>
      <c r="V26" s="53" t="n"/>
      <c r="W26" s="53" t="n"/>
      <c r="X26" s="53" t="n"/>
      <c r="Y26" s="53" t="n"/>
      <c r="Z26" s="53" t="n"/>
    </row>
    <row r="27" ht="14.25" customHeight="1" s="65">
      <c r="A27" s="52">
        <f>IF($B27="","",ROW()-4)</f>
        <v/>
      </c>
      <c r="B27" s="3">
        <f>IF(Consolidado!$B27="","",Consolidado!$B27)</f>
        <v/>
      </c>
      <c r="C27" s="56" t="n"/>
      <c r="D27" s="56">
        <f>IF($B27="","",Consolidado!$E27)</f>
        <v/>
      </c>
      <c r="E27" s="52">
        <f>IF($B27="","",Consolidado!$J27)</f>
        <v/>
      </c>
      <c r="F27" s="53" t="n"/>
      <c r="G27" s="57" t="n"/>
      <c r="H27" s="52" t="n"/>
      <c r="I27" s="37" t="n"/>
      <c r="J27" s="37" t="n"/>
      <c r="K27" s="37" t="n"/>
      <c r="L27" s="3" t="n"/>
      <c r="M27" s="37" t="n"/>
      <c r="N27" s="53" t="n"/>
      <c r="O27" s="53" t="n"/>
      <c r="P27" s="53" t="n"/>
      <c r="Q27" s="53" t="n"/>
      <c r="R27" s="53" t="n"/>
      <c r="S27" s="53" t="n"/>
      <c r="T27" s="53" t="n"/>
      <c r="U27" s="53" t="n"/>
      <c r="V27" s="53" t="n"/>
      <c r="W27" s="53" t="n"/>
      <c r="X27" s="53" t="n"/>
      <c r="Y27" s="53" t="n"/>
      <c r="Z27" s="53" t="n"/>
    </row>
    <row r="28" ht="14.25" customHeight="1" s="65">
      <c r="A28" s="52">
        <f>IF($B28="","",ROW()-4)</f>
        <v/>
      </c>
      <c r="B28" s="3">
        <f>IF(Consolidado!$B28="","",Consolidado!$B28)</f>
        <v/>
      </c>
      <c r="C28" s="56" t="n"/>
      <c r="D28" s="56">
        <f>IF($B28="","",Consolidado!$E28)</f>
        <v/>
      </c>
      <c r="E28" s="52">
        <f>IF($B28="","",Consolidado!$J28)</f>
        <v/>
      </c>
      <c r="F28" s="53" t="n"/>
      <c r="G28" s="57" t="n"/>
      <c r="H28" s="52" t="n"/>
      <c r="I28" s="37" t="n"/>
      <c r="J28" s="37" t="n"/>
      <c r="K28" s="37" t="n"/>
      <c r="L28" s="3" t="n"/>
      <c r="M28" s="37" t="n"/>
      <c r="N28" s="53" t="n"/>
      <c r="O28" s="53" t="n"/>
      <c r="P28" s="53" t="n"/>
      <c r="Q28" s="53" t="n"/>
      <c r="R28" s="53" t="n"/>
      <c r="S28" s="53" t="n"/>
      <c r="T28" s="53" t="n"/>
      <c r="U28" s="53" t="n"/>
      <c r="V28" s="53" t="n"/>
      <c r="W28" s="53" t="n"/>
      <c r="X28" s="53" t="n"/>
      <c r="Y28" s="53" t="n"/>
      <c r="Z28" s="53" t="n"/>
    </row>
    <row r="29" ht="14.25" customHeight="1" s="65">
      <c r="A29" s="52">
        <f>IF($B29="","",ROW()-4)</f>
        <v/>
      </c>
      <c r="B29" s="3">
        <f>IF(Consolidado!$B29="","",Consolidado!$B29)</f>
        <v/>
      </c>
      <c r="C29" s="56" t="n"/>
      <c r="D29" s="56">
        <f>IF($B29="","",Consolidado!$E29)</f>
        <v/>
      </c>
      <c r="E29" s="52">
        <f>IF($B29="","",Consolidado!$J29)</f>
        <v/>
      </c>
      <c r="F29" s="53" t="n"/>
      <c r="G29" s="57" t="n"/>
      <c r="H29" s="52" t="n"/>
      <c r="I29" s="37" t="n"/>
      <c r="J29" s="37" t="n"/>
      <c r="K29" s="37" t="n"/>
      <c r="L29" s="3" t="n"/>
      <c r="M29" s="37" t="n"/>
      <c r="N29" s="53" t="n"/>
      <c r="O29" s="53" t="n"/>
      <c r="P29" s="53" t="n"/>
      <c r="Q29" s="53" t="n"/>
      <c r="R29" s="53" t="n"/>
      <c r="S29" s="53" t="n"/>
      <c r="T29" s="53" t="n"/>
      <c r="U29" s="53" t="n"/>
      <c r="V29" s="53" t="n"/>
      <c r="W29" s="53" t="n"/>
      <c r="X29" s="53" t="n"/>
      <c r="Y29" s="53" t="n"/>
      <c r="Z29" s="53" t="n"/>
    </row>
    <row r="30" ht="14.25" customHeight="1" s="65">
      <c r="A30" s="52">
        <f>IF($B30="","",ROW()-4)</f>
        <v/>
      </c>
      <c r="B30" s="3">
        <f>IF(Consolidado!$B30="","",Consolidado!$B30)</f>
        <v/>
      </c>
      <c r="C30" s="56" t="n"/>
      <c r="D30" s="56">
        <f>IF($B30="","",Consolidado!$E30)</f>
        <v/>
      </c>
      <c r="E30" s="52">
        <f>IF($B30="","",Consolidado!$J30)</f>
        <v/>
      </c>
      <c r="F30" s="53" t="n"/>
      <c r="G30" s="57" t="n"/>
      <c r="H30" s="52" t="n"/>
      <c r="I30" s="37" t="n"/>
      <c r="J30" s="37" t="n"/>
      <c r="K30" s="37" t="n"/>
      <c r="L30" s="3" t="n"/>
      <c r="M30" s="37" t="n"/>
      <c r="N30" s="53" t="n"/>
      <c r="O30" s="53" t="n"/>
      <c r="P30" s="53" t="n"/>
      <c r="Q30" s="53" t="n"/>
      <c r="R30" s="53" t="n"/>
      <c r="S30" s="53" t="n"/>
      <c r="T30" s="53" t="n"/>
      <c r="U30" s="53" t="n"/>
      <c r="V30" s="53" t="n"/>
      <c r="W30" s="53" t="n"/>
      <c r="X30" s="53" t="n"/>
      <c r="Y30" s="53" t="n"/>
      <c r="Z30" s="53" t="n"/>
    </row>
    <row r="31" ht="14.25" customHeight="1" s="65">
      <c r="A31" s="52">
        <f>IF($B31="","",ROW()-4)</f>
        <v/>
      </c>
      <c r="B31" s="3">
        <f>IF(Consolidado!$B31="","",Consolidado!$B31)</f>
        <v/>
      </c>
      <c r="C31" s="56" t="n"/>
      <c r="D31" s="56">
        <f>IF($B31="","",Consolidado!$E31)</f>
        <v/>
      </c>
      <c r="E31" s="52">
        <f>IF($B31="","",Consolidado!$J31)</f>
        <v/>
      </c>
      <c r="F31" s="53" t="n"/>
      <c r="G31" s="57" t="n"/>
      <c r="H31" s="52" t="n"/>
      <c r="I31" s="37" t="n"/>
      <c r="J31" s="37" t="n"/>
      <c r="K31" s="37" t="n"/>
      <c r="L31" s="3" t="n"/>
      <c r="M31" s="37" t="n"/>
      <c r="N31" s="53" t="n"/>
      <c r="O31" s="53" t="n"/>
      <c r="P31" s="53" t="n"/>
      <c r="Q31" s="53" t="n"/>
      <c r="R31" s="53" t="n"/>
      <c r="S31" s="53" t="n"/>
      <c r="T31" s="53" t="n"/>
      <c r="U31" s="53" t="n"/>
      <c r="V31" s="53" t="n"/>
      <c r="W31" s="53" t="n"/>
      <c r="X31" s="53" t="n"/>
      <c r="Y31" s="53" t="n"/>
      <c r="Z31" s="53" t="n"/>
    </row>
    <row r="32" ht="14.25" customHeight="1" s="65">
      <c r="A32" s="52">
        <f>IF($B32="","",ROW()-4)</f>
        <v/>
      </c>
      <c r="B32" s="3">
        <f>IF(Consolidado!$B32="","",Consolidado!$B32)</f>
        <v/>
      </c>
      <c r="C32" s="56" t="n"/>
      <c r="D32" s="56">
        <f>IF($B32="","",Consolidado!$E32)</f>
        <v/>
      </c>
      <c r="E32" s="52">
        <f>IF($B32="","",Consolidado!$J32)</f>
        <v/>
      </c>
      <c r="F32" s="53" t="n"/>
      <c r="G32" s="57" t="n"/>
      <c r="H32" s="52" t="n"/>
      <c r="I32" s="37" t="n"/>
      <c r="J32" s="37" t="n"/>
      <c r="K32" s="37" t="n"/>
      <c r="L32" s="3" t="n"/>
      <c r="M32" s="37" t="n"/>
      <c r="N32" s="53" t="n"/>
      <c r="O32" s="53" t="n"/>
      <c r="P32" s="53" t="n"/>
      <c r="Q32" s="53" t="n"/>
      <c r="R32" s="53" t="n"/>
      <c r="S32" s="53" t="n"/>
      <c r="T32" s="53" t="n"/>
      <c r="U32" s="53" t="n"/>
      <c r="V32" s="53" t="n"/>
      <c r="W32" s="53" t="n"/>
      <c r="X32" s="53" t="n"/>
      <c r="Y32" s="53" t="n"/>
      <c r="Z32" s="53" t="n"/>
    </row>
    <row r="33" ht="14.25" customHeight="1" s="65">
      <c r="A33" s="52">
        <f>IF($B33="","",ROW()-4)</f>
        <v/>
      </c>
      <c r="B33" s="3">
        <f>IF(Consolidado!$B33="","",Consolidado!$B33)</f>
        <v/>
      </c>
      <c r="C33" s="56" t="n"/>
      <c r="D33" s="56">
        <f>IF($B33="","",Consolidado!$E33)</f>
        <v/>
      </c>
      <c r="E33" s="52">
        <f>IF($B33="","",Consolidado!$J33)</f>
        <v/>
      </c>
      <c r="F33" s="53" t="n"/>
      <c r="G33" s="57" t="n"/>
      <c r="H33" s="52" t="n"/>
      <c r="I33" s="37" t="n"/>
      <c r="J33" s="37" t="n"/>
      <c r="K33" s="37" t="n"/>
      <c r="L33" s="3" t="n"/>
      <c r="M33" s="37" t="n"/>
      <c r="N33" s="53" t="n"/>
      <c r="O33" s="53" t="n"/>
      <c r="P33" s="53" t="n"/>
      <c r="Q33" s="53" t="n"/>
      <c r="R33" s="53" t="n"/>
      <c r="S33" s="53" t="n"/>
      <c r="T33" s="53" t="n"/>
      <c r="U33" s="53" t="n"/>
      <c r="V33" s="53" t="n"/>
      <c r="W33" s="53" t="n"/>
      <c r="X33" s="53" t="n"/>
      <c r="Y33" s="53" t="n"/>
      <c r="Z33" s="53" t="n"/>
    </row>
    <row r="34" ht="14.25" customHeight="1" s="65">
      <c r="A34" s="52">
        <f>IF($B34="","",ROW()-4)</f>
        <v/>
      </c>
      <c r="B34" s="3">
        <f>IF(Consolidado!$B34="","",Consolidado!$B34)</f>
        <v/>
      </c>
      <c r="C34" s="56" t="n"/>
      <c r="D34" s="56">
        <f>IF($B34="","",Consolidado!$E34)</f>
        <v/>
      </c>
      <c r="E34" s="52">
        <f>IF($B34="","",Consolidado!$J34)</f>
        <v/>
      </c>
      <c r="F34" s="53" t="n"/>
      <c r="G34" s="57" t="n"/>
      <c r="H34" s="52" t="n"/>
      <c r="I34" s="37" t="n"/>
      <c r="J34" s="37" t="n"/>
      <c r="K34" s="37" t="n"/>
      <c r="L34" s="3" t="n"/>
      <c r="M34" s="37" t="n"/>
      <c r="N34" s="53" t="n"/>
      <c r="O34" s="53" t="n"/>
      <c r="P34" s="53" t="n"/>
      <c r="Q34" s="53" t="n"/>
      <c r="R34" s="53" t="n"/>
      <c r="S34" s="53" t="n"/>
      <c r="T34" s="53" t="n"/>
      <c r="U34" s="53" t="n"/>
      <c r="V34" s="53" t="n"/>
      <c r="W34" s="53" t="n"/>
      <c r="X34" s="53" t="n"/>
      <c r="Y34" s="53" t="n"/>
      <c r="Z34" s="53" t="n"/>
    </row>
    <row r="35" ht="14.25" customHeight="1" s="65">
      <c r="A35" s="52">
        <f>IF($B35="","",ROW()-4)</f>
        <v/>
      </c>
      <c r="B35" s="3">
        <f>IF(Consolidado!$B35="","",Consolidado!$B35)</f>
        <v/>
      </c>
      <c r="C35" s="56" t="n"/>
      <c r="D35" s="56">
        <f>IF($B35="","",Consolidado!$E35)</f>
        <v/>
      </c>
      <c r="E35" s="52">
        <f>IF($B35="","",Consolidado!$J35)</f>
        <v/>
      </c>
      <c r="F35" s="53" t="n"/>
      <c r="G35" s="57" t="n"/>
      <c r="H35" s="52" t="n"/>
      <c r="I35" s="37" t="n"/>
      <c r="J35" s="37" t="n"/>
      <c r="K35" s="37" t="n"/>
      <c r="L35" s="3" t="n"/>
      <c r="M35" s="37" t="n"/>
      <c r="N35" s="53" t="n"/>
      <c r="O35" s="53" t="n"/>
      <c r="P35" s="53" t="n"/>
      <c r="Q35" s="53" t="n"/>
      <c r="R35" s="53" t="n"/>
      <c r="S35" s="53" t="n"/>
      <c r="T35" s="53" t="n"/>
      <c r="U35" s="53" t="n"/>
      <c r="V35" s="53" t="n"/>
      <c r="W35" s="53" t="n"/>
      <c r="X35" s="53" t="n"/>
      <c r="Y35" s="53" t="n"/>
      <c r="Z35" s="53" t="n"/>
    </row>
    <row r="36" ht="14.25" customHeight="1" s="65">
      <c r="A36" s="52">
        <f>IF($B36="","",ROW()-4)</f>
        <v/>
      </c>
      <c r="B36" s="3">
        <f>IF(Consolidado!$B36="","",Consolidado!$B36)</f>
        <v/>
      </c>
      <c r="C36" s="56" t="n"/>
      <c r="D36" s="56">
        <f>IF($B36="","",Consolidado!$E36)</f>
        <v/>
      </c>
      <c r="E36" s="52">
        <f>IF($B36="","",Consolidado!$J36)</f>
        <v/>
      </c>
      <c r="F36" s="53" t="n"/>
      <c r="G36" s="57" t="n"/>
      <c r="H36" s="52" t="n"/>
      <c r="I36" s="37" t="n"/>
      <c r="J36" s="37" t="n"/>
      <c r="K36" s="37" t="n"/>
      <c r="L36" s="3" t="n"/>
      <c r="M36" s="37" t="n"/>
      <c r="N36" s="53" t="n"/>
      <c r="O36" s="53" t="n"/>
      <c r="P36" s="53" t="n"/>
      <c r="Q36" s="53" t="n"/>
      <c r="R36" s="53" t="n"/>
      <c r="S36" s="53" t="n"/>
      <c r="T36" s="53" t="n"/>
      <c r="U36" s="53" t="n"/>
      <c r="V36" s="53" t="n"/>
      <c r="W36" s="53" t="n"/>
      <c r="X36" s="53" t="n"/>
      <c r="Y36" s="53" t="n"/>
      <c r="Z36" s="53" t="n"/>
    </row>
    <row r="37" ht="14.25" customHeight="1" s="65">
      <c r="A37" s="52">
        <f>IF($B37="","",ROW()-4)</f>
        <v/>
      </c>
      <c r="B37" s="3">
        <f>IF(Consolidado!$B37="","",Consolidado!$B37)</f>
        <v/>
      </c>
      <c r="C37" s="56" t="n"/>
      <c r="D37" s="56">
        <f>IF($B37="","",Consolidado!$E37)</f>
        <v/>
      </c>
      <c r="E37" s="52">
        <f>IF($B37="","",Consolidado!$J37)</f>
        <v/>
      </c>
      <c r="F37" s="53" t="n"/>
      <c r="G37" s="57" t="n"/>
      <c r="H37" s="52" t="n"/>
      <c r="I37" s="37" t="n"/>
      <c r="J37" s="37" t="n"/>
      <c r="K37" s="37" t="n"/>
      <c r="L37" s="3" t="n"/>
      <c r="M37" s="37" t="n"/>
      <c r="N37" s="53" t="n"/>
      <c r="O37" s="53" t="n"/>
      <c r="P37" s="53" t="n"/>
      <c r="Q37" s="53" t="n"/>
      <c r="R37" s="53" t="n"/>
      <c r="S37" s="53" t="n"/>
      <c r="T37" s="53" t="n"/>
      <c r="U37" s="53" t="n"/>
      <c r="V37" s="53" t="n"/>
      <c r="W37" s="53" t="n"/>
      <c r="X37" s="53" t="n"/>
      <c r="Y37" s="53" t="n"/>
      <c r="Z37" s="53" t="n"/>
    </row>
    <row r="38" ht="14.25" customHeight="1" s="65">
      <c r="A38" s="52">
        <f>IF($B38="","",ROW()-4)</f>
        <v/>
      </c>
      <c r="B38" s="3">
        <f>IF(Consolidado!$B38="","",Consolidado!$B38)</f>
        <v/>
      </c>
      <c r="C38" s="56" t="n"/>
      <c r="D38" s="56">
        <f>IF($B38="","",Consolidado!$E38)</f>
        <v/>
      </c>
      <c r="E38" s="52">
        <f>IF($B38="","",Consolidado!$J38)</f>
        <v/>
      </c>
      <c r="F38" s="53" t="n"/>
      <c r="G38" s="57" t="n"/>
      <c r="H38" s="52" t="n"/>
      <c r="I38" s="37" t="n"/>
      <c r="J38" s="37" t="n"/>
      <c r="K38" s="37" t="n"/>
      <c r="L38" s="3" t="n"/>
      <c r="M38" s="37" t="n"/>
      <c r="N38" s="53" t="n"/>
      <c r="O38" s="53" t="n"/>
      <c r="P38" s="53" t="n"/>
      <c r="Q38" s="53" t="n"/>
      <c r="R38" s="53" t="n"/>
      <c r="S38" s="53" t="n"/>
      <c r="T38" s="53" t="n"/>
      <c r="U38" s="53" t="n"/>
      <c r="V38" s="53" t="n"/>
      <c r="W38" s="53" t="n"/>
      <c r="X38" s="53" t="n"/>
      <c r="Y38" s="53" t="n"/>
      <c r="Z38" s="53" t="n"/>
    </row>
    <row r="39" ht="14.25" customHeight="1" s="65">
      <c r="A39" s="52">
        <f>IF($B39="","",ROW()-4)</f>
        <v/>
      </c>
      <c r="B39" s="3">
        <f>IF(Consolidado!$B39="","",Consolidado!$B39)</f>
        <v/>
      </c>
      <c r="C39" s="56" t="n"/>
      <c r="D39" s="56">
        <f>IF($B39="","",Consolidado!$E39)</f>
        <v/>
      </c>
      <c r="E39" s="52">
        <f>IF($B39="","",Consolidado!$J39)</f>
        <v/>
      </c>
      <c r="F39" s="53" t="n"/>
      <c r="G39" s="57" t="n"/>
      <c r="H39" s="52" t="n"/>
      <c r="I39" s="37" t="n"/>
      <c r="J39" s="37" t="n"/>
      <c r="K39" s="37" t="n"/>
      <c r="L39" s="3" t="n"/>
      <c r="M39" s="37" t="n"/>
      <c r="N39" s="53" t="n"/>
      <c r="O39" s="53" t="n"/>
      <c r="P39" s="53" t="n"/>
      <c r="Q39" s="53" t="n"/>
      <c r="R39" s="53" t="n"/>
      <c r="S39" s="53" t="n"/>
      <c r="T39" s="53" t="n"/>
      <c r="U39" s="53" t="n"/>
      <c r="V39" s="53" t="n"/>
      <c r="W39" s="53" t="n"/>
      <c r="X39" s="53" t="n"/>
      <c r="Y39" s="53" t="n"/>
      <c r="Z39" s="53" t="n"/>
    </row>
    <row r="40" ht="14.25" customHeight="1" s="65">
      <c r="A40" s="52">
        <f>IF($B40="","",ROW()-4)</f>
        <v/>
      </c>
      <c r="B40" s="3">
        <f>IF(Consolidado!$B40="","",Consolidado!$B40)</f>
        <v/>
      </c>
      <c r="C40" s="56" t="n"/>
      <c r="D40" s="56">
        <f>IF($B40="","",Consolidado!$E40)</f>
        <v/>
      </c>
      <c r="E40" s="52">
        <f>IF($B40="","",Consolidado!$J40)</f>
        <v/>
      </c>
      <c r="F40" s="53" t="n"/>
      <c r="G40" s="57" t="n"/>
      <c r="H40" s="52" t="n"/>
      <c r="I40" s="37" t="n"/>
      <c r="J40" s="37" t="n"/>
      <c r="K40" s="37" t="n"/>
      <c r="L40" s="3" t="n"/>
      <c r="M40" s="37" t="n"/>
      <c r="N40" s="53" t="n"/>
      <c r="O40" s="53" t="n"/>
      <c r="P40" s="53" t="n"/>
      <c r="Q40" s="53" t="n"/>
      <c r="R40" s="53" t="n"/>
      <c r="S40" s="53" t="n"/>
      <c r="T40" s="53" t="n"/>
      <c r="U40" s="53" t="n"/>
      <c r="V40" s="53" t="n"/>
      <c r="W40" s="53" t="n"/>
      <c r="X40" s="53" t="n"/>
      <c r="Y40" s="53" t="n"/>
      <c r="Z40" s="53" t="n"/>
    </row>
    <row r="41" ht="14.25" customHeight="1" s="65">
      <c r="A41" s="52">
        <f>IF($B41="","",ROW()-4)</f>
        <v/>
      </c>
      <c r="B41" s="3">
        <f>IF(Consolidado!$B41="","",Consolidado!$B41)</f>
        <v/>
      </c>
      <c r="C41" s="56" t="n"/>
      <c r="D41" s="56">
        <f>IF($B41="","",Consolidado!$E41)</f>
        <v/>
      </c>
      <c r="E41" s="52">
        <f>IF($B41="","",Consolidado!$J41)</f>
        <v/>
      </c>
      <c r="F41" s="53" t="n"/>
      <c r="G41" s="57" t="n"/>
      <c r="H41" s="52" t="n"/>
      <c r="I41" s="37" t="n"/>
      <c r="J41" s="37" t="n"/>
      <c r="K41" s="37" t="n"/>
      <c r="L41" s="3" t="n"/>
      <c r="M41" s="37" t="n"/>
      <c r="N41" s="53" t="n"/>
      <c r="O41" s="53" t="n"/>
      <c r="P41" s="53" t="n"/>
      <c r="Q41" s="53" t="n"/>
      <c r="R41" s="53" t="n"/>
      <c r="S41" s="53" t="n"/>
      <c r="T41" s="53" t="n"/>
      <c r="U41" s="53" t="n"/>
      <c r="V41" s="53" t="n"/>
      <c r="W41" s="53" t="n"/>
      <c r="X41" s="53" t="n"/>
      <c r="Y41" s="53" t="n"/>
      <c r="Z41" s="53" t="n"/>
    </row>
    <row r="42" ht="14.25" customHeight="1" s="65">
      <c r="A42" s="52">
        <f>IF($B42="","",ROW()-4)</f>
        <v/>
      </c>
      <c r="B42" s="3">
        <f>IF(Consolidado!$B42="","",Consolidado!$B42)</f>
        <v/>
      </c>
      <c r="C42" s="56" t="n"/>
      <c r="D42" s="56">
        <f>IF($B42="","",Consolidado!$E42)</f>
        <v/>
      </c>
      <c r="E42" s="52">
        <f>IF($B42="","",Consolidado!$J42)</f>
        <v/>
      </c>
      <c r="F42" s="53" t="n"/>
      <c r="G42" s="57" t="n"/>
      <c r="H42" s="52" t="n"/>
      <c r="I42" s="37" t="n"/>
      <c r="J42" s="37" t="n"/>
      <c r="K42" s="37" t="n"/>
      <c r="L42" s="3" t="n"/>
      <c r="M42" s="37" t="n"/>
      <c r="N42" s="53" t="n"/>
      <c r="O42" s="53" t="n"/>
      <c r="P42" s="53" t="n"/>
      <c r="Q42" s="53" t="n"/>
      <c r="R42" s="53" t="n"/>
      <c r="S42" s="53" t="n"/>
      <c r="T42" s="53" t="n"/>
      <c r="U42" s="53" t="n"/>
      <c r="V42" s="53" t="n"/>
      <c r="W42" s="53" t="n"/>
      <c r="X42" s="53" t="n"/>
      <c r="Y42" s="53" t="n"/>
      <c r="Z42" s="53" t="n"/>
    </row>
    <row r="43" ht="14.25" customHeight="1" s="65">
      <c r="A43" s="52">
        <f>IF($B43="","",ROW()-4)</f>
        <v/>
      </c>
      <c r="B43" s="3">
        <f>IF(Consolidado!$B43="","",Consolidado!$B43)</f>
        <v/>
      </c>
      <c r="C43" s="56" t="n"/>
      <c r="D43" s="56">
        <f>IF($B43="","",Consolidado!$E43)</f>
        <v/>
      </c>
      <c r="E43" s="52">
        <f>IF($B43="","",Consolidado!$J43)</f>
        <v/>
      </c>
      <c r="F43" s="53" t="n"/>
      <c r="G43" s="57" t="n"/>
      <c r="H43" s="52" t="n"/>
      <c r="I43" s="37" t="n"/>
      <c r="J43" s="37" t="n"/>
      <c r="K43" s="37" t="n"/>
      <c r="L43" s="3" t="n"/>
      <c r="M43" s="37" t="n"/>
      <c r="N43" s="53" t="n"/>
      <c r="O43" s="53" t="n"/>
      <c r="P43" s="53" t="n"/>
      <c r="Q43" s="53" t="n"/>
      <c r="R43" s="53" t="n"/>
      <c r="S43" s="53" t="n"/>
      <c r="T43" s="53" t="n"/>
      <c r="U43" s="53" t="n"/>
      <c r="V43" s="53" t="n"/>
      <c r="W43" s="53" t="n"/>
      <c r="X43" s="53" t="n"/>
      <c r="Y43" s="53" t="n"/>
      <c r="Z43" s="53" t="n"/>
    </row>
    <row r="44" ht="14.25" customHeight="1" s="65">
      <c r="A44" s="52">
        <f>IF($B44="","",ROW()-4)</f>
        <v/>
      </c>
      <c r="B44" s="3">
        <f>IF(Consolidado!$B44="","",Consolidado!$B44)</f>
        <v/>
      </c>
      <c r="C44" s="56" t="n"/>
      <c r="D44" s="56">
        <f>IF($B44="","",Consolidado!$E44)</f>
        <v/>
      </c>
      <c r="E44" s="52">
        <f>IF($B44="","",Consolidado!$J44)</f>
        <v/>
      </c>
      <c r="F44" s="53" t="n"/>
      <c r="G44" s="57" t="n"/>
      <c r="H44" s="52" t="n"/>
      <c r="I44" s="37" t="n"/>
      <c r="J44" s="37" t="n"/>
      <c r="K44" s="37" t="n"/>
      <c r="L44" s="3" t="n"/>
      <c r="M44" s="37" t="n"/>
      <c r="N44" s="53" t="n"/>
      <c r="O44" s="53" t="n"/>
      <c r="P44" s="53" t="n"/>
      <c r="Q44" s="53" t="n"/>
      <c r="R44" s="53" t="n"/>
      <c r="S44" s="53" t="n"/>
      <c r="T44" s="53" t="n"/>
      <c r="U44" s="53" t="n"/>
      <c r="V44" s="53" t="n"/>
      <c r="W44" s="53" t="n"/>
      <c r="X44" s="53" t="n"/>
      <c r="Y44" s="53" t="n"/>
      <c r="Z44" s="53" t="n"/>
    </row>
    <row r="45" ht="14.25" customHeight="1" s="65">
      <c r="A45" s="52">
        <f>IF($B45="","",ROW()-4)</f>
        <v/>
      </c>
      <c r="B45" s="3">
        <f>IF(Consolidado!$B45="","",Consolidado!$B45)</f>
        <v/>
      </c>
      <c r="C45" s="56" t="n"/>
      <c r="D45" s="56">
        <f>IF($B45="","",Consolidado!$E45)</f>
        <v/>
      </c>
      <c r="E45" s="52">
        <f>IF($B45="","",Consolidado!$J45)</f>
        <v/>
      </c>
      <c r="F45" s="53" t="n"/>
      <c r="G45" s="57" t="n"/>
      <c r="H45" s="52" t="n"/>
      <c r="I45" s="37" t="n"/>
      <c r="J45" s="37" t="n"/>
      <c r="K45" s="37" t="n"/>
      <c r="L45" s="3" t="n"/>
      <c r="M45" s="37" t="n"/>
      <c r="N45" s="53" t="n"/>
      <c r="O45" s="53" t="n"/>
      <c r="P45" s="53" t="n"/>
      <c r="Q45" s="53" t="n"/>
      <c r="R45" s="53" t="n"/>
      <c r="S45" s="53" t="n"/>
      <c r="T45" s="53" t="n"/>
      <c r="U45" s="53" t="n"/>
      <c r="V45" s="53" t="n"/>
      <c r="W45" s="53" t="n"/>
      <c r="X45" s="53" t="n"/>
      <c r="Y45" s="53" t="n"/>
      <c r="Z45" s="53" t="n"/>
    </row>
    <row r="46" ht="14.25" customHeight="1" s="65">
      <c r="A46" s="52">
        <f>IF($B46="","",ROW()-4)</f>
        <v/>
      </c>
      <c r="B46" s="3">
        <f>IF(Consolidado!$B46="","",Consolidado!$B46)</f>
        <v/>
      </c>
      <c r="C46" s="56" t="n"/>
      <c r="D46" s="56">
        <f>IF($B46="","",Consolidado!$E46)</f>
        <v/>
      </c>
      <c r="E46" s="52">
        <f>IF($B46="","",Consolidado!$J46)</f>
        <v/>
      </c>
      <c r="F46" s="53" t="n"/>
      <c r="G46" s="57" t="n"/>
      <c r="H46" s="52" t="n"/>
      <c r="I46" s="37" t="n"/>
      <c r="J46" s="37" t="n"/>
      <c r="K46" s="37" t="n"/>
      <c r="L46" s="3" t="n"/>
      <c r="M46" s="37" t="n"/>
      <c r="N46" s="53" t="n"/>
      <c r="O46" s="53" t="n"/>
      <c r="P46" s="53" t="n"/>
      <c r="Q46" s="53" t="n"/>
      <c r="R46" s="53" t="n"/>
      <c r="S46" s="53" t="n"/>
      <c r="T46" s="53" t="n"/>
      <c r="U46" s="53" t="n"/>
      <c r="V46" s="53" t="n"/>
      <c r="W46" s="53" t="n"/>
      <c r="X46" s="53" t="n"/>
      <c r="Y46" s="53" t="n"/>
      <c r="Z46" s="53" t="n"/>
    </row>
    <row r="47" ht="14.25" customHeight="1" s="65">
      <c r="A47" s="52">
        <f>IF($B47="","",ROW()-4)</f>
        <v/>
      </c>
      <c r="B47" s="3">
        <f>IF(Consolidado!$B47="","",Consolidado!$B47)</f>
        <v/>
      </c>
      <c r="C47" s="56" t="n"/>
      <c r="D47" s="56">
        <f>IF($B47="","",Consolidado!$E47)</f>
        <v/>
      </c>
      <c r="E47" s="52">
        <f>IF($B47="","",Consolidado!$J47)</f>
        <v/>
      </c>
      <c r="F47" s="53" t="n"/>
      <c r="G47" s="57" t="n"/>
      <c r="H47" s="52" t="n"/>
      <c r="I47" s="37" t="n"/>
      <c r="J47" s="37" t="n"/>
      <c r="K47" s="37" t="n"/>
      <c r="L47" s="3" t="n"/>
      <c r="M47" s="37" t="n"/>
      <c r="N47" s="53" t="n"/>
      <c r="O47" s="53" t="n"/>
      <c r="P47" s="53" t="n"/>
      <c r="Q47" s="53" t="n"/>
      <c r="R47" s="53" t="n"/>
      <c r="S47" s="53" t="n"/>
      <c r="T47" s="53" t="n"/>
      <c r="U47" s="53" t="n"/>
      <c r="V47" s="53" t="n"/>
      <c r="W47" s="53" t="n"/>
      <c r="X47" s="53" t="n"/>
      <c r="Y47" s="53" t="n"/>
      <c r="Z47" s="53" t="n"/>
    </row>
    <row r="48" ht="14.25" customHeight="1" s="65">
      <c r="A48" s="52">
        <f>IF($B48="","",ROW()-4)</f>
        <v/>
      </c>
      <c r="B48" s="3">
        <f>IF(Consolidado!$B48="","",Consolidado!$B48)</f>
        <v/>
      </c>
      <c r="C48" s="56" t="n"/>
      <c r="D48" s="56">
        <f>IF($B48="","",Consolidado!$E48)</f>
        <v/>
      </c>
      <c r="E48" s="52">
        <f>IF($B48="","",Consolidado!$J48)</f>
        <v/>
      </c>
      <c r="F48" s="53" t="n"/>
      <c r="G48" s="57" t="n"/>
      <c r="H48" s="52" t="n"/>
      <c r="I48" s="37" t="n"/>
      <c r="J48" s="37" t="n"/>
      <c r="K48" s="37" t="n"/>
      <c r="L48" s="3" t="n"/>
      <c r="M48" s="37" t="n"/>
      <c r="N48" s="53" t="n"/>
      <c r="O48" s="53" t="n"/>
      <c r="P48" s="53" t="n"/>
      <c r="Q48" s="53" t="n"/>
      <c r="R48" s="53" t="n"/>
      <c r="S48" s="53" t="n"/>
      <c r="T48" s="53" t="n"/>
      <c r="U48" s="53" t="n"/>
      <c r="V48" s="53" t="n"/>
      <c r="W48" s="53" t="n"/>
      <c r="X48" s="53" t="n"/>
      <c r="Y48" s="53" t="n"/>
      <c r="Z48" s="53" t="n"/>
    </row>
    <row r="49" ht="14.25" customHeight="1" s="65">
      <c r="A49" s="52">
        <f>IF($B49="","",ROW()-4)</f>
        <v/>
      </c>
      <c r="B49" s="3">
        <f>IF(Consolidado!$B49="","",Consolidado!$B49)</f>
        <v/>
      </c>
      <c r="C49" s="56" t="n"/>
      <c r="D49" s="56">
        <f>IF($B49="","",Consolidado!$E49)</f>
        <v/>
      </c>
      <c r="E49" s="52">
        <f>IF($B49="","",Consolidado!$J49)</f>
        <v/>
      </c>
      <c r="F49" s="53" t="n"/>
      <c r="G49" s="57" t="n"/>
      <c r="H49" s="52" t="n"/>
      <c r="I49" s="37" t="n"/>
      <c r="J49" s="37" t="n"/>
      <c r="K49" s="37" t="n"/>
      <c r="L49" s="3" t="n"/>
      <c r="M49" s="37" t="n"/>
      <c r="N49" s="53" t="n"/>
      <c r="O49" s="53" t="n"/>
      <c r="P49" s="53" t="n"/>
      <c r="Q49" s="53" t="n"/>
      <c r="R49" s="53" t="n"/>
      <c r="S49" s="53" t="n"/>
      <c r="T49" s="53" t="n"/>
      <c r="U49" s="53" t="n"/>
      <c r="V49" s="53" t="n"/>
      <c r="W49" s="53" t="n"/>
      <c r="X49" s="53" t="n"/>
      <c r="Y49" s="53" t="n"/>
      <c r="Z49" s="53" t="n"/>
    </row>
    <row r="50" ht="14.25" customHeight="1" s="65">
      <c r="A50" s="52">
        <f>IF($B50="","",ROW()-4)</f>
        <v/>
      </c>
      <c r="B50" s="3">
        <f>IF(Consolidado!$B50="","",Consolidado!$B50)</f>
        <v/>
      </c>
      <c r="C50" s="56" t="n"/>
      <c r="D50" s="56">
        <f>IF($B50="","",Consolidado!$E50)</f>
        <v/>
      </c>
      <c r="E50" s="52">
        <f>IF($B50="","",Consolidado!$J50)</f>
        <v/>
      </c>
      <c r="F50" s="53" t="n"/>
      <c r="G50" s="57" t="n"/>
      <c r="H50" s="52" t="n"/>
      <c r="I50" s="37" t="n"/>
      <c r="J50" s="37" t="n"/>
      <c r="K50" s="37" t="n"/>
      <c r="L50" s="3" t="n"/>
      <c r="M50" s="37" t="n"/>
      <c r="N50" s="53" t="n"/>
      <c r="O50" s="53" t="n"/>
      <c r="P50" s="53" t="n"/>
      <c r="Q50" s="53" t="n"/>
      <c r="R50" s="53" t="n"/>
      <c r="S50" s="53" t="n"/>
      <c r="T50" s="53" t="n"/>
      <c r="U50" s="53" t="n"/>
      <c r="V50" s="53" t="n"/>
      <c r="W50" s="53" t="n"/>
      <c r="X50" s="53" t="n"/>
      <c r="Y50" s="53" t="n"/>
      <c r="Z50" s="53" t="n"/>
    </row>
    <row r="51" ht="14.25" customHeight="1" s="65">
      <c r="A51" s="52">
        <f>IF($B51="","",ROW()-4)</f>
        <v/>
      </c>
      <c r="B51" s="3">
        <f>IF(Consolidado!$B51="","",Consolidado!$B51)</f>
        <v/>
      </c>
      <c r="C51" s="56" t="n"/>
      <c r="D51" s="56">
        <f>IF($B51="","",Consolidado!$E51)</f>
        <v/>
      </c>
      <c r="E51" s="52">
        <f>IF($B51="","",Consolidado!$J51)</f>
        <v/>
      </c>
      <c r="F51" s="53" t="n"/>
      <c r="G51" s="57" t="n"/>
      <c r="H51" s="52" t="n"/>
      <c r="I51" s="37" t="n"/>
      <c r="J51" s="37" t="n"/>
      <c r="K51" s="37" t="n"/>
      <c r="L51" s="3" t="n"/>
      <c r="M51" s="37" t="n"/>
      <c r="N51" s="53" t="n"/>
      <c r="O51" s="53" t="n"/>
      <c r="P51" s="53" t="n"/>
      <c r="Q51" s="53" t="n"/>
      <c r="R51" s="53" t="n"/>
      <c r="S51" s="53" t="n"/>
      <c r="T51" s="53" t="n"/>
      <c r="U51" s="53" t="n"/>
      <c r="V51" s="53" t="n"/>
      <c r="W51" s="53" t="n"/>
      <c r="X51" s="53" t="n"/>
      <c r="Y51" s="53" t="n"/>
      <c r="Z51" s="53" t="n"/>
    </row>
    <row r="52" ht="14.25" customHeight="1" s="65">
      <c r="A52" s="52">
        <f>IF($B52="","",ROW()-4)</f>
        <v/>
      </c>
      <c r="B52" s="3">
        <f>IF(Consolidado!$B52="","",Consolidado!$B52)</f>
        <v/>
      </c>
      <c r="C52" s="56" t="n"/>
      <c r="D52" s="56">
        <f>IF($B52="","",Consolidado!$E52)</f>
        <v/>
      </c>
      <c r="E52" s="52">
        <f>IF($B52="","",Consolidado!$J52)</f>
        <v/>
      </c>
      <c r="F52" s="53" t="n"/>
      <c r="G52" s="57" t="n"/>
      <c r="H52" s="52" t="n"/>
      <c r="I52" s="37" t="n"/>
      <c r="J52" s="37" t="n"/>
      <c r="K52" s="37" t="n"/>
      <c r="L52" s="3" t="n"/>
      <c r="M52" s="37" t="n"/>
      <c r="N52" s="53" t="n"/>
      <c r="O52" s="53" t="n"/>
      <c r="P52" s="53" t="n"/>
      <c r="Q52" s="53" t="n"/>
      <c r="R52" s="53" t="n"/>
      <c r="S52" s="53" t="n"/>
      <c r="T52" s="53" t="n"/>
      <c r="U52" s="53" t="n"/>
      <c r="V52" s="53" t="n"/>
      <c r="W52" s="53" t="n"/>
      <c r="X52" s="53" t="n"/>
      <c r="Y52" s="53" t="n"/>
      <c r="Z52" s="53" t="n"/>
    </row>
    <row r="53" ht="14.25" customHeight="1" s="65">
      <c r="A53" s="52">
        <f>IF($B53="","",ROW()-4)</f>
        <v/>
      </c>
      <c r="B53" s="3">
        <f>IF(Consolidado!$B53="","",Consolidado!$B53)</f>
        <v/>
      </c>
      <c r="C53" s="56" t="n"/>
      <c r="D53" s="56">
        <f>IF($B53="","",Consolidado!$E53)</f>
        <v/>
      </c>
      <c r="E53" s="52">
        <f>IF($B53="","",Consolidado!$J53)</f>
        <v/>
      </c>
      <c r="F53" s="53" t="n"/>
      <c r="G53" s="57" t="n"/>
      <c r="H53" s="52" t="n"/>
      <c r="I53" s="37" t="n"/>
      <c r="J53" s="37" t="n"/>
      <c r="K53" s="37" t="n"/>
      <c r="L53" s="3" t="n"/>
      <c r="M53" s="37" t="n"/>
      <c r="N53" s="53" t="n"/>
      <c r="O53" s="53" t="n"/>
      <c r="P53" s="53" t="n"/>
      <c r="Q53" s="53" t="n"/>
      <c r="R53" s="53" t="n"/>
      <c r="S53" s="53" t="n"/>
      <c r="T53" s="53" t="n"/>
      <c r="U53" s="53" t="n"/>
      <c r="V53" s="53" t="n"/>
      <c r="W53" s="53" t="n"/>
      <c r="X53" s="53" t="n"/>
      <c r="Y53" s="53" t="n"/>
      <c r="Z53" s="53" t="n"/>
    </row>
    <row r="54" ht="14.25" customHeight="1" s="65">
      <c r="A54" s="52">
        <f>IF($B54="","",ROW()-4)</f>
        <v/>
      </c>
      <c r="B54" s="3">
        <f>IF(Consolidado!$B54="","",Consolidado!$B54)</f>
        <v/>
      </c>
      <c r="C54" s="56" t="n"/>
      <c r="D54" s="56">
        <f>IF($B54="","",Consolidado!$E54)</f>
        <v/>
      </c>
      <c r="E54" s="52">
        <f>IF($B54="","",Consolidado!$J54)</f>
        <v/>
      </c>
      <c r="F54" s="53" t="n"/>
      <c r="G54" s="57" t="n"/>
      <c r="H54" s="52" t="n"/>
      <c r="I54" s="37" t="n"/>
      <c r="J54" s="37" t="n"/>
      <c r="K54" s="37" t="n"/>
      <c r="L54" s="3" t="n"/>
      <c r="M54" s="37" t="n"/>
      <c r="N54" s="53" t="n"/>
      <c r="O54" s="53" t="n"/>
      <c r="P54" s="53" t="n"/>
      <c r="Q54" s="53" t="n"/>
      <c r="R54" s="53" t="n"/>
      <c r="S54" s="53" t="n"/>
      <c r="T54" s="53" t="n"/>
      <c r="U54" s="53" t="n"/>
      <c r="V54" s="53" t="n"/>
      <c r="W54" s="53" t="n"/>
      <c r="X54" s="53" t="n"/>
      <c r="Y54" s="53" t="n"/>
      <c r="Z54" s="53" t="n"/>
    </row>
    <row r="55" ht="14.25" customHeight="1" s="65">
      <c r="A55" s="52">
        <f>IF($B55="","",ROW()-4)</f>
        <v/>
      </c>
      <c r="B55" s="3">
        <f>IF(Consolidado!$B55="","",Consolidado!$B55)</f>
        <v/>
      </c>
      <c r="C55" s="56" t="n"/>
      <c r="D55" s="56">
        <f>IF($B55="","",Consolidado!$E55)</f>
        <v/>
      </c>
      <c r="E55" s="52">
        <f>IF($B55="","",Consolidado!$J55)</f>
        <v/>
      </c>
      <c r="F55" s="53" t="n"/>
      <c r="G55" s="57" t="n"/>
      <c r="H55" s="52" t="n"/>
      <c r="I55" s="37" t="n"/>
      <c r="J55" s="37" t="n"/>
      <c r="K55" s="37" t="n"/>
      <c r="L55" s="3" t="n"/>
      <c r="M55" s="37" t="n"/>
      <c r="N55" s="53" t="n"/>
      <c r="O55" s="53" t="n"/>
      <c r="P55" s="53" t="n"/>
      <c r="Q55" s="53" t="n"/>
      <c r="R55" s="53" t="n"/>
      <c r="S55" s="53" t="n"/>
      <c r="T55" s="53" t="n"/>
      <c r="U55" s="53" t="n"/>
      <c r="V55" s="53" t="n"/>
      <c r="W55" s="53" t="n"/>
      <c r="X55" s="53" t="n"/>
      <c r="Y55" s="53" t="n"/>
      <c r="Z55" s="53" t="n"/>
    </row>
    <row r="56" ht="14.25" customHeight="1" s="65">
      <c r="A56" s="52">
        <f>IF($B56="","",ROW()-4)</f>
        <v/>
      </c>
      <c r="B56" s="3">
        <f>IF(Consolidado!$B56="","",Consolidado!$B56)</f>
        <v/>
      </c>
      <c r="C56" s="56" t="n"/>
      <c r="D56" s="56">
        <f>IF($B56="","",Consolidado!$E56)</f>
        <v/>
      </c>
      <c r="E56" s="52">
        <f>IF($B56="","",Consolidado!$J56)</f>
        <v/>
      </c>
      <c r="F56" s="53" t="n"/>
      <c r="G56" s="57" t="n"/>
      <c r="H56" s="52" t="n"/>
      <c r="I56" s="37" t="n"/>
      <c r="J56" s="37" t="n"/>
      <c r="K56" s="37" t="n"/>
      <c r="L56" s="3" t="n"/>
      <c r="M56" s="37" t="n"/>
      <c r="N56" s="53" t="n"/>
      <c r="O56" s="53" t="n"/>
      <c r="P56" s="53" t="n"/>
      <c r="Q56" s="53" t="n"/>
      <c r="R56" s="53" t="n"/>
      <c r="S56" s="53" t="n"/>
      <c r="T56" s="53" t="n"/>
      <c r="U56" s="53" t="n"/>
      <c r="V56" s="53" t="n"/>
      <c r="W56" s="53" t="n"/>
      <c r="X56" s="53" t="n"/>
      <c r="Y56" s="53" t="n"/>
      <c r="Z56" s="53" t="n"/>
    </row>
    <row r="57" ht="14.25" customHeight="1" s="65">
      <c r="A57" s="52">
        <f>IF($B57="","",ROW()-4)</f>
        <v/>
      </c>
      <c r="B57" s="3">
        <f>IF(Consolidado!$B57="","",Consolidado!$B57)</f>
        <v/>
      </c>
      <c r="C57" s="56" t="n"/>
      <c r="D57" s="56">
        <f>IF($B57="","",Consolidado!$E57)</f>
        <v/>
      </c>
      <c r="E57" s="52">
        <f>IF($B57="","",Consolidado!$J57)</f>
        <v/>
      </c>
      <c r="F57" s="53" t="n"/>
      <c r="G57" s="57" t="n"/>
      <c r="H57" s="52" t="n"/>
      <c r="I57" s="37" t="n"/>
      <c r="J57" s="37" t="n"/>
      <c r="K57" s="37" t="n"/>
      <c r="L57" s="3" t="n"/>
      <c r="M57" s="37" t="n"/>
      <c r="N57" s="53" t="n"/>
      <c r="O57" s="53" t="n"/>
      <c r="P57" s="53" t="n"/>
      <c r="Q57" s="53" t="n"/>
      <c r="R57" s="53" t="n"/>
      <c r="S57" s="53" t="n"/>
      <c r="T57" s="53" t="n"/>
      <c r="U57" s="53" t="n"/>
      <c r="V57" s="53" t="n"/>
      <c r="W57" s="53" t="n"/>
      <c r="X57" s="53" t="n"/>
      <c r="Y57" s="53" t="n"/>
      <c r="Z57" s="53" t="n"/>
    </row>
    <row r="58" ht="14.25" customHeight="1" s="65">
      <c r="A58" s="52">
        <f>IF($B58="","",ROW()-4)</f>
        <v/>
      </c>
      <c r="B58" s="3">
        <f>IF(Consolidado!$B58="","",Consolidado!$B58)</f>
        <v/>
      </c>
      <c r="C58" s="56" t="n"/>
      <c r="D58" s="56">
        <f>IF($B58="","",Consolidado!$E58)</f>
        <v/>
      </c>
      <c r="E58" s="52">
        <f>IF($B58="","",Consolidado!$J58)</f>
        <v/>
      </c>
      <c r="F58" s="53" t="n"/>
      <c r="G58" s="57" t="n"/>
      <c r="H58" s="52" t="n"/>
      <c r="I58" s="37" t="n"/>
      <c r="J58" s="37" t="n"/>
      <c r="K58" s="37" t="n"/>
      <c r="L58" s="3" t="n"/>
      <c r="M58" s="37" t="n"/>
      <c r="N58" s="53" t="n"/>
      <c r="O58" s="53" t="n"/>
      <c r="P58" s="53" t="n"/>
      <c r="Q58" s="53" t="n"/>
      <c r="R58" s="53" t="n"/>
      <c r="S58" s="53" t="n"/>
      <c r="T58" s="53" t="n"/>
      <c r="U58" s="53" t="n"/>
      <c r="V58" s="53" t="n"/>
      <c r="W58" s="53" t="n"/>
      <c r="X58" s="53" t="n"/>
      <c r="Y58" s="53" t="n"/>
      <c r="Z58" s="53" t="n"/>
    </row>
    <row r="59" ht="14.25" customHeight="1" s="65">
      <c r="A59" s="52">
        <f>IF($B59="","",ROW()-4)</f>
        <v/>
      </c>
      <c r="B59" s="3">
        <f>IF(Consolidado!$B59="","",Consolidado!$B59)</f>
        <v/>
      </c>
      <c r="C59" s="56" t="n"/>
      <c r="D59" s="56">
        <f>IF($B59="","",Consolidado!$E59)</f>
        <v/>
      </c>
      <c r="E59" s="52">
        <f>IF($B59="","",Consolidado!$J59)</f>
        <v/>
      </c>
      <c r="F59" s="53" t="n"/>
      <c r="G59" s="57" t="n"/>
      <c r="H59" s="52" t="n"/>
      <c r="I59" s="37" t="n"/>
      <c r="J59" s="37" t="n"/>
      <c r="K59" s="37" t="n"/>
      <c r="L59" s="3" t="n"/>
      <c r="M59" s="37" t="n"/>
      <c r="N59" s="53" t="n"/>
      <c r="O59" s="53" t="n"/>
      <c r="P59" s="53" t="n"/>
      <c r="Q59" s="53" t="n"/>
      <c r="R59" s="53" t="n"/>
      <c r="S59" s="53" t="n"/>
      <c r="T59" s="53" t="n"/>
      <c r="U59" s="53" t="n"/>
      <c r="V59" s="53" t="n"/>
      <c r="W59" s="53" t="n"/>
      <c r="X59" s="53" t="n"/>
      <c r="Y59" s="53" t="n"/>
      <c r="Z59" s="53" t="n"/>
    </row>
    <row r="60" ht="14.25" customHeight="1" s="65">
      <c r="A60" s="52">
        <f>IF($B60="","",ROW()-4)</f>
        <v/>
      </c>
      <c r="B60" s="3">
        <f>IF(Consolidado!$B60="","",Consolidado!$B60)</f>
        <v/>
      </c>
      <c r="C60" s="56" t="n"/>
      <c r="D60" s="56">
        <f>IF($B60="","",Consolidado!$E60)</f>
        <v/>
      </c>
      <c r="E60" s="52">
        <f>IF($B60="","",Consolidado!$J60)</f>
        <v/>
      </c>
      <c r="F60" s="53" t="n"/>
      <c r="G60" s="57" t="n"/>
      <c r="H60" s="52" t="n"/>
      <c r="I60" s="37" t="n"/>
      <c r="J60" s="37" t="n"/>
      <c r="K60" s="37" t="n"/>
      <c r="L60" s="3" t="n"/>
      <c r="M60" s="37" t="n"/>
      <c r="N60" s="53" t="n"/>
      <c r="O60" s="53" t="n"/>
      <c r="P60" s="53" t="n"/>
      <c r="Q60" s="53" t="n"/>
      <c r="R60" s="53" t="n"/>
      <c r="S60" s="53" t="n"/>
      <c r="T60" s="53" t="n"/>
      <c r="U60" s="53" t="n"/>
      <c r="V60" s="53" t="n"/>
      <c r="W60" s="53" t="n"/>
      <c r="X60" s="53" t="n"/>
      <c r="Y60" s="53" t="n"/>
      <c r="Z60" s="53" t="n"/>
    </row>
    <row r="61" ht="14.25" customHeight="1" s="65">
      <c r="A61" s="52">
        <f>IF($B61="","",ROW()-4)</f>
        <v/>
      </c>
      <c r="B61" s="3">
        <f>IF(Consolidado!$B61="","",Consolidado!$B61)</f>
        <v/>
      </c>
      <c r="C61" s="56" t="n"/>
      <c r="D61" s="56">
        <f>IF($B61="","",Consolidado!$E61)</f>
        <v/>
      </c>
      <c r="E61" s="52">
        <f>IF($B61="","",Consolidado!$J61)</f>
        <v/>
      </c>
      <c r="F61" s="53" t="n"/>
      <c r="G61" s="57" t="n"/>
      <c r="H61" s="52" t="n"/>
      <c r="I61" s="37" t="n"/>
      <c r="J61" s="37" t="n"/>
      <c r="K61" s="37" t="n"/>
      <c r="L61" s="3" t="n"/>
      <c r="M61" s="37" t="n"/>
      <c r="N61" s="53" t="n"/>
      <c r="O61" s="53" t="n"/>
      <c r="P61" s="53" t="n"/>
      <c r="Q61" s="53" t="n"/>
      <c r="R61" s="53" t="n"/>
      <c r="S61" s="53" t="n"/>
      <c r="T61" s="53" t="n"/>
      <c r="U61" s="53" t="n"/>
      <c r="V61" s="53" t="n"/>
      <c r="W61" s="53" t="n"/>
      <c r="X61" s="53" t="n"/>
      <c r="Y61" s="53" t="n"/>
      <c r="Z61" s="53" t="n"/>
    </row>
    <row r="62" ht="14.25" customHeight="1" s="65">
      <c r="A62" s="52">
        <f>IF($B62="","",ROW()-4)</f>
        <v/>
      </c>
      <c r="B62" s="3">
        <f>IF(Consolidado!$B62="","",Consolidado!$B62)</f>
        <v/>
      </c>
      <c r="C62" s="56" t="n"/>
      <c r="D62" s="56">
        <f>IF($B62="","",Consolidado!$E62)</f>
        <v/>
      </c>
      <c r="E62" s="52">
        <f>IF($B62="","",Consolidado!$J62)</f>
        <v/>
      </c>
      <c r="F62" s="53" t="n"/>
      <c r="G62" s="57" t="n"/>
      <c r="H62" s="52" t="n"/>
      <c r="I62" s="37" t="n"/>
      <c r="J62" s="37" t="n"/>
      <c r="K62" s="37" t="n"/>
      <c r="L62" s="3" t="n"/>
      <c r="M62" s="37" t="n"/>
      <c r="N62" s="53" t="n"/>
      <c r="O62" s="53" t="n"/>
      <c r="P62" s="53" t="n"/>
      <c r="Q62" s="53" t="n"/>
      <c r="R62" s="53" t="n"/>
      <c r="S62" s="53" t="n"/>
      <c r="T62" s="53" t="n"/>
      <c r="U62" s="53" t="n"/>
      <c r="V62" s="53" t="n"/>
      <c r="W62" s="53" t="n"/>
      <c r="X62" s="53" t="n"/>
      <c r="Y62" s="53" t="n"/>
      <c r="Z62" s="53" t="n"/>
    </row>
    <row r="63" ht="14.25" customHeight="1" s="65">
      <c r="A63" s="52">
        <f>IF($B63="","",ROW()-4)</f>
        <v/>
      </c>
      <c r="B63" s="3">
        <f>IF(Consolidado!$B63="","",Consolidado!$B63)</f>
        <v/>
      </c>
      <c r="C63" s="56" t="n"/>
      <c r="D63" s="56">
        <f>IF($B63="","",Consolidado!$E63)</f>
        <v/>
      </c>
      <c r="E63" s="52">
        <f>IF($B63="","",Consolidado!$J63)</f>
        <v/>
      </c>
      <c r="F63" s="53" t="n"/>
      <c r="G63" s="57" t="n"/>
      <c r="H63" s="52" t="n"/>
      <c r="I63" s="37" t="n"/>
      <c r="J63" s="37" t="n"/>
      <c r="K63" s="37" t="n"/>
      <c r="L63" s="3" t="n"/>
      <c r="M63" s="37" t="n"/>
      <c r="N63" s="53" t="n"/>
      <c r="O63" s="53" t="n"/>
      <c r="P63" s="53" t="n"/>
      <c r="Q63" s="53" t="n"/>
      <c r="R63" s="53" t="n"/>
      <c r="S63" s="53" t="n"/>
      <c r="T63" s="53" t="n"/>
      <c r="U63" s="53" t="n"/>
      <c r="V63" s="53" t="n"/>
      <c r="W63" s="53" t="n"/>
      <c r="X63" s="53" t="n"/>
      <c r="Y63" s="53" t="n"/>
      <c r="Z63" s="53" t="n"/>
    </row>
    <row r="64" ht="14.25" customHeight="1" s="65">
      <c r="A64" s="52">
        <f>IF($B64="","",ROW()-4)</f>
        <v/>
      </c>
      <c r="B64" s="3">
        <f>IF(Consolidado!$B64="","",Consolidado!$B64)</f>
        <v/>
      </c>
      <c r="C64" s="56" t="n"/>
      <c r="D64" s="56">
        <f>IF($B64="","",Consolidado!$E64)</f>
        <v/>
      </c>
      <c r="E64" s="52">
        <f>IF($B64="","",Consolidado!$J64)</f>
        <v/>
      </c>
      <c r="F64" s="53" t="n"/>
      <c r="G64" s="57" t="n"/>
      <c r="H64" s="52" t="n"/>
      <c r="I64" s="37" t="n"/>
      <c r="J64" s="37" t="n"/>
      <c r="K64" s="37" t="n"/>
      <c r="L64" s="3" t="n"/>
      <c r="M64" s="37"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24" customHeight="1" s="65">
      <c r="A67" s="53" t="n"/>
      <c r="B67" s="55"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c r="N67" s="53" t="n"/>
      <c r="O67" s="53" t="n"/>
      <c r="P67" s="53" t="n"/>
      <c r="Q67" s="53" t="n"/>
      <c r="R67" s="53" t="n"/>
      <c r="S67" s="53" t="n"/>
      <c r="T67" s="53" t="n"/>
      <c r="U67" s="53" t="n"/>
      <c r="V67" s="53" t="n"/>
      <c r="W67" s="53" t="n"/>
      <c r="X67" s="53" t="n"/>
      <c r="Y67" s="53" t="n"/>
      <c r="Z67" s="53" t="n"/>
    </row>
    <row r="68" ht="24" customHeight="1" s="65">
      <c r="A68" s="53" t="n"/>
      <c r="B68" s="55" t="inlineStr">
        <is>
          <t>Isso substitui tentar 'detectar IA' na entrega — que é injusto de errar e impossível de provar. Aqui não se acusa ninguém: ou defende o próprio trabalho, ou não defende.</t>
        </is>
      </c>
      <c r="N68" s="53" t="n"/>
      <c r="O68" s="53" t="n"/>
      <c r="P68" s="53" t="n"/>
      <c r="Q68" s="53" t="n"/>
      <c r="R68" s="53" t="n"/>
      <c r="S68" s="53" t="n"/>
      <c r="T68" s="53" t="n"/>
      <c r="U68" s="53" t="n"/>
      <c r="V68" s="53" t="n"/>
      <c r="W68" s="53" t="n"/>
      <c r="X68" s="53" t="n"/>
      <c r="Y68" s="53" t="n"/>
      <c r="Z68" s="53" t="n"/>
    </row>
    <row r="69" ht="24" customHeight="1" s="65">
      <c r="A69" s="53" t="n"/>
      <c r="B69" s="55" t="inlineStr">
        <is>
          <t>A coluna Decisão volta sozinha para o Consolidado. Não digite a decisão nos dois lugares.</t>
        </is>
      </c>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1">
      <formula>"OK"</formula>
    </cfRule>
  </conditionalFormatting>
  <conditionalFormatting sqref="L5:L64">
    <cfRule type="cellIs" priority="3" operator="equal" dxfId="1">
      <formula>"Aprovado"</formula>
    </cfRule>
    <cfRule type="cellIs" priority="4" operator="equal" dxfId="3">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65" min="1" max="1"/>
    <col width="8" customWidth="1" style="65" min="2" max="2"/>
    <col width="46" customWidth="1" style="65" min="3" max="3"/>
    <col width="18" customWidth="1" style="65" min="4" max="4"/>
    <col width="12" customWidth="1" style="65" min="5" max="5"/>
    <col width="54" customWidth="1" style="65" min="6"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GABARITO E MONTAGEM DO CASE — preencher DEPOIS que o case do semestre existir.</t>
        </is>
      </c>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43.5" customHeight="1" s="65">
      <c r="A4" s="53" t="n"/>
      <c r="B4" s="70" t="inlineStr">
        <is>
          <t>Só o bloco de ACURÁCIA (A1–A6) depende do case. Comunicação, Raciocínio, Entrega e Vídeo já estão prontos e valem para qualquer case — a rubrica pode ser aprovada antes do case ficar pronto. Aqui você faz duas coisas: (1) confere se o case tem o que a rubrica precisa medir e (2) preenche os valores do gabarito.</t>
        </is>
      </c>
      <c r="G4" s="53" t="n"/>
      <c r="H4" s="53" t="n"/>
      <c r="I4" s="53" t="n"/>
      <c r="J4" s="53" t="n"/>
      <c r="K4" s="53" t="n"/>
      <c r="L4" s="53" t="n"/>
      <c r="M4" s="53" t="n"/>
      <c r="N4" s="53" t="n"/>
      <c r="O4" s="53" t="n"/>
      <c r="P4" s="53" t="n"/>
      <c r="Q4" s="53" t="n"/>
      <c r="R4" s="53" t="n"/>
      <c r="S4" s="53" t="n"/>
      <c r="T4" s="53" t="n"/>
      <c r="U4" s="53" t="n"/>
      <c r="V4" s="53" t="n"/>
      <c r="W4" s="53" t="n"/>
      <c r="X4" s="53" t="n"/>
      <c r="Y4" s="53" t="n"/>
      <c r="Z4" s="53" t="n"/>
    </row>
    <row r="5" ht="14.25" customHeight="1" s="65">
      <c r="A5" s="53" t="n"/>
      <c r="B5" s="53" t="n"/>
      <c r="C5" s="53" t="n"/>
      <c r="D5" s="53"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14.25" customHeight="1" s="65">
      <c r="A6" s="53" t="n"/>
      <c r="B6" s="67" t="inlineStr">
        <is>
          <t>PARTE 1 — O QUE O CASE PRECISA TER (conferir ao montar)</t>
        </is>
      </c>
      <c r="G6" s="53" t="n"/>
      <c r="H6" s="53" t="n"/>
      <c r="I6" s="53" t="n"/>
      <c r="J6" s="53" t="n"/>
      <c r="K6" s="53" t="n"/>
      <c r="L6" s="53" t="n"/>
      <c r="M6" s="53" t="n"/>
      <c r="N6" s="53" t="n"/>
      <c r="O6" s="53" t="n"/>
      <c r="P6" s="53" t="n"/>
      <c r="Q6" s="53" t="n"/>
      <c r="R6" s="53" t="n"/>
      <c r="S6" s="53" t="n"/>
      <c r="T6" s="53" t="n"/>
      <c r="U6" s="53" t="n"/>
      <c r="V6" s="53" t="n"/>
      <c r="W6" s="53" t="n"/>
      <c r="X6" s="53" t="n"/>
      <c r="Y6" s="53" t="n"/>
      <c r="Z6" s="53" t="n"/>
    </row>
    <row r="7" ht="14.25" customHeight="1" s="65">
      <c r="A7" s="53" t="n"/>
      <c r="B7" s="53" t="n"/>
      <c r="C7" s="25" t="inlineStr">
        <is>
          <t>O que o case precisa conter</t>
        </is>
      </c>
      <c r="D7" s="25" t="inlineStr">
        <is>
          <t>Alimenta</t>
        </is>
      </c>
      <c r="E7" s="25" t="inlineStr">
        <is>
          <t>Status</t>
        </is>
      </c>
      <c r="F7" s="25" t="inlineStr">
        <is>
          <t>Por quê / como fazer</t>
        </is>
      </c>
      <c r="G7" s="53" t="n"/>
      <c r="H7" s="53" t="n"/>
      <c r="I7" s="53" t="n"/>
      <c r="J7" s="53" t="n"/>
      <c r="K7" s="53" t="n"/>
      <c r="L7" s="53" t="n"/>
      <c r="M7" s="53" t="n"/>
      <c r="N7" s="53" t="n"/>
      <c r="O7" s="53" t="n"/>
      <c r="P7" s="53" t="n"/>
      <c r="Q7" s="53" t="n"/>
      <c r="R7" s="53" t="n"/>
      <c r="S7" s="53" t="n"/>
      <c r="T7" s="53" t="n"/>
      <c r="U7" s="53" t="n"/>
      <c r="V7" s="53" t="n"/>
      <c r="W7" s="53" t="n"/>
      <c r="X7" s="53" t="n"/>
      <c r="Y7" s="53" t="n"/>
      <c r="Z7" s="53" t="n"/>
    </row>
    <row r="8" ht="39.75" customHeight="1" s="65">
      <c r="A8" s="53" t="n"/>
      <c r="B8" s="58" t="inlineStr">
        <is>
          <t>☐</t>
        </is>
      </c>
      <c r="C8" s="45" t="inlineStr">
        <is>
          <t>Duas contas centrais com UMA resposta certa cada</t>
        </is>
      </c>
      <c r="D8" s="59" t="inlineStr">
        <is>
          <t>A1, A2</t>
        </is>
      </c>
      <c r="E8" s="22" t="inlineStr">
        <is>
          <t>OK — A1 armários / A2 parceiros</t>
        </is>
      </c>
      <c r="F8" s="60" t="inlineStr">
        <is>
          <t>Tem que ser conferível em 30 segundos, sem discussão. Se dois avaliadores podem chegar a números diferentes, não serve para este bloco — mande para Raciocínio.</t>
        </is>
      </c>
      <c r="G8" s="53" t="n"/>
      <c r="H8" s="53" t="n"/>
      <c r="I8" s="53" t="n"/>
      <c r="J8" s="53" t="n"/>
      <c r="K8" s="53" t="n"/>
      <c r="L8" s="53" t="n"/>
      <c r="M8" s="53" t="n"/>
      <c r="N8" s="53" t="n"/>
      <c r="O8" s="53" t="n"/>
      <c r="P8" s="53" t="n"/>
      <c r="Q8" s="53" t="n"/>
      <c r="R8" s="53" t="n"/>
      <c r="S8" s="53" t="n"/>
      <c r="T8" s="53" t="n"/>
      <c r="U8" s="53" t="n"/>
      <c r="V8" s="53" t="n"/>
      <c r="W8" s="53" t="n"/>
      <c r="X8" s="53" t="n"/>
      <c r="Y8" s="53" t="n"/>
      <c r="Z8" s="53" t="n"/>
    </row>
    <row r="9" ht="39.75" customHeight="1" s="65">
      <c r="A9" s="53" t="n"/>
      <c r="B9" s="58" t="inlineStr">
        <is>
          <t>☐</t>
        </is>
      </c>
      <c r="C9" s="45" t="inlineStr">
        <is>
          <t>DIFICULDADE CALIBRADA: acerto médio perto de 50% do teto</t>
        </is>
      </c>
      <c r="D9" s="59" t="inlineStr">
        <is>
          <t>A1, A2</t>
        </is>
      </c>
      <c r="E9" s="22" t="inlineStr">
        <is>
          <t>Conferir na correção</t>
        </is>
      </c>
      <c r="F9" s="60" t="inlineStr">
        <is>
          <t>Em 2025.2 os itens de gabarito ficaram entre 41% e 62% do teto e o bloco discriminou (Spearman 0,89 com o ranking final). Em 2026.1 ficaram entre 72% e 82% e viraram ruído (0,64). Se na correção um item passar de ~75% de acerto médio, ele não está separando ninguém — por mais peso que tenha.</t>
        </is>
      </c>
      <c r="G9" s="53" t="n"/>
      <c r="H9" s="53" t="n"/>
      <c r="I9" s="53" t="n"/>
      <c r="J9" s="53" t="n"/>
      <c r="K9" s="53" t="n"/>
      <c r="L9" s="53" t="n"/>
      <c r="M9" s="53" t="n"/>
      <c r="N9" s="53" t="n"/>
      <c r="O9" s="53" t="n"/>
      <c r="P9" s="53" t="n"/>
      <c r="Q9" s="53" t="n"/>
      <c r="R9" s="53" t="n"/>
      <c r="S9" s="53" t="n"/>
      <c r="T9" s="53" t="n"/>
      <c r="U9" s="53" t="n"/>
      <c r="V9" s="53" t="n"/>
      <c r="W9" s="53" t="n"/>
      <c r="X9" s="53" t="n"/>
      <c r="Y9" s="53" t="n"/>
      <c r="Z9" s="53" t="n"/>
    </row>
    <row r="10" ht="39.75" customHeight="1" s="65">
      <c r="A10" s="53" t="n"/>
      <c r="B10" s="58" t="inlineStr">
        <is>
          <t>☐</t>
        </is>
      </c>
      <c r="C10" s="45" t="inlineStr">
        <is>
          <t>Uma projeção ou plano com meta numérica declarada no enunciado</t>
        </is>
      </c>
      <c r="D10" s="59" t="inlineStr">
        <is>
          <t>A3</t>
        </is>
      </c>
      <c r="E10" s="22" t="inlineStr">
        <is>
          <t>FALTA — sem projeção</t>
        </is>
      </c>
      <c r="F10" s="60" t="inlineStr">
        <is>
          <t>A meta precisa estar escrita no case (ex.: crescer X%, atingir Y de margem), senão não há contra o que conferir.</t>
        </is>
      </c>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39.75" customHeight="1" s="65">
      <c r="A11" s="53" t="n"/>
      <c r="B11" s="58" t="inlineStr">
        <is>
          <t>☐</t>
        </is>
      </c>
      <c r="C11" s="45" t="inlineStr">
        <is>
          <t>Um caminho alternativo que o candidato consiga dimensionar</t>
        </is>
      </c>
      <c r="D11" s="59" t="inlineStr">
        <is>
          <t>A4</t>
        </is>
      </c>
      <c r="E11" s="22" t="inlineStr">
        <is>
          <t>OK — 2º bairro / outro modelo</t>
        </is>
      </c>
      <c r="F11" s="60" t="inlineStr">
        <is>
          <t>Precisa existir dado suficiente no material para ele estimar o impacto. Sem isso, todo mundo fica no nível 2.</t>
        </is>
      </c>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39.75" customHeight="1" s="65">
      <c r="A12" s="53" t="n"/>
      <c r="B12" s="58" t="inlineStr">
        <is>
          <t>☐</t>
        </is>
      </c>
      <c r="C12" s="45" t="inlineStr">
        <is>
          <t>Pergunta explícita de riscos e próximos passos</t>
        </is>
      </c>
      <c r="D12" s="59" t="inlineStr">
        <is>
          <t>A5</t>
        </is>
      </c>
      <c r="E12" s="22" t="inlineStr">
        <is>
          <t>OK — passo 04 do desafio</t>
        </is>
      </c>
      <c r="F12" s="60" t="inlineStr">
        <is>
          <t>Já está na rubrica e serve para qualquer case. Só garanta que o enunciado peça.</t>
        </is>
      </c>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39.75" customHeight="1" s="65">
      <c r="A13" s="53" t="n"/>
      <c r="B13" s="58" t="inlineStr">
        <is>
          <t>☐</t>
        </is>
      </c>
      <c r="C13" s="45" t="inlineStr">
        <is>
          <t>UMA INCONSISTÊNCIA PLANTADA de propósito</t>
        </is>
      </c>
      <c r="D13" s="59" t="inlineStr">
        <is>
          <t>A6</t>
        </is>
      </c>
      <c r="E13" s="22" t="inlineStr">
        <is>
          <t>FALTA — nada plantado</t>
        </is>
      </c>
      <c r="F13" s="60" t="inlineStr">
        <is>
          <t>Ex.: a DRE não fecha por um valor, ou o número do enunciado contradiz a tabela anexa. É o item que a IA erra e o melhor discriminador do bloco. Não conte para os candidatos, obviamente.</t>
        </is>
      </c>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39.75" customHeight="1" s="65">
      <c r="A14" s="53" t="n"/>
      <c r="B14" s="58" t="inlineStr">
        <is>
          <t>☐</t>
        </is>
      </c>
      <c r="C14" s="45" t="inlineStr">
        <is>
          <t>UMA PREMISSA DEIXADA EM ABERTO de propósito</t>
        </is>
      </c>
      <c r="D14" s="59" t="inlineStr">
        <is>
          <t>R1, A4</t>
        </is>
      </c>
      <c r="E14" s="22" t="inlineStr">
        <is>
          <t>OK — capacidade por ponto</t>
        </is>
      </c>
      <c r="F14" s="60" t="inlineStr">
        <is>
          <t>Ex.: não informar o critério de rateio de um custo entre unidades. Não pontua sozinha: aparece na qualidade da recomendação. Como não existe resposta certa, a IA não ajuda.</t>
        </is>
      </c>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39.75" customHeight="1" s="65">
      <c r="A15" s="53" t="n"/>
      <c r="B15" s="58" t="inlineStr">
        <is>
          <t>☐</t>
        </is>
      </c>
      <c r="C15" s="45" t="inlineStr">
        <is>
          <t>Entregáveis obrigatórios declarados no enunciado</t>
        </is>
      </c>
      <c r="D15" s="59" t="inlineStr">
        <is>
          <t>E1, E2, E3</t>
        </is>
      </c>
      <c r="E15" s="22" t="inlineStr">
        <is>
          <t>FALTA — case não declara</t>
        </is>
      </c>
      <c r="F15" s="60" t="inlineStr">
        <is>
          <t>Escrever no case: planilha com a memória de cálculo, apresentação fechada e vídeo. Se não estiver pedido, não dá para pontuar como checklist.</t>
        </is>
      </c>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39.75" customHeight="1" s="65">
      <c r="A16" s="53" t="n"/>
      <c r="B16" s="58" t="inlineStr">
        <is>
          <t>☐</t>
        </is>
      </c>
      <c r="C16" s="45" t="inlineStr">
        <is>
          <t>Um parâmetro escolhido para a checagem ao vivo</t>
        </is>
      </c>
      <c r="D16" s="59" t="inlineStr">
        <is>
          <t>Entrevista</t>
        </is>
      </c>
      <c r="E16" s="22" t="inlineStr">
        <is>
          <t>Definir — sugestão abaixo</t>
        </is>
      </c>
      <c r="F16" s="60" t="inlineStr">
        <is>
          <t>Defina agora qual número o candidato terá de refazer na entrevista com valor alterado. É a verificação de propriedade que o take-home não consegue dar.</t>
        </is>
      </c>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14.25" customHeight="1" s="65">
      <c r="A17" s="53" t="n"/>
      <c r="B17" s="53" t="n"/>
      <c r="C17" s="53" t="n"/>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67" t="inlineStr">
        <is>
          <t>PARTE 2 — GABARITO (preencher com o case pronto)</t>
        </is>
      </c>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14.25" customHeight="1" s="65">
      <c r="A19" s="53" t="n"/>
      <c r="B19" s="25" t="inlineStr">
        <is>
          <t>Item</t>
        </is>
      </c>
      <c r="C19" s="25" t="inlineStr">
        <is>
          <t>Pergunta do case / o que se espera</t>
        </is>
      </c>
      <c r="D19" s="25" t="inlineStr">
        <is>
          <t>Valor esperado</t>
        </is>
      </c>
      <c r="E19" s="25" t="inlineStr">
        <is>
          <t>Tolerância</t>
        </is>
      </c>
      <c r="F19" s="25" t="inlineStr">
        <is>
          <t>Observação</t>
        </is>
      </c>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31.5" customHeight="1" s="65">
      <c r="A20" s="53" t="n"/>
      <c r="B20" s="29" t="inlineStr">
        <is>
          <t>A1</t>
        </is>
      </c>
      <c r="C20" s="46" t="inlineStr">
        <is>
          <t>Resultado operacional anual dos 4 bairros — modelo ARMÁRIOS (R$ milhões/ano)</t>
        </is>
      </c>
      <c r="D20" s="61" t="inlineStr">
        <is>
          <t>Estação Central 25,08 · Centro Histórico 23,15 · Arena 13,87 · Noite Alta 18,57</t>
        </is>
      </c>
      <c r="E20" s="58" t="inlineStr">
        <is>
          <t>±0,01 mi</t>
        </is>
      </c>
      <c r="F20" s="62" t="inlineStr">
        <is>
          <t>Todos os insumos estão no case: espera-se valor exato. Sem memória de cálculo visível, o teto é 2 mesmo com o valor certo. Arena: 900÷40=22,5 → 23 bancos.</t>
        </is>
      </c>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31.5" customHeight="1" s="65">
      <c r="A21" s="53" t="n"/>
      <c r="B21" s="29" t="inlineStr">
        <is>
          <t>A2</t>
        </is>
      </c>
      <c r="C21" s="46" t="inlineStr">
        <is>
          <t>Resultado operacional anual dos 4 bairros — modelo PARCEIROS (R$ milhões/ano)</t>
        </is>
      </c>
      <c r="D21" s="61" t="inlineStr">
        <is>
          <t>Estação Central 27,84 · Centro Histórico 24,50 · Arena 14,94 · Noite Alta 19,20</t>
        </is>
      </c>
      <c r="E21" s="58" t="inlineStr">
        <is>
          <t>±0,01 mi</t>
        </is>
      </c>
      <c r="F21" s="62" t="inlineStr">
        <is>
          <t>Receita e custo-base são idênticos aos dos armários. A diferença mora só em bancos × operação.</t>
        </is>
      </c>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31.5" customHeight="1" s="65">
      <c r="A22" s="53" t="n"/>
      <c r="B22" s="29" t="inlineStr">
        <is>
          <t>A3</t>
        </is>
      </c>
      <c r="C22" s="46" t="inlineStr">
        <is>
          <t>Ganho líquido dos parceiros = economia de bancos − acréscimo de operação (R$ mi/ano)</t>
        </is>
      </c>
      <c r="D22" s="61" t="inlineStr">
        <is>
          <t>Estação Central 2,76 · Centro Histórico 1,35 · Arena 1,07 · Noite Alta 0,63</t>
        </is>
      </c>
      <c r="E22" s="58" t="inlineStr">
        <is>
          <t>±0,01 mi</t>
        </is>
      </c>
      <c r="F22" s="62" t="inlineStr">
        <is>
          <t>Não há meta declarada neste case. Confira contra a tabela do próprio candidato: o número da recomendação tem de estar lá.</t>
        </is>
      </c>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31.5" customHeight="1" s="65">
      <c r="A23" s="53" t="n"/>
      <c r="B23" s="29" t="inlineStr">
        <is>
          <t>A4</t>
        </is>
      </c>
      <c r="C23" s="46" t="inlineStr">
        <is>
          <t>Ordem de prioridade dos demais bairros, ou defesa do modelo de armários</t>
        </is>
      </c>
      <c r="D23" s="61" t="inlineStr">
        <is>
          <t>Centro Histórico como 2º: 24,50 mi, 3,34 abaixo da Estação Central, margem 90,7% contra 77,3%. Armários: aceitar se reconhecer o resultado menor e justificar 24h/autosserviço, sem inventar receita.</t>
        </is>
      </c>
      <c r="E23" s="58" t="inlineStr">
        <is>
          <t>—</t>
        </is>
      </c>
      <c r="F23" s="62" t="inlineStr">
        <is>
          <t>Não existe resposta única: serve para calibrar o que é 'quantificado'.</t>
        </is>
      </c>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31.5" customHeight="1" s="65">
      <c r="A24" s="53" t="n"/>
      <c r="B24" s="29" t="inlineStr">
        <is>
          <t>A6</t>
        </is>
      </c>
      <c r="C24" s="46" t="inlineStr">
        <is>
          <t>Premissas em aberto (substituem a inconsistência plantada, ausente neste case)</t>
        </is>
      </c>
      <c r="D24" s="61" t="inlineStr">
        <is>
          <t>(1) A utilização não entra na receita — o enunciado avisa no Anexo C e nas Premissas. (2) A capacidade por estabelecimento não é informada: 2.400 posições não significam 2.400 parceiros.</t>
        </is>
      </c>
      <c r="E24" s="58" t="inlineStr">
        <is>
          <t>—</t>
        </is>
      </c>
      <c r="F24" s="62" t="inlineStr">
        <is>
          <t>ARMADILHAS que zeram A6: 52 semanas; utilização aplicada à receita; custos anuais multiplicados por 50; bancos cobrados dos parceiros; 920 posições na Arena; comissão inventada; índice de complexidade trocado.</t>
        </is>
      </c>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31.5" customHeight="1" s="65">
      <c r="A25" s="53" t="n"/>
      <c r="B25" s="29" t="inlineStr">
        <is>
          <t>—</t>
        </is>
      </c>
      <c r="C25" s="46" t="inlineStr">
        <is>
          <t>[descrever a PREMISSA deixada em aberto]</t>
        </is>
      </c>
      <c r="D25" s="61" t="inlineStr">
        <is>
          <t>Capacidade por ponto parceiro. Entra em R1 (recomendação) e A4 (alternativa), não pontua sozinha.</t>
        </is>
      </c>
      <c r="E25" s="58" t="inlineStr">
        <is>
          <t>—</t>
        </is>
      </c>
      <c r="F25" s="62" t="inlineStr">
        <is>
          <t>Não pontua sozinha: entra em R1 (recomendação) e A4 (alternativa).</t>
        </is>
      </c>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31.5" customHeight="1" s="65">
      <c r="A26" s="53" t="n"/>
      <c r="B26" s="29" t="inlineStr">
        <is>
          <t>—</t>
        </is>
      </c>
      <c r="C26" s="46" t="inlineStr">
        <is>
          <t>[parâmetro da checagem ao vivo na entrevista]</t>
        </is>
      </c>
      <c r="D26" s="61" t="inlineStr">
        <is>
          <t>Subir a operação dos parceiros na Estação Central de R$ 2.000 para R$ 3.400 por posição. Resposta: 36,00 − 3,36 − 8,16 = 24,48 mi — a Estação Central cai abaixo do Centro Histórico (24,50) e a recomendação vira.</t>
        </is>
      </c>
      <c r="E26" s="58" t="inlineStr">
        <is>
          <t>—</t>
        </is>
      </c>
      <c r="F26" s="62" t="inlineStr">
        <is>
          <t>Escolhido de propósito no ponto de virada: quem decorou o resultado não percebe que a conclusão muda.</t>
        </is>
      </c>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14.25" customHeight="1" s="65">
      <c r="A27" s="53" t="n"/>
      <c r="B27" s="53" t="n"/>
      <c r="C27" s="53" t="n"/>
      <c r="D27" s="53" t="n"/>
      <c r="E27" s="53"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14.25" customHeight="1" s="65">
      <c r="A28" s="53" t="n"/>
      <c r="B28" s="67" t="inlineStr">
        <is>
          <t>PARTE 3 — AUTOCORREÇÃO (opcional, mas é onde mora o maior ganho)</t>
        </is>
      </c>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18" customHeight="1" s="65">
      <c r="A29" s="53" t="n"/>
      <c r="B29" s="63" t="inlineStr">
        <is>
          <t>Se vocês pedirem os números-chave em campos obrigatórios do formulário de entrega, A1 e A2 se corrigem sozinhos.</t>
        </is>
      </c>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18" customHeight="1" s="65">
      <c r="A30" s="53" t="n"/>
      <c r="B30" s="63" t="inlineStr">
        <is>
          <t>Fórmula de exemplo, com a resposta do candidato em X2 e o valor esperado de A1 em D19:</t>
        </is>
      </c>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18" customHeight="1" s="65">
      <c r="A31" s="53" t="n"/>
      <c r="B31" s="64"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8" customHeight="1" s="65">
      <c r="A32" s="53" t="n"/>
      <c r="B32" s="63" t="inlineStr">
        <is>
          <t>Resultado: 12 dos 25 pontos de acurácia deixam de depender de quem corrigiu, e a conferência cai para segundos.</t>
        </is>
      </c>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8" customHeight="1" s="65">
      <c r="A33" s="53" t="n"/>
      <c r="B33" s="63" t="inlineStr">
        <is>
          <t>Atenção: o nível 3 exige memória de cálculo visível. A fórmula dá o teto; quem confere rebaixa para 2 se o Excel não veio.</t>
        </is>
      </c>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14.25" customHeight="1" s="65">
      <c r="A34" s="53" t="n"/>
      <c r="B34" s="53" t="n"/>
      <c r="C34" s="53" t="n"/>
      <c r="D34" s="53" t="n"/>
      <c r="E34" s="53" t="n"/>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14.25" customHeight="1" s="65">
      <c r="A35" s="53" t="n"/>
      <c r="B35" s="53" t="n"/>
      <c r="C35" s="53" t="n"/>
      <c r="D35" s="53" t="n"/>
      <c r="E35" s="53"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14.25" customHeight="1" s="65">
      <c r="A36" s="53" t="n"/>
      <c r="B36" s="53" t="n"/>
      <c r="C36" s="53" t="n"/>
      <c r="D36" s="53" t="n"/>
      <c r="E36" s="53"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14.25" customHeight="1" s="65">
      <c r="A37" s="53" t="n"/>
      <c r="B37" s="53" t="n"/>
      <c r="C37" s="53" t="n"/>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53" t="n"/>
      <c r="C38" s="53" t="n"/>
      <c r="D38" s="53" t="n"/>
      <c r="E38" s="53"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53" t="n"/>
      <c r="C39" s="53" t="n"/>
      <c r="D39" s="53" t="n"/>
      <c r="E39" s="53"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53" t="n"/>
      <c r="C40" s="53" t="n"/>
      <c r="D40" s="53" t="n"/>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53" t="n"/>
      <c r="C42" s="53" t="n"/>
      <c r="D42" s="53" t="n"/>
      <c r="E42" s="53"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53" t="n"/>
      <c r="C43" s="53" t="n"/>
      <c r="D43" s="53" t="n"/>
      <c r="E43" s="53"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53" t="n"/>
      <c r="C44" s="53" t="n"/>
      <c r="D44" s="53" t="n"/>
      <c r="E44" s="53"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53" t="n"/>
      <c r="C45" s="53" t="n"/>
      <c r="D45" s="53" t="n"/>
      <c r="E45" s="53"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53" t="n"/>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53" t="n"/>
      <c r="C47" s="53" t="n"/>
      <c r="D47" s="53" t="n"/>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53" t="n"/>
      <c r="C49" s="53" t="n"/>
      <c r="D49" s="53" t="n"/>
      <c r="E49" s="53"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53" t="n"/>
      <c r="C50" s="53" t="n"/>
      <c r="D50" s="53" t="n"/>
      <c r="E50" s="53"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53" t="n"/>
      <c r="C51" s="53" t="n"/>
      <c r="D51" s="53" t="n"/>
      <c r="E51" s="53"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53" t="n"/>
      <c r="C52" s="53" t="n"/>
      <c r="D52" s="53" t="n"/>
      <c r="E52" s="53"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53" t="n"/>
      <c r="C53" s="53" t="n"/>
      <c r="D53" s="53" t="n"/>
      <c r="E53" s="53"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53" t="n"/>
      <c r="C54" s="53" t="n"/>
      <c r="D54" s="53" t="n"/>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53" t="n"/>
      <c r="C56" s="53" t="n"/>
      <c r="D56" s="53" t="n"/>
      <c r="E56" s="53"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53" t="n"/>
      <c r="C57" s="53" t="n"/>
      <c r="D57" s="53" t="n"/>
      <c r="E57" s="53"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53" t="n"/>
      <c r="C58" s="53" t="n"/>
      <c r="D58" s="53" t="n"/>
      <c r="E58" s="53"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53" t="n"/>
      <c r="C59" s="53" t="n"/>
      <c r="D59" s="53" t="n"/>
      <c r="E59" s="53"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53" t="n"/>
      <c r="C60" s="53" t="n"/>
      <c r="D60" s="53" t="n"/>
      <c r="E60" s="53"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53" t="n"/>
      <c r="C61" s="53" t="n"/>
      <c r="D61" s="53" t="n"/>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53" t="n"/>
      <c r="C64" s="53" t="n"/>
      <c r="D64" s="53" t="n"/>
      <c r="E64" s="53" t="n"/>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53" t="n"/>
      <c r="C67" s="53" t="n"/>
      <c r="D67" s="53" t="n"/>
      <c r="E67" s="53"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53" t="n"/>
      <c r="C68" s="53" t="n"/>
      <c r="D68" s="53" t="n"/>
      <c r="E68" s="53"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53" t="n"/>
      <c r="C69" s="53" t="n"/>
      <c r="D69" s="53" t="n"/>
      <c r="E69" s="53"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5.7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5.7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5.7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5.7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5.7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5.7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5.7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5.7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5.7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5.7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5.7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5.7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5.7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5.7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5.7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5.7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5.7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5.7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5.7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5.7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5.7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5.7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5.7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5.7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5.7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5.7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5.7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5.7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5.7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5.7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5.7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5.7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5.7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5.7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5.7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5.7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1">
      <formula>"Feito"</formula>
    </cfRule>
    <cfRule type="cellIs" priority="2" operator="equal" dxfId="3">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5" min="1" max="1"/>
    <col width="5" customWidth="1" style="65" min="2" max="2"/>
    <col width="34" customWidth="1" style="65" min="3" max="3"/>
    <col width="33.29" customWidth="1" style="65" min="4" max="4"/>
    <col width="16" customWidth="1" style="65" min="5" max="5"/>
    <col width="96" customWidth="1" style="65" min="6" max="6"/>
    <col width="22" customWidth="1" style="65" min="7" max="7"/>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COMENTÁRIOS — resuma o que achou da entrega (mesma estrutura da planilha antiga)</t>
        </is>
      </c>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14.25" customHeight="1" s="65">
      <c r="A4" s="53" t="n"/>
      <c r="B4" s="25" t="inlineStr">
        <is>
          <t>#</t>
        </is>
      </c>
      <c r="C4" s="25" t="inlineStr">
        <is>
          <t>Candidato(a)</t>
        </is>
      </c>
      <c r="D4" s="25" t="inlineStr">
        <is>
          <t>Nome</t>
        </is>
      </c>
      <c r="E4" s="25" t="inlineStr">
        <is>
          <t>Avaliador</t>
        </is>
      </c>
      <c r="F4" s="25" t="inlineStr">
        <is>
          <t>Comentários</t>
        </is>
      </c>
      <c r="G4" s="25" t="inlineStr">
        <is>
          <t>Aprovaria?</t>
        </is>
      </c>
      <c r="H4" s="53" t="n"/>
      <c r="I4" s="53" t="n"/>
      <c r="J4" s="53" t="n"/>
      <c r="K4" s="53" t="n"/>
      <c r="L4" s="53" t="n"/>
      <c r="M4" s="53" t="n"/>
      <c r="N4" s="53" t="n"/>
      <c r="O4" s="53" t="n"/>
      <c r="P4" s="53" t="n"/>
      <c r="Q4" s="53" t="n"/>
      <c r="R4" s="53" t="n"/>
      <c r="S4" s="53" t="n"/>
      <c r="T4" s="53" t="n"/>
      <c r="U4" s="53" t="n"/>
      <c r="V4" s="53" t="n"/>
      <c r="W4" s="53" t="n"/>
      <c r="X4" s="53" t="n"/>
      <c r="Y4" s="53" t="n"/>
      <c r="Z4" s="53" t="n"/>
    </row>
    <row r="5" ht="14.25" customHeight="1" s="65">
      <c r="A5" s="53" t="n"/>
      <c r="B5" s="3">
        <f>IF($C5="","",ROW()-4)</f>
        <v/>
      </c>
      <c r="C5" s="3" t="inlineStr">
        <is>
          <t>g278083@dac.unicamp.br</t>
        </is>
      </c>
      <c r="D5" s="3" t="inlineStr">
        <is>
          <t>Gabrielle Cristofani do Rosario</t>
        </is>
      </c>
      <c r="E5" s="53" t="n"/>
      <c r="F5" s="73" t="n"/>
      <c r="G5" s="3" t="n"/>
      <c r="H5" s="53" t="n"/>
      <c r="I5" s="53" t="n"/>
      <c r="J5" s="53" t="n"/>
      <c r="K5" s="53" t="n"/>
      <c r="L5" s="53" t="n"/>
      <c r="M5" s="53" t="n"/>
      <c r="N5" s="53" t="n"/>
      <c r="O5" s="53" t="n"/>
      <c r="P5" s="53" t="n"/>
      <c r="Q5" s="53" t="n"/>
      <c r="R5" s="53" t="n"/>
      <c r="S5" s="53" t="n"/>
      <c r="T5" s="53" t="n"/>
      <c r="U5" s="53" t="n"/>
      <c r="V5" s="53" t="n"/>
      <c r="W5" s="53" t="n"/>
      <c r="X5" s="53" t="n"/>
      <c r="Y5" s="53" t="n"/>
      <c r="Z5" s="53" t="n"/>
    </row>
    <row r="6" ht="14.25" customHeight="1" s="65">
      <c r="A6" s="53" t="n"/>
      <c r="B6" s="3">
        <f>IF($C6="","",ROW()-4)</f>
        <v/>
      </c>
      <c r="C6" s="3" t="inlineStr">
        <is>
          <t>b309603@dac.unicamp.br</t>
        </is>
      </c>
      <c r="D6" s="3" t="inlineStr">
        <is>
          <t>Bruno Heberth Oliveira Bastos</t>
        </is>
      </c>
      <c r="E6" s="53" t="n"/>
      <c r="F6" s="73" t="n"/>
      <c r="G6" s="3" t="n"/>
      <c r="H6" s="53" t="n"/>
      <c r="I6" s="53" t="n"/>
      <c r="J6" s="53" t="n"/>
      <c r="K6" s="53" t="n"/>
      <c r="L6" s="53" t="n"/>
      <c r="M6" s="53" t="n"/>
      <c r="N6" s="53" t="n"/>
      <c r="O6" s="53" t="n"/>
      <c r="P6" s="53" t="n"/>
      <c r="Q6" s="53" t="n"/>
      <c r="R6" s="53" t="n"/>
      <c r="S6" s="53" t="n"/>
      <c r="T6" s="53" t="n"/>
      <c r="U6" s="53" t="n"/>
      <c r="V6" s="53" t="n"/>
      <c r="W6" s="53" t="n"/>
      <c r="X6" s="53" t="n"/>
      <c r="Y6" s="53" t="n"/>
      <c r="Z6" s="53" t="n"/>
    </row>
    <row r="7" ht="14.25" customHeight="1" s="65">
      <c r="A7" s="53" t="n"/>
      <c r="B7" s="3">
        <f>IF($C7="","",ROW()-4)</f>
        <v/>
      </c>
      <c r="C7" s="3" t="inlineStr">
        <is>
          <t>j309764@dac.unicamp.br</t>
        </is>
      </c>
      <c r="D7" s="3" t="inlineStr">
        <is>
          <t>João Pedro Mendes Stama</t>
        </is>
      </c>
      <c r="E7" s="53" t="n"/>
      <c r="F7" s="73" t="n"/>
      <c r="G7" s="3" t="n"/>
      <c r="H7" s="53" t="n"/>
      <c r="I7" s="53" t="n"/>
      <c r="J7" s="53" t="n"/>
      <c r="K7" s="53" t="n"/>
      <c r="L7" s="53" t="n"/>
      <c r="M7" s="53" t="n"/>
      <c r="N7" s="53" t="n"/>
      <c r="O7" s="53" t="n"/>
      <c r="P7" s="53" t="n"/>
      <c r="Q7" s="53" t="n"/>
      <c r="R7" s="53" t="n"/>
      <c r="S7" s="53" t="n"/>
      <c r="T7" s="53" t="n"/>
      <c r="U7" s="53" t="n"/>
      <c r="V7" s="53" t="n"/>
      <c r="W7" s="53" t="n"/>
      <c r="X7" s="53" t="n"/>
      <c r="Y7" s="53" t="n"/>
      <c r="Z7" s="53" t="n"/>
    </row>
    <row r="8" ht="14.25" customHeight="1" s="65">
      <c r="A8" s="53" t="n"/>
      <c r="B8" s="3">
        <f>IF($C8="","",ROW()-4)</f>
        <v/>
      </c>
      <c r="C8" s="3" t="inlineStr">
        <is>
          <t>r238449@dac.unicamp.br</t>
        </is>
      </c>
      <c r="D8" s="3" t="inlineStr">
        <is>
          <t>Rafael Ponciano Rodrigues dos Santos</t>
        </is>
      </c>
      <c r="E8" s="53" t="n"/>
      <c r="F8" s="73" t="n"/>
      <c r="G8" s="3" t="n"/>
      <c r="H8" s="53" t="n"/>
      <c r="I8" s="53" t="n"/>
      <c r="J8" s="53" t="n"/>
      <c r="K8" s="53" t="n"/>
      <c r="L8" s="53" t="n"/>
      <c r="M8" s="53" t="n"/>
      <c r="N8" s="53" t="n"/>
      <c r="O8" s="53" t="n"/>
      <c r="P8" s="53" t="n"/>
      <c r="Q8" s="53" t="n"/>
      <c r="R8" s="53" t="n"/>
      <c r="S8" s="53" t="n"/>
      <c r="T8" s="53" t="n"/>
      <c r="U8" s="53" t="n"/>
      <c r="V8" s="53" t="n"/>
      <c r="W8" s="53" t="n"/>
      <c r="X8" s="53" t="n"/>
      <c r="Y8" s="53" t="n"/>
      <c r="Z8" s="53" t="n"/>
    </row>
    <row r="9" ht="14.25" customHeight="1" s="65">
      <c r="A9" s="53" t="n"/>
      <c r="B9" s="3">
        <f>IF($C9="","",ROW()-4)</f>
        <v/>
      </c>
      <c r="C9" s="3" t="inlineStr">
        <is>
          <t>enzo.gag17@gmail.com</t>
        </is>
      </c>
      <c r="D9" s="3" t="inlineStr">
        <is>
          <t>Enzo Chofakian Gagliardi</t>
        </is>
      </c>
      <c r="E9" s="53" t="n"/>
      <c r="F9" s="73" t="n"/>
      <c r="G9" s="3" t="n"/>
      <c r="H9" s="53" t="n"/>
      <c r="I9" s="53" t="n"/>
      <c r="J9" s="53" t="n"/>
      <c r="K9" s="53" t="n"/>
      <c r="L9" s="53" t="n"/>
      <c r="M9" s="53" t="n"/>
      <c r="N9" s="53" t="n"/>
      <c r="O9" s="53" t="n"/>
      <c r="P9" s="53" t="n"/>
      <c r="Q9" s="53" t="n"/>
      <c r="R9" s="53" t="n"/>
      <c r="S9" s="53" t="n"/>
      <c r="T9" s="53" t="n"/>
      <c r="U9" s="53" t="n"/>
      <c r="V9" s="53" t="n"/>
      <c r="W9" s="53" t="n"/>
      <c r="X9" s="53" t="n"/>
      <c r="Y9" s="53" t="n"/>
      <c r="Z9" s="53" t="n"/>
    </row>
    <row r="10" ht="14.25" customHeight="1" s="65">
      <c r="A10" s="53" t="n"/>
      <c r="B10" s="3">
        <f>IF($C10="","",ROW()-4)</f>
        <v/>
      </c>
      <c r="C10" s="3" t="inlineStr">
        <is>
          <t>e278588@dac.unicamp.br</t>
        </is>
      </c>
      <c r="D10" s="3" t="inlineStr">
        <is>
          <t>Enrico Tristão e Mello de Oliveira</t>
        </is>
      </c>
      <c r="E10" s="53" t="n"/>
      <c r="F10" s="73" t="n"/>
      <c r="G10" s="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3">
        <f>IF($C11="","",ROW()-4)</f>
        <v/>
      </c>
      <c r="C11" s="3" t="inlineStr">
        <is>
          <t>e221509@dac.unicamp.br</t>
        </is>
      </c>
      <c r="D11" s="3" t="inlineStr">
        <is>
          <t>Eduardo Alves Henrique</t>
        </is>
      </c>
      <c r="E11" s="53" t="n"/>
      <c r="F11" s="73" t="n"/>
      <c r="G11" s="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14.25" customHeight="1" s="65">
      <c r="A12" s="53" t="n"/>
      <c r="B12" s="3">
        <f>IF($C12="","",ROW()-4)</f>
        <v/>
      </c>
      <c r="C12" s="3" t="inlineStr">
        <is>
          <t>l304532@dac.unicamp.br</t>
        </is>
      </c>
      <c r="D12" s="3" t="inlineStr">
        <is>
          <t>Leandra Cunha de Souza</t>
        </is>
      </c>
      <c r="E12" s="53" t="n"/>
      <c r="F12" s="73" t="n"/>
      <c r="G12" s="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14.25" customHeight="1" s="65">
      <c r="A13" s="53" t="n"/>
      <c r="B13" s="3">
        <f>IF($C13="","",ROW()-4)</f>
        <v/>
      </c>
      <c r="C13" s="3" t="inlineStr">
        <is>
          <t>v188630@dac.unicamp.br</t>
        </is>
      </c>
      <c r="D13" s="3" t="inlineStr">
        <is>
          <t>Vagner Ássimos Gomes Carlos Filho</t>
        </is>
      </c>
      <c r="E13" s="53" t="n"/>
      <c r="F13" s="73" t="n"/>
      <c r="G13" s="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14.25" customHeight="1" s="65">
      <c r="A14" s="53" t="n"/>
      <c r="B14" s="3">
        <f>IF($C14="","",ROW()-4)</f>
        <v/>
      </c>
      <c r="C14" s="3" t="inlineStr">
        <is>
          <t>m277865@dac.unicamp.br</t>
        </is>
      </c>
      <c r="D14" s="3" t="inlineStr">
        <is>
          <t>Mariana Nunes Galvão Sant'Anna</t>
        </is>
      </c>
      <c r="E14" s="53" t="n"/>
      <c r="F14" s="73" t="n"/>
      <c r="G14" s="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14.25" customHeight="1" s="65">
      <c r="A15" s="53" t="n"/>
      <c r="B15" s="3">
        <f>IF($C15="","",ROW()-4)</f>
        <v/>
      </c>
      <c r="C15" s="3" t="inlineStr">
        <is>
          <t>a266739@dac.unicamp.br</t>
        </is>
      </c>
      <c r="D15" s="3" t="inlineStr">
        <is>
          <t>Aslan Rodrigues Maia</t>
        </is>
      </c>
      <c r="E15" s="3" t="inlineStr">
        <is>
          <t>Ferro</t>
        </is>
      </c>
      <c r="F15" s="73" t="inlineStr">
        <is>
          <t>TIrou 2/3 do Gmat, e falou um pouco travado no vídeo, mas foi bem (não é bixo)</t>
        </is>
      </c>
      <c r="G15" s="3" t="inlineStr">
        <is>
          <t>Passaria para ver o case</t>
        </is>
      </c>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14.25" customHeight="1" s="65">
      <c r="A16" s="53" t="n"/>
      <c r="B16" s="3">
        <f>IF($C16="","",ROW()-4)</f>
        <v/>
      </c>
      <c r="C16" s="3" t="inlineStr">
        <is>
          <t>j278641@dac.unicamp.br</t>
        </is>
      </c>
      <c r="D16" s="3" t="inlineStr">
        <is>
          <t>João Gabriel de Oliveira Morcelli</t>
        </is>
      </c>
      <c r="E16" s="3" t="inlineStr">
        <is>
          <t>Ferro</t>
        </is>
      </c>
      <c r="F16" s="73" t="inlineStr">
        <is>
          <t>Tirou 2/3 do Gmat tbm, e fez no final sem energia, cara foi resiliente, falou muito bem no vídeo</t>
        </is>
      </c>
      <c r="G16" s="3" t="inlineStr">
        <is>
          <t>Sim</t>
        </is>
      </c>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14.25" customHeight="1" s="65">
      <c r="A17" s="53" t="n"/>
      <c r="B17" s="3">
        <f>IF($C17="","",ROW()-4)</f>
        <v/>
      </c>
      <c r="C17" s="3" t="inlineStr">
        <is>
          <t>r278709@dac.unicamp.br</t>
        </is>
      </c>
      <c r="D17" s="3" t="inlineStr">
        <is>
          <t>Raphael Negrini Saggioro</t>
        </is>
      </c>
      <c r="E17" s="3" t="inlineStr">
        <is>
          <t>Ferro</t>
        </is>
      </c>
      <c r="F17" s="73" t="inlineStr">
        <is>
          <t>Foi bem no Gmat tbm, falou muito bem, e falou dos projetos do CCU, fez a pesquisa básica ali, mandou bem</t>
        </is>
      </c>
      <c r="G17" s="3" t="inlineStr">
        <is>
          <t>Sim</t>
        </is>
      </c>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3">
        <f>IF($C18="","",ROW()-4)</f>
        <v/>
      </c>
      <c r="C18" s="3" t="inlineStr">
        <is>
          <t>g278107@dac.unicamp.br</t>
        </is>
      </c>
      <c r="D18" s="3" t="inlineStr">
        <is>
          <t>Gustavo Daher Pereira</t>
        </is>
      </c>
      <c r="E18" s="53" t="n"/>
      <c r="F18" s="73" t="n"/>
      <c r="G18" s="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14.25" customHeight="1" s="65">
      <c r="A19" s="53" t="n"/>
      <c r="B19" s="3">
        <f>IF($C19="","",ROW()-4)</f>
        <v/>
      </c>
      <c r="C19" s="3" t="inlineStr">
        <is>
          <t>rickfilho2007@gmail.com</t>
        </is>
      </c>
      <c r="D19" s="3" t="inlineStr">
        <is>
          <t>Ricardo Augusto Schmitt Filho</t>
        </is>
      </c>
      <c r="E19" s="53" t="n"/>
      <c r="F19" s="73" t="n"/>
      <c r="G19" s="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14.25" customHeight="1" s="65">
      <c r="A20" s="53" t="n"/>
      <c r="B20" s="3">
        <f>IF($C20="","",ROW()-4)</f>
        <v/>
      </c>
      <c r="C20" s="3" t="inlineStr">
        <is>
          <t>m306365@dac.unicamp.br</t>
        </is>
      </c>
      <c r="D20" s="3" t="inlineStr">
        <is>
          <t>Matheus Dias Freitas</t>
        </is>
      </c>
      <c r="E20" s="53" t="n"/>
      <c r="F20" s="73" t="n"/>
      <c r="G20" s="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14.25" customHeight="1" s="65">
      <c r="A21" s="53" t="n"/>
      <c r="B21" s="3">
        <f>IF($C21="","",ROW()-4)</f>
        <v/>
      </c>
      <c r="C21" s="3" t="inlineStr">
        <is>
          <t>k267983@dac.unicamp.br</t>
        </is>
      </c>
      <c r="D21" s="3" t="inlineStr">
        <is>
          <t>Klaus Augusto Santos da Silva</t>
        </is>
      </c>
      <c r="E21" s="53" t="n"/>
      <c r="F21" s="73" t="n"/>
      <c r="G21" s="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14.25" customHeight="1" s="65">
      <c r="A22" s="53" t="n"/>
      <c r="B22" s="3">
        <f>IF($C22="","",ROW()-4)</f>
        <v/>
      </c>
      <c r="C22" s="3" t="inlineStr">
        <is>
          <t>r302729@dac.unicamp.br</t>
        </is>
      </c>
      <c r="D22" s="3" t="inlineStr">
        <is>
          <t>Rafael Rodrigues Moreira</t>
        </is>
      </c>
      <c r="E22" s="53" t="n"/>
      <c r="F22" s="73" t="n"/>
      <c r="G22" s="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14.25" customHeight="1" s="65">
      <c r="A23" s="53" t="n"/>
      <c r="B23" s="3">
        <f>IF($C23="","",ROW()-4)</f>
        <v/>
      </c>
      <c r="C23" s="3" t="inlineStr">
        <is>
          <t>c258388@dac.unicamp.br</t>
        </is>
      </c>
      <c r="D23" s="3" t="inlineStr">
        <is>
          <t>Caio Augusto Saab</t>
        </is>
      </c>
      <c r="E23" s="53" t="n"/>
      <c r="F23" s="73" t="n"/>
      <c r="G23" s="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14.25" customHeight="1" s="65">
      <c r="A24" s="53" t="n"/>
      <c r="B24" s="3">
        <f>IF($C24="","",ROW()-4)</f>
        <v/>
      </c>
      <c r="C24" s="3" t="inlineStr">
        <is>
          <t>j260826@dac.unicamp.br</t>
        </is>
      </c>
      <c r="D24" s="3" t="inlineStr">
        <is>
          <t>José Vitor Dias Tutu</t>
        </is>
      </c>
      <c r="E24" s="53" t="n"/>
      <c r="F24" s="73" t="n"/>
      <c r="G24" s="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14.25" customHeight="1" s="65">
      <c r="A25" s="53" t="n"/>
      <c r="B25" s="3">
        <f>IF($C25="","",ROW()-4)</f>
        <v/>
      </c>
      <c r="C25" s="3" t="inlineStr">
        <is>
          <t xml:space="preserve">i253464@dac.unicamp.br
</t>
        </is>
      </c>
      <c r="D25" s="3" t="inlineStr">
        <is>
          <t>Isadora Kluge Dorigan</t>
        </is>
      </c>
      <c r="E25" s="53" t="n"/>
      <c r="F25" s="73" t="n"/>
      <c r="G25" s="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14.25" customHeight="1" s="65">
      <c r="A26" s="53" t="n"/>
      <c r="B26" s="3">
        <f>IF($C26="","",ROW()-4)</f>
        <v/>
      </c>
      <c r="C26" s="53" t="inlineStr">
        <is>
          <t>a266739@dac.unicamp.br</t>
        </is>
      </c>
      <c r="D26" s="53" t="inlineStr">
        <is>
          <t>Aslan Rodrigues Maia</t>
        </is>
      </c>
      <c r="E26" s="53" t="inlineStr">
        <is>
          <t>Matteo</t>
        </is>
      </c>
      <c r="F26" s="73"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COMPARAÇÃO COM O CLUBE: na base só do case, Ferro ficou em 7,33 e eu em 9,19, diferença de 1,86, acima do limite de 1,0, então cai na conversa de calibração.</t>
        </is>
      </c>
      <c r="G26" s="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14.25" customHeight="1" s="65">
      <c r="A27" s="53" t="n"/>
      <c r="B27" s="3">
        <f>IF($C27="","",ROW()-4)</f>
        <v/>
      </c>
      <c r="C27" s="53" t="inlineStr">
        <is>
          <t>b309603@dac.unicamp.br</t>
        </is>
      </c>
      <c r="D27" s="53" t="inlineStr">
        <is>
          <t>Bruno Heberth Oliveira Bastos</t>
        </is>
      </c>
      <c r="E27" s="53" t="inlineStr">
        <is>
          <t>Matteo</t>
        </is>
      </c>
      <c r="F27" s="73"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COMPARAÇÃO COM O CLUBE: na base só do case, victor e Fred ficou em 5,59 e eu em 6,85, diferença de 1,26, acima do limite de 1,0, então cai na conversa de calibração.</t>
        </is>
      </c>
      <c r="G27" s="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14.25" customHeight="1" s="65">
      <c r="A28" s="53" t="n"/>
      <c r="B28" s="3">
        <f>IF($C28="","",ROW()-4)</f>
        <v/>
      </c>
      <c r="C28" s="53" t="inlineStr">
        <is>
          <t>c258388@dac.unicamp.br</t>
        </is>
      </c>
      <c r="D28" s="53" t="inlineStr">
        <is>
          <t>Caio Augusto Saab</t>
        </is>
      </c>
      <c r="E28" s="53" t="inlineStr">
        <is>
          <t>Matteo</t>
        </is>
      </c>
      <c r="F28" s="73"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COMPARAÇÃO COM O CLUBE: na base só do case, luis e victor ficou em 3,06 e eu em 3,19, diferença de 0,13, dentro do limite de 1,0.</t>
        </is>
      </c>
      <c r="G28" s="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14.25" customHeight="1" s="65">
      <c r="A29" s="53" t="n"/>
      <c r="B29" s="3">
        <f>IF($C29="","",ROW()-4)</f>
        <v/>
      </c>
      <c r="C29" s="53" t="inlineStr">
        <is>
          <t>e221509@dac.unicamp.br</t>
        </is>
      </c>
      <c r="D29" s="53" t="inlineStr">
        <is>
          <t>Eduardo Alves Henrique</t>
        </is>
      </c>
      <c r="E29" s="53" t="inlineStr">
        <is>
          <t>Matteo</t>
        </is>
      </c>
      <c r="F29" s="73"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COMPARAÇÃO COM O CLUBE: na base só do case, victor e Proc ficou em 5,87 e eu em 6,81, diferença de 0,94, dentro do limite de 1,0.</t>
        </is>
      </c>
      <c r="G29" s="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14.25" customHeight="1" s="65">
      <c r="A30" s="53" t="n"/>
      <c r="B30" s="3">
        <f>IF($C30="","",ROW()-4)</f>
        <v/>
      </c>
      <c r="C30" s="53" t="inlineStr">
        <is>
          <t>e278588@dac.unicamp.br</t>
        </is>
      </c>
      <c r="D30" s="53" t="inlineStr">
        <is>
          <t>Enrico Tristão e Mello de Oliveira</t>
        </is>
      </c>
      <c r="E30" s="53" t="inlineStr">
        <is>
          <t>Matteo</t>
        </is>
      </c>
      <c r="F30" s="73"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VÍDEO DA ENTREGA: confirmado na pasta do Drive, arquivo "Video Project ofc.mp4". Por isso E3 vale 1. O arquivo não estava na pasta numerada do repositório.
COMPARAÇÃO COM O CLUBE: na base só do case, victor ficou em 8,33 e eu em 9,26, diferença de 0,93, dentro do limite de 1,0.</t>
        </is>
      </c>
      <c r="G30" s="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14.25" customHeight="1" s="65">
      <c r="A31" s="53" t="n"/>
      <c r="B31" s="3">
        <f>IF($C31="","",ROW()-4)</f>
        <v/>
      </c>
      <c r="C31" s="53" t="inlineStr">
        <is>
          <t>07</t>
        </is>
      </c>
      <c r="D31" s="53" t="inlineStr">
        <is>
          <t>Candidato 07 (não identificado)</t>
        </is>
      </c>
      <c r="E31" s="53" t="inlineStr">
        <is>
          <t>Matteo</t>
        </is>
      </c>
      <c r="F31" s="73" t="inlineStr">
        <is>
          <t>Maior nota do conjunto, e o que decide é disciplina de modelagem somada à pergunta certa de robustez. Os oito cenários fecham e a planilha tem infraestrutura de autoconferência: um bloco de Conferências com três checagens que têm de dar zero, mais um validador que responde OK ou REVER se a capacidade física não cobrir a necessária. Ele é o único que modela explicitamente a sobra do arredondamento, 23 bancos na Arena dão 920 posições físicas para 900 necessárias, e ele registra as 20 de sobra sem deixar isso contaminar o custo, que segue nas posições necessárias. E é o único que antecipou por escrito a armadilha em que a pasta 05 caiu: a aba Premissas diz, em letras claras, que todos os custos são anuais e que o banco não é CAPEX. O melhor da entrega, porém, é o slide 7. Quase todo mundo que fez sensibilidade mediu distância da falência. Ele mediu duas coisas: os 77% de queda de demanda até o resultado zerar e, muito mais útil, os 9,3% de queda que já fariam a Estação perder a liderança para o Centro Histórico. Essa é a pergunta que decide se o ranking é frágil, e o número confere. Vale um contraponto que eu levaria à entrevista: 9,3% de folga não é obviamente "risco baixo" como ele afirma no slide, é uma margem estreita para uma projeção de demanda não validada, e a leitura dele é otimista demais para o próprio número que produziu. Faltou pouco: nenhum reparo de forma, e o único vazio é não ter explorado o que o modelo dele já permitia, o break-even do custo do banco. Na entrevista eu perguntaria: por que a queda admissível até zerar (77,3%) é exatamente igual à sua margem operacional? Quem entendeu que todo custo do case é fixo responde na hora, e quem só preencheu a planilha travá. Nota 8,60 com V1 e V2 em branco; considerando só o que dá para avaliar, 9,56.</t>
        </is>
      </c>
      <c r="G31" s="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3">
        <f>IF($C32="","",ROW()-4)</f>
        <v/>
      </c>
      <c r="C32" s="53" t="inlineStr">
        <is>
          <t>g278083@dac.unicamp.br</t>
        </is>
      </c>
      <c r="D32" s="53" t="inlineStr">
        <is>
          <t>Gabrielle Cristofani do Rosario</t>
        </is>
      </c>
      <c r="E32" s="53" t="inlineStr">
        <is>
          <t>Matteo</t>
        </is>
      </c>
      <c r="F32" s="73"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VÍDEO DA ENTREGA: confirmado na pasta do Drive, arquivo "nyh-utiu-sti (2026-09-16 10-48 GMT-3).mov". Por isso E3 vale 1. O arquivo não estava na pasta numerada do repositório.
COMPARAÇÃO COM O CLUBE: na base só do case, victor e Fred ficou em 6,81 e eu em 7,44, diferença de 0,63, dentro do limite de 1,0.</t>
        </is>
      </c>
      <c r="G32" s="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4.25" customHeight="1" s="65">
      <c r="A33" s="53" t="n"/>
      <c r="B33" s="3">
        <f>IF($C33="","",ROW()-4)</f>
        <v/>
      </c>
      <c r="C33" s="53" t="inlineStr">
        <is>
          <t>09</t>
        </is>
      </c>
      <c r="D33" s="53" t="inlineStr">
        <is>
          <t>Candidato 09 (não identificado)</t>
        </is>
      </c>
      <c r="E33" s="53" t="inlineStr">
        <is>
          <t>Matteo</t>
        </is>
      </c>
      <c r="F33" s="73" t="inlineStr">
        <is>
          <t>Entrega de alto nível com um erro de leitura que atravessa metade dela, e as duas coisas precisam ser ditas juntas. O que está muito bom: o score multicritério é o método mais transparente do conjunto, pesos publicados, critério de normalização coerente (a interpolação do resultado operacional fecha), e as oito alternativas comparadas na mesma régua. Os action titles são exemplares, inclusive o do slide 4, que assume o contra-argumento em vez de esconder ("Centro lidera a margem, apesar de abrir mão de R$ 3,34 mi"). Os riscos são específicos e mitigados. E na Arena ele fixou 23 bancos à mão, contra a fórmula que daria 22,5, o que mostra que viu o arredondamento. O problema: a partir do slide 8, tudo se apoia em remover o custo do banco do Ano 2 em diante, como se os R$ 70.000 fossem investimento inicial. O Anexo E diz, em letras claras, que todos os valores são anuais. Sob a premissa correta, os armários nunca superam os parceiros em nenhum bairro, e aí caem o score de expansão, o R$ 29,28 mi recorrente, o R$ 142,20 mi de cinco anos e o roadmap bifásico inteiro, que é justamente a parte mais original da entrega. A pasta 05 cometeu o mesmo erro, mas confinado a um slide e anotado à mão como decisão consciente; aqui ele é a espinha dorsal e não está declarado em lugar nenhum. Vale registrar que a pasta 07 antecipou exatamente esse risco por escrito na aba de premissas. Segundo ponto, menor: ele lê a "prioridade de rentabilidade anual" como margem, quando o resto da frase no case ("que deverá sustentar a expansão") aponta para caixa absoluto. É leitura defensável e está declarada, mas é o que o faz escolher a 2ª melhor opção. Na entrevista eu faria uma pergunta só, e ela vale a etapa toda: o Anexo E diz que todos os custos são anuais, inclusive os R$ 70.000 por banco. Seu modelo remove esse custo a partir do Ano 2, por quê, e o que acontece com a sua recomendação se ele for mesmo anual? Quem entendeu o próprio modelo reconhece na hora que o roadmap cai. Nota 8,30 com V1 e V2 em branco; considerando só o que dá para avaliar, 9,22.</t>
        </is>
      </c>
      <c r="G33" s="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14.25" customHeight="1" s="65">
      <c r="A34" s="53" t="n"/>
      <c r="B34" s="3">
        <f>IF($C34="","",ROW()-4)</f>
        <v/>
      </c>
      <c r="C34" s="53" t="inlineStr">
        <is>
          <t>10</t>
        </is>
      </c>
      <c r="D34" s="53" t="inlineStr">
        <is>
          <t>Candidato 10 (não identificado)</t>
        </is>
      </c>
      <c r="E34" s="53" t="inlineStr">
        <is>
          <t>Matteo</t>
        </is>
      </c>
      <c r="F34" s="73" t="inlineStr">
        <is>
          <t>A melhor ideia do conjunto está nesta entrega, e ela está na seção 7. Em vez de justificar uma escolha qualitativa com adjetivos, ele precifica: trocar parceiros por armários na Estação e em Noite Alta custa R$ 3.390.000 por ano, e está escrito. Isso transforma um julgamento em algo que a diretoria pode aceitar ou recusar com um número na mão, e é exatamente o que se espera de consultoria. O argumento por trás também é sólido e ancorado no material, o Anexo D diz que parceiros têm horários variáveis e que armários operam 24h, e uma estação com 110 mil embarques/dia não combina com horário de comércio. Em Noite Alta ele vai além do que o case dá e explicita por que a complexidade é alta: confusão de itens, perda de comprovante e disputa sobre custódia com cliente embriagado. Isso é raciocínio próprio. Dois reparos de peso. O primeiro é a agregação: ele soma os quatro bairros para chegar aos R$ 83,09M, mas o case pede um bairro prioritário e uma sequência, não quatro lançamentos simultâneos, restrita à decisão real, a abdicação é R$ 2,76M, não R$ 3,39M. A ideia está certa e a conta está na base errada. O segundo é que ele lista apenas os riscos da opção que descartou. Escolheu armários e não diz uma palavra sobre os riscos de armários, 60 bancos para instalar, capital imobilizado, dependência tecnológica. Falta também qualquer próximo passo, que a tarefa 04 pede explicitamente. E enviar o rascunho junto, com os separadores de "######", custou ponto de forma sem necessidade. Na entrevista eu faria as duas perguntas que fecham os buracos: se a decisão é só sobre a Estação, quanto você está abdicando de fato? E quais são os riscos de escolher armários, já que você só listou os de parceiros? Nota 6,57 com V1 e V2 em branco; considerando só o que dá para avaliar, 7,30.</t>
        </is>
      </c>
      <c r="G34" s="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14.25" customHeight="1" s="65">
      <c r="A35" s="53" t="n"/>
      <c r="B35" s="3">
        <f>IF($C35="","",ROW()-4)</f>
        <v/>
      </c>
      <c r="C35" s="53" t="inlineStr">
        <is>
          <t>l304532@dac.unicamp.br</t>
        </is>
      </c>
      <c r="D35" s="53" t="inlineStr">
        <is>
          <t>Leandra Cunha de Souza</t>
        </is>
      </c>
      <c r="E35" s="53" t="inlineStr">
        <is>
          <t>Matteo</t>
        </is>
      </c>
      <c r="F35" s="73"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COMPARAÇÃO COM O CLUBE: na base só do case, victor e Proc ficou em 4,78 e eu em 5,41, diferença de 0,63, dentro do limite de 1,0.</t>
        </is>
      </c>
      <c r="G35" s="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14.25" customHeight="1" s="65">
      <c r="A36" s="53" t="n"/>
      <c r="B36" s="3">
        <f>IF($C36="","",ROW()-4)</f>
        <v/>
      </c>
      <c r="C36" s="53" t="inlineStr">
        <is>
          <t>m277865@dac.unicamp.br</t>
        </is>
      </c>
      <c r="D36" s="53" t="inlineStr">
        <is>
          <t>Mariana Nunes Galvão Sant'Anna</t>
        </is>
      </c>
      <c r="E36" s="53" t="inlineStr">
        <is>
          <t>Matteo</t>
        </is>
      </c>
      <c r="F36" s="73"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COMPARAÇÃO COM O CLUBE: na base só do case, luis ficou em 8,85 e eu em 8,70, diferença de 0,15, dentro do limite de 1,0.</t>
        </is>
      </c>
      <c r="G36" s="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14.25" customHeight="1" s="65">
      <c r="A37" s="53" t="n"/>
      <c r="B37" s="3">
        <f>IF($C37="","",ROW()-4)</f>
        <v/>
      </c>
      <c r="C37" s="53" t="inlineStr">
        <is>
          <t>13</t>
        </is>
      </c>
      <c r="D37" s="53" t="inlineStr">
        <is>
          <t>Candidato 13 (não identificado)</t>
        </is>
      </c>
      <c r="E37" s="53" t="inlineStr">
        <is>
          <t>Matteo</t>
        </is>
      </c>
      <c r="F37" s="73" t="inlineStr">
        <is>
          <t>É a entrega mais frustrante do conjunto, porque a parte difícil está certa e a parte fácil não foi feita. Os oito cenários estão todos corretos, desenvolvidos à mão linha por linha, incluindo o arredondamento de 23 bancos na Arena, e as lucratividades todas conferem. Ele aplicou os 3C's ao case, montou uma projeção de 5 anos com gráficos, e fez a observação qualitativa mais aguda do conjunto: anotou que uma conexão dura em média 1h30 a 2h e que isso geralmente não dá tempo de passear pela cidade, ou seja, questionou se a demanda projetada para a Estação Central faz sentido, o que nenhum outro candidato pensou. E então não recomendou nada. Não há escolha de bairro, não há escolha de modelo, não há riscos da recomendação nem próximos passos. A tarefa 04 do enunciado pede exatamente isso e simplesmente não foi entregue, e é o que derruba Comunicação e Raciocínio quase por completo. Some-se o formato: seis fotos de caderno com sombra e um print de planilha, sem nenhum documento fechado. Sobre a projeção, ela também não sobrevive: ele anota "apenas 1º ano" ao lado do custo do banco, e o Anexo E diz que todos os valores são anuais, corrigida a premissa, os armários nunca ultrapassam os parceiros e os quatro gráficos perdem sentido. Vale registrar para a diretoria que este é o terceiro candidato a ler o banco como investimento (junto com as pastas 05 e 09), o que sugere que a redação do Anexo E merece um ajuste no próximo case. Na entrevista, se ele passar, a primeira pergunta é a que falta: você calculou tudo, então qual bairro e qual modelo você escolhe, e por quê? A segunda: por que o banco vale só no 1º ano? A terceira eu faria por interesse genuíno: sua observação sobre a conexão de 1h30 é boa, o que ela faz com a demanda de 24 mil transações do case? Nota 3,13 com V1 e V2 em branco; considerando só o que dá para avaliar, 3,48.</t>
        </is>
      </c>
      <c r="G37" s="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3">
        <f>IF($C38="","",ROW()-4)</f>
        <v/>
      </c>
      <c r="C38" s="53" t="inlineStr">
        <is>
          <t>r302729@dac.unicamp.br</t>
        </is>
      </c>
      <c r="D38" s="53" t="inlineStr">
        <is>
          <t>Rafael Rodrigues Moreira</t>
        </is>
      </c>
      <c r="E38" s="53" t="inlineStr">
        <is>
          <t>Matteo</t>
        </is>
      </c>
      <c r="F38" s="73"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COMPARAÇÃO COM O CLUBE: na base só do case, Ferro ficou em 7,37 e eu em 6,52, diferença de 0,85, dentro do limite de 1,0.</t>
        </is>
      </c>
      <c r="G38" s="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3">
        <f>IF($C39="","",ROW()-4)</f>
        <v/>
      </c>
      <c r="C39" s="53" t="inlineStr">
        <is>
          <t>15</t>
        </is>
      </c>
      <c r="D39" s="53" t="inlineStr">
        <is>
          <t>Candidato 15 (não identificado)</t>
        </is>
      </c>
      <c r="E39" s="53" t="inlineStr">
        <is>
          <t>Matteo</t>
        </is>
      </c>
      <c r="F39" s="73" t="inlineStr">
        <is>
          <t>O cálculo está perfeito e é praticamente tudo o que existe. Os oito cenários estão certos, desenvolvidos à mão, e a Arena, onde a maioria escorrega, está não só correta como autocorrigida: ele escreveu a divisão 900/40, riscou o primeiro resultado e anotou acima, com seta, "arredondando para 23". Ver a correção acontecendo na página é, a melhor prova de domínio de todo o processo seletivo. O problema é que a entrega para aí. Não há comparação entre bairros, não há critério de atratividade, não há escolha de bairro, não há escolha de modelo, não há riscos da recomendação, não há próximos passos e não há uma única tabela ou gráfico. Das quatro tarefas do enunciado, uma foi entregue por completo. O formato agrava: são oito páginas manuscritas digitalizadas e um dos arquivos se chama "rascunho", ou seja, ele enviou material de trabalho em vez de entregável. O que existe de análise qualitativa está no rascunho, e é melhor do que parece, a lista de prós e contras dos dois modelos inclui uma observação que ninguém mais fez, a de que nos pontos parceiros pode ser mais difícil o cliente achar e conhecer o BagHub, que é um ponto real de descoberta e conversão. Isso mostra que havia raciocínio disponível; faltou transformar em entrega. Na entrevista, se ele avançar, a pergunta é direta e vale tudo: você calculou os oito cenários corretamente, então qual bairro e qual modelo você recomenda, e por quê? E, para confirmar propriedade: por que a Arena arredonda para 23 e não fica em 22,5? Nota 2,63 com V1 e V2 em branco; considerando só o que dá para avaliar, 2,93.</t>
        </is>
      </c>
      <c r="G39" s="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3">
        <f>IF($C40="","",ROW()-4)</f>
        <v/>
      </c>
      <c r="C40" s="53" t="inlineStr">
        <is>
          <t>v188630@dac.unicamp.br</t>
        </is>
      </c>
      <c r="D40" s="53" t="inlineStr">
        <is>
          <t>Vagner Ássimos Gomes Carlos Filho</t>
        </is>
      </c>
      <c r="E40" s="53" t="inlineStr">
        <is>
          <t>Matteo</t>
        </is>
      </c>
      <c r="F40" s="73"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COMPARAÇÃO COM O CLUBE: na base só do case, victor e Proc ficou em 5,91 e eu em 6,52, diferença de 0,61, dentro do limite de 1,0.</t>
        </is>
      </c>
      <c r="G40" s="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3">
        <f>IF($C41="","",ROW()-4)</f>
        <v/>
      </c>
      <c r="C41" s="53" t="n"/>
      <c r="D41" s="53" t="n"/>
      <c r="E41" s="53" t="n"/>
      <c r="F41" s="73" t="n"/>
      <c r="G41" s="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3">
        <f>IF($C42="","",ROW()-4)</f>
        <v/>
      </c>
      <c r="C42" s="53" t="n"/>
      <c r="D42" s="53" t="n"/>
      <c r="E42" s="53" t="n"/>
      <c r="F42" s="73" t="n"/>
      <c r="G42" s="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3">
        <f>IF($C43="","",ROW()-4)</f>
        <v/>
      </c>
      <c r="C43" s="53" t="n"/>
      <c r="D43" s="53" t="n"/>
      <c r="E43" s="53" t="n"/>
      <c r="F43" s="73" t="n"/>
      <c r="G43" s="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3">
        <f>IF($C44="","",ROW()-4)</f>
        <v/>
      </c>
      <c r="C44" s="53" t="n"/>
      <c r="D44" s="53" t="n"/>
      <c r="E44" s="53" t="n"/>
      <c r="F44" s="73" t="n"/>
      <c r="G44" s="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3">
        <f>IF($C45="","",ROW()-4)</f>
        <v/>
      </c>
      <c r="C45" s="53" t="n"/>
      <c r="D45" s="53" t="n"/>
      <c r="E45" s="53" t="n"/>
      <c r="F45" s="73" t="n"/>
      <c r="G45" s="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3">
        <f>IF($C46="","",ROW()-4)</f>
        <v/>
      </c>
      <c r="C46" s="53" t="n"/>
      <c r="D46" s="53" t="n"/>
      <c r="E46" s="53" t="n"/>
      <c r="F46" s="73" t="n"/>
      <c r="G46" s="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3">
        <f>IF($C47="","",ROW()-4)</f>
        <v/>
      </c>
      <c r="C47" s="53" t="n"/>
      <c r="D47" s="53" t="n"/>
      <c r="E47" s="53" t="n"/>
      <c r="F47" s="73" t="n"/>
      <c r="G47" s="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3">
        <f>IF($C48="","",ROW()-4)</f>
        <v/>
      </c>
      <c r="C48" s="53" t="n"/>
      <c r="D48" s="53" t="n"/>
      <c r="E48" s="53" t="n"/>
      <c r="F48" s="73" t="n"/>
      <c r="G48" s="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3">
        <f>IF($C49="","",ROW()-4)</f>
        <v/>
      </c>
      <c r="C49" s="53" t="n"/>
      <c r="D49" s="53" t="n"/>
      <c r="E49" s="53" t="n"/>
      <c r="F49" s="73" t="n"/>
      <c r="G49" s="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3">
        <f>IF($C50="","",ROW()-4)</f>
        <v/>
      </c>
      <c r="C50" s="53" t="n"/>
      <c r="D50" s="53" t="n"/>
      <c r="E50" s="53" t="n"/>
      <c r="F50" s="73" t="n"/>
      <c r="G50" s="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3">
        <f>IF($C51="","",ROW()-4)</f>
        <v/>
      </c>
      <c r="C51" s="53" t="n"/>
      <c r="D51" s="53" t="n"/>
      <c r="E51" s="53" t="n"/>
      <c r="F51" s="73" t="n"/>
      <c r="G51" s="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3">
        <f>IF($C52="","",ROW()-4)</f>
        <v/>
      </c>
      <c r="C52" s="53" t="n"/>
      <c r="D52" s="53" t="n"/>
      <c r="E52" s="53" t="n"/>
      <c r="F52" s="73" t="n"/>
      <c r="G52" s="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3">
        <f>IF($C53="","",ROW()-4)</f>
        <v/>
      </c>
      <c r="C53" s="53" t="n"/>
      <c r="D53" s="53" t="n"/>
      <c r="E53" s="53" t="n"/>
      <c r="F53" s="73" t="n"/>
      <c r="G53" s="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3">
        <f>IF($C54="","",ROW()-4)</f>
        <v/>
      </c>
      <c r="C54" s="53" t="n"/>
      <c r="D54" s="53" t="n"/>
      <c r="E54" s="53" t="n"/>
      <c r="F54" s="73" t="n"/>
      <c r="G54" s="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3">
        <f>IF($C55="","",ROW()-4)</f>
        <v/>
      </c>
      <c r="C55" s="53" t="n"/>
      <c r="D55" s="53" t="n"/>
      <c r="E55" s="53" t="n"/>
      <c r="F55" s="73" t="n"/>
      <c r="G55" s="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3">
        <f>IF($C56="","",ROW()-4)</f>
        <v/>
      </c>
      <c r="C56" s="53" t="n"/>
      <c r="D56" s="53" t="n"/>
      <c r="E56" s="53" t="n"/>
      <c r="F56" s="73" t="n"/>
      <c r="G56" s="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3">
        <f>IF($C57="","",ROW()-4)</f>
        <v/>
      </c>
      <c r="C57" s="53" t="n"/>
      <c r="D57" s="53" t="n"/>
      <c r="E57" s="53" t="n"/>
      <c r="F57" s="73" t="n"/>
      <c r="G57" s="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3">
        <f>IF($C58="","",ROW()-4)</f>
        <v/>
      </c>
      <c r="C58" s="53" t="n"/>
      <c r="D58" s="53" t="n"/>
      <c r="E58" s="53" t="n"/>
      <c r="F58" s="73" t="n"/>
      <c r="G58" s="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3">
        <f>IF($C59="","",ROW()-4)</f>
        <v/>
      </c>
      <c r="C59" s="53" t="n"/>
      <c r="D59" s="53" t="n"/>
      <c r="E59" s="53" t="n"/>
      <c r="F59" s="73" t="n"/>
      <c r="G59" s="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3">
        <f>IF($C60="","",ROW()-4)</f>
        <v/>
      </c>
      <c r="C60" s="53" t="n"/>
      <c r="D60" s="53" t="n"/>
      <c r="E60" s="53" t="n"/>
      <c r="F60" s="73" t="n"/>
      <c r="G60" s="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3">
        <f>IF($C61="","",ROW()-4)</f>
        <v/>
      </c>
      <c r="C61" s="53" t="n"/>
      <c r="D61" s="53" t="n"/>
      <c r="E61" s="53" t="n"/>
      <c r="F61" s="73" t="n"/>
      <c r="G61" s="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3">
        <f>IF($C62="","",ROW()-4)</f>
        <v/>
      </c>
      <c r="C62" s="53" t="n"/>
      <c r="D62" s="53" t="n"/>
      <c r="E62" s="53" t="n"/>
      <c r="F62" s="73" t="n"/>
      <c r="G62" s="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3">
        <f>IF($C63="","",ROW()-4)</f>
        <v/>
      </c>
      <c r="C63" s="53" t="n"/>
      <c r="D63" s="53" t="n"/>
      <c r="E63" s="53" t="n"/>
      <c r="F63" s="73" t="n"/>
      <c r="G63" s="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3">
        <f>IF($C64="","",ROW()-4)</f>
        <v/>
      </c>
      <c r="C64" s="53" t="n"/>
      <c r="D64" s="53" t="n"/>
      <c r="E64" s="53" t="n"/>
      <c r="F64" s="73" t="n"/>
      <c r="G64" s="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3">
        <f>IF($C65="","",ROW()-4)</f>
        <v/>
      </c>
      <c r="C65" s="53" t="n"/>
      <c r="D65" s="53" t="n"/>
      <c r="E65" s="53" t="n"/>
      <c r="F65" s="73" t="n"/>
      <c r="G65" s="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3">
        <f>IF($C66="","",ROW()-4)</f>
        <v/>
      </c>
      <c r="C66" s="53" t="n"/>
      <c r="D66" s="53" t="n"/>
      <c r="E66" s="53" t="n"/>
      <c r="F66" s="73" t="n"/>
      <c r="G66" s="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3">
        <f>IF($C67="","",ROW()-4)</f>
        <v/>
      </c>
      <c r="C67" s="53" t="n"/>
      <c r="D67" s="53" t="n"/>
      <c r="E67" s="53" t="n"/>
      <c r="F67" s="73" t="n"/>
      <c r="G67" s="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3">
        <f>IF($C68="","",ROW()-4)</f>
        <v/>
      </c>
      <c r="C68" s="53" t="n"/>
      <c r="D68" s="53" t="n"/>
      <c r="E68" s="53" t="n"/>
      <c r="F68" s="73" t="n"/>
      <c r="G68" s="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3">
        <f>IF($C69="","",ROW()-4)</f>
        <v/>
      </c>
      <c r="C69" s="53" t="n"/>
      <c r="D69" s="53" t="n"/>
      <c r="E69" s="53" t="n"/>
      <c r="F69" s="73" t="n"/>
      <c r="G69" s="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3">
        <f>IF($C70="","",ROW()-4)</f>
        <v/>
      </c>
      <c r="C70" s="53" t="n"/>
      <c r="D70" s="53" t="n"/>
      <c r="E70" s="53" t="n"/>
      <c r="F70" s="73" t="n"/>
      <c r="G70" s="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3">
        <f>IF($C71="","",ROW()-4)</f>
        <v/>
      </c>
      <c r="C71" s="53" t="n"/>
      <c r="D71" s="53" t="n"/>
      <c r="E71" s="53" t="n"/>
      <c r="F71" s="73" t="n"/>
      <c r="G71" s="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3">
        <f>IF($C72="","",ROW()-4)</f>
        <v/>
      </c>
      <c r="C72" s="53" t="n"/>
      <c r="D72" s="53" t="n"/>
      <c r="E72" s="53" t="n"/>
      <c r="F72" s="73" t="n"/>
      <c r="G72" s="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3">
        <f>IF($C73="","",ROW()-4)</f>
        <v/>
      </c>
      <c r="C73" s="53" t="n"/>
      <c r="D73" s="53" t="n"/>
      <c r="E73" s="53" t="n"/>
      <c r="F73" s="73" t="n"/>
      <c r="G73" s="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3">
        <f>IF($C74="","",ROW()-4)</f>
        <v/>
      </c>
      <c r="C74" s="53" t="n"/>
      <c r="D74" s="53" t="n"/>
      <c r="E74" s="53" t="n"/>
      <c r="F74" s="73" t="n"/>
      <c r="G74" s="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3">
        <f>IF($C75="","",ROW()-4)</f>
        <v/>
      </c>
      <c r="C75" s="53" t="n"/>
      <c r="D75" s="53" t="n"/>
      <c r="E75" s="53" t="n"/>
      <c r="F75" s="73" t="n"/>
      <c r="G75" s="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3">
        <f>IF($C76="","",ROW()-4)</f>
        <v/>
      </c>
      <c r="C76" s="53" t="n"/>
      <c r="D76" s="53" t="n"/>
      <c r="E76" s="53" t="n"/>
      <c r="F76" s="73" t="n"/>
      <c r="G76" s="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3">
        <f>IF($C77="","",ROW()-4)</f>
        <v/>
      </c>
      <c r="C77" s="53" t="n"/>
      <c r="D77" s="53" t="n"/>
      <c r="E77" s="53" t="n"/>
      <c r="F77" s="73" t="n"/>
      <c r="G77" s="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3">
        <f>IF($C78="","",ROW()-4)</f>
        <v/>
      </c>
      <c r="C78" s="53" t="n"/>
      <c r="D78" s="53" t="n"/>
      <c r="E78" s="53" t="n"/>
      <c r="F78" s="73" t="n"/>
      <c r="G78" s="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3">
        <f>IF($C79="","",ROW()-4)</f>
        <v/>
      </c>
      <c r="C79" s="53" t="n"/>
      <c r="D79" s="53" t="n"/>
      <c r="E79" s="53" t="n"/>
      <c r="F79" s="73" t="n"/>
      <c r="G79" s="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3">
        <f>IF($C80="","",ROW()-4)</f>
        <v/>
      </c>
      <c r="C80" s="53" t="n"/>
      <c r="D80" s="53" t="n"/>
      <c r="E80" s="53" t="n"/>
      <c r="F80" s="73" t="n"/>
      <c r="G80" s="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3">
        <f>IF($C81="","",ROW()-4)</f>
        <v/>
      </c>
      <c r="C81" s="53" t="n"/>
      <c r="D81" s="53" t="n"/>
      <c r="E81" s="53" t="n"/>
      <c r="F81" s="73" t="n"/>
      <c r="G81" s="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3">
        <f>IF($C82="","",ROW()-4)</f>
        <v/>
      </c>
      <c r="C82" s="53" t="n"/>
      <c r="D82" s="53" t="n"/>
      <c r="E82" s="53" t="n"/>
      <c r="F82" s="73" t="n"/>
      <c r="G82" s="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3">
        <f>IF($C83="","",ROW()-4)</f>
        <v/>
      </c>
      <c r="C83" s="53" t="n"/>
      <c r="D83" s="53" t="n"/>
      <c r="E83" s="53" t="n"/>
      <c r="F83" s="73" t="n"/>
      <c r="G83" s="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3">
        <f>IF($C84="","",ROW()-4)</f>
        <v/>
      </c>
      <c r="C84" s="53" t="n"/>
      <c r="D84" s="53" t="n"/>
      <c r="E84" s="53" t="n"/>
      <c r="F84" s="73" t="n"/>
      <c r="G84" s="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3">
        <f>IF($C85="","",ROW()-4)</f>
        <v/>
      </c>
      <c r="C85" s="53" t="n"/>
      <c r="D85" s="53" t="n"/>
      <c r="E85" s="53" t="n"/>
      <c r="F85" s="73" t="n"/>
      <c r="G85" s="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3">
        <f>IF($C86="","",ROW()-4)</f>
        <v/>
      </c>
      <c r="C86" s="53" t="n"/>
      <c r="D86" s="53" t="n"/>
      <c r="E86" s="53" t="n"/>
      <c r="F86" s="73" t="n"/>
      <c r="G86" s="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3">
        <f>IF($C87="","",ROW()-4)</f>
        <v/>
      </c>
      <c r="C87" s="53" t="n"/>
      <c r="D87" s="53" t="n"/>
      <c r="E87" s="53" t="n"/>
      <c r="F87" s="73" t="n"/>
      <c r="G87" s="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3">
        <f>IF($C88="","",ROW()-4)</f>
        <v/>
      </c>
      <c r="C88" s="53" t="n"/>
      <c r="D88" s="53" t="n"/>
      <c r="E88" s="53" t="n"/>
      <c r="F88" s="73" t="n"/>
      <c r="G88" s="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3">
        <f>IF($C89="","",ROW()-4)</f>
        <v/>
      </c>
      <c r="C89" s="53" t="n"/>
      <c r="D89" s="53" t="n"/>
      <c r="E89" s="53" t="n"/>
      <c r="F89" s="73" t="n"/>
      <c r="G89" s="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3">
        <f>IF($C90="","",ROW()-4)</f>
        <v/>
      </c>
      <c r="C90" s="53" t="n"/>
      <c r="D90" s="53" t="n"/>
      <c r="E90" s="53" t="n"/>
      <c r="F90" s="73" t="n"/>
      <c r="G90" s="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3">
        <f>IF($C91="","",ROW()-4)</f>
        <v/>
      </c>
      <c r="C91" s="53" t="n"/>
      <c r="D91" s="53" t="n"/>
      <c r="E91" s="53" t="n"/>
      <c r="F91" s="73" t="n"/>
      <c r="G91" s="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3">
        <f>IF($C92="","",ROW()-4)</f>
        <v/>
      </c>
      <c r="C92" s="53" t="n"/>
      <c r="D92" s="53" t="n"/>
      <c r="E92" s="53" t="n"/>
      <c r="F92" s="73" t="n"/>
      <c r="G92" s="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3">
        <f>IF($C93="","",ROW()-4)</f>
        <v/>
      </c>
      <c r="C93" s="53" t="n"/>
      <c r="D93" s="53" t="n"/>
      <c r="E93" s="53" t="n"/>
      <c r="F93" s="73" t="n"/>
      <c r="G93" s="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3">
        <f>IF($C94="","",ROW()-4)</f>
        <v/>
      </c>
      <c r="C94" s="53" t="n"/>
      <c r="D94" s="53" t="n"/>
      <c r="E94" s="53" t="n"/>
      <c r="F94" s="73" t="n"/>
      <c r="G94" s="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3">
        <f>IF($C95="","",ROW()-4)</f>
        <v/>
      </c>
      <c r="C95" s="53" t="n"/>
      <c r="D95" s="53" t="n"/>
      <c r="E95" s="53" t="n"/>
      <c r="F95" s="73" t="n"/>
      <c r="G95" s="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3">
        <f>IF($C96="","",ROW()-4)</f>
        <v/>
      </c>
      <c r="C96" s="53" t="n"/>
      <c r="D96" s="53" t="n"/>
      <c r="E96" s="53" t="n"/>
      <c r="F96" s="73" t="n"/>
      <c r="G96" s="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3">
        <f>IF($C97="","",ROW()-4)</f>
        <v/>
      </c>
      <c r="C97" s="53" t="n"/>
      <c r="D97" s="53" t="n"/>
      <c r="E97" s="53" t="n"/>
      <c r="F97" s="73" t="n"/>
      <c r="G97" s="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3">
        <f>IF($C98="","",ROW()-4)</f>
        <v/>
      </c>
      <c r="C98" s="53" t="n"/>
      <c r="D98" s="53" t="n"/>
      <c r="E98" s="53" t="n"/>
      <c r="F98" s="73" t="n"/>
      <c r="G98" s="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3">
        <f>IF($C99="","",ROW()-4)</f>
        <v/>
      </c>
      <c r="C99" s="53" t="n"/>
      <c r="D99" s="53" t="n"/>
      <c r="E99" s="53" t="n"/>
      <c r="F99" s="73" t="n"/>
      <c r="G99" s="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3">
        <f>IF($C100="","",ROW()-4)</f>
        <v/>
      </c>
      <c r="C100" s="53" t="n"/>
      <c r="D100" s="53" t="n"/>
      <c r="E100" s="53" t="n"/>
      <c r="F100" s="73" t="n"/>
      <c r="G100" s="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3">
        <f>IF($C101="","",ROW()-4)</f>
        <v/>
      </c>
      <c r="C101" s="53" t="n"/>
      <c r="D101" s="53" t="n"/>
      <c r="E101" s="53" t="n"/>
      <c r="F101" s="73" t="n"/>
      <c r="G101" s="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3">
        <f>IF($C102="","",ROW()-4)</f>
        <v/>
      </c>
      <c r="C102" s="53" t="n"/>
      <c r="D102" s="53" t="n"/>
      <c r="E102" s="53" t="n"/>
      <c r="F102" s="73" t="n"/>
      <c r="G102" s="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3">
        <f>IF($C103="","",ROW()-4)</f>
        <v/>
      </c>
      <c r="C103" s="53" t="n"/>
      <c r="D103" s="53" t="n"/>
      <c r="E103" s="53" t="n"/>
      <c r="F103" s="73" t="n"/>
      <c r="G103" s="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3">
        <f>IF($C104="","",ROW()-4)</f>
        <v/>
      </c>
      <c r="C104" s="53" t="n"/>
      <c r="D104" s="53" t="n"/>
      <c r="E104" s="53" t="n"/>
      <c r="F104" s="73" t="n"/>
      <c r="G104" s="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3">
        <f>IF($C105="","",ROW()-4)</f>
        <v/>
      </c>
      <c r="C105" s="53" t="n"/>
      <c r="D105" s="53" t="n"/>
      <c r="E105" s="53" t="n"/>
      <c r="F105" s="73" t="n"/>
      <c r="G105" s="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3">
        <f>IF($C106="","",ROW()-4)</f>
        <v/>
      </c>
      <c r="C106" s="53" t="n"/>
      <c r="D106" s="53" t="n"/>
      <c r="E106" s="53" t="n"/>
      <c r="F106" s="73" t="n"/>
      <c r="G106" s="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3">
        <f>IF($C107="","",ROW()-4)</f>
        <v/>
      </c>
      <c r="C107" s="53" t="n"/>
      <c r="D107" s="53" t="n"/>
      <c r="E107" s="53" t="n"/>
      <c r="F107" s="73" t="n"/>
      <c r="G107" s="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3">
        <f>IF($C108="","",ROW()-4)</f>
        <v/>
      </c>
      <c r="C108" s="53" t="n"/>
      <c r="D108" s="53" t="n"/>
      <c r="E108" s="53" t="n"/>
      <c r="F108" s="73" t="n"/>
      <c r="G108" s="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3">
        <f>IF($C109="","",ROW()-4)</f>
        <v/>
      </c>
      <c r="C109" s="53" t="n"/>
      <c r="D109" s="53" t="n"/>
      <c r="E109" s="53" t="n"/>
      <c r="F109" s="73" t="n"/>
      <c r="G109" s="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3">
        <f>IF($C110="","",ROW()-4)</f>
        <v/>
      </c>
      <c r="C110" s="53" t="n"/>
      <c r="D110" s="53" t="n"/>
      <c r="E110" s="53" t="n"/>
      <c r="F110" s="73" t="n"/>
      <c r="G110" s="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3">
        <f>IF($C111="","",ROW()-4)</f>
        <v/>
      </c>
      <c r="C111" s="53" t="n"/>
      <c r="D111" s="53" t="n"/>
      <c r="E111" s="53" t="n"/>
      <c r="F111" s="73" t="n"/>
      <c r="G111" s="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3">
        <f>IF($C112="","",ROW()-4)</f>
        <v/>
      </c>
      <c r="C112" s="53" t="n"/>
      <c r="D112" s="53" t="n"/>
      <c r="E112" s="53" t="n"/>
      <c r="F112" s="73" t="n"/>
      <c r="G112" s="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3">
        <f>IF($C113="","",ROW()-4)</f>
        <v/>
      </c>
      <c r="C113" s="53" t="n"/>
      <c r="D113" s="53" t="n"/>
      <c r="E113" s="53" t="n"/>
      <c r="F113" s="73" t="n"/>
      <c r="G113" s="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3">
        <f>IF($C114="","",ROW()-4)</f>
        <v/>
      </c>
      <c r="C114" s="53" t="n"/>
      <c r="D114" s="53" t="n"/>
      <c r="E114" s="53" t="n"/>
      <c r="F114" s="73" t="n"/>
      <c r="G114" s="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3">
        <f>IF($C115="","",ROW()-4)</f>
        <v/>
      </c>
      <c r="C115" s="53" t="n"/>
      <c r="D115" s="53" t="n"/>
      <c r="E115" s="53" t="n"/>
      <c r="F115" s="73" t="n"/>
      <c r="G115" s="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3">
        <f>IF($C116="","",ROW()-4)</f>
        <v/>
      </c>
      <c r="C116" s="53" t="n"/>
      <c r="D116" s="53" t="n"/>
      <c r="E116" s="53" t="n"/>
      <c r="F116" s="73" t="n"/>
      <c r="G116" s="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3">
        <f>IF($C117="","",ROW()-4)</f>
        <v/>
      </c>
      <c r="C117" s="53" t="n"/>
      <c r="D117" s="53" t="n"/>
      <c r="E117" s="53" t="n"/>
      <c r="F117" s="73" t="n"/>
      <c r="G117" s="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3">
        <f>IF($C118="","",ROW()-4)</f>
        <v/>
      </c>
      <c r="C118" s="53" t="n"/>
      <c r="D118" s="53" t="n"/>
      <c r="E118" s="53" t="n"/>
      <c r="F118" s="73" t="n"/>
      <c r="G118" s="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3">
        <f>IF($C119="","",ROW()-4)</f>
        <v/>
      </c>
      <c r="C119" s="53" t="n"/>
      <c r="D119" s="53" t="n"/>
      <c r="E119" s="53" t="n"/>
      <c r="F119" s="73" t="n"/>
      <c r="G119" s="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3">
        <f>IF($C120="","",ROW()-4)</f>
        <v/>
      </c>
      <c r="C120" s="53" t="n"/>
      <c r="D120" s="53" t="n"/>
      <c r="E120" s="53" t="n"/>
      <c r="F120" s="73" t="n"/>
      <c r="G120" s="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3">
        <f>IF($C121="","",ROW()-4)</f>
        <v/>
      </c>
      <c r="C121" s="53" t="n"/>
      <c r="D121" s="53" t="n"/>
      <c r="E121" s="53" t="n"/>
      <c r="F121" s="73" t="n"/>
      <c r="G121" s="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3">
        <f>IF($C122="","",ROW()-4)</f>
        <v/>
      </c>
      <c r="C122" s="53" t="n"/>
      <c r="D122" s="53" t="n"/>
      <c r="E122" s="53" t="n"/>
      <c r="F122" s="73" t="n"/>
      <c r="G122" s="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3">
        <f>IF($C123="","",ROW()-4)</f>
        <v/>
      </c>
      <c r="C123" s="53" t="n"/>
      <c r="D123" s="53" t="n"/>
      <c r="E123" s="53" t="n"/>
      <c r="F123" s="73" t="n"/>
      <c r="G123" s="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3">
        <f>IF($C124="","",ROW()-4)</f>
        <v/>
      </c>
      <c r="C124" s="53" t="n"/>
      <c r="D124" s="53" t="n"/>
      <c r="E124" s="53" t="n"/>
      <c r="F124" s="73" t="n"/>
      <c r="G124" s="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3">
        <f>IF($C125="","",ROW()-4)</f>
        <v/>
      </c>
      <c r="C125" s="53" t="n"/>
      <c r="D125" s="53" t="n"/>
      <c r="E125" s="53" t="n"/>
      <c r="F125" s="73" t="n"/>
      <c r="G125" s="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3">
        <f>IF($C126="","",ROW()-4)</f>
        <v/>
      </c>
      <c r="C126" s="53" t="n"/>
      <c r="D126" s="53" t="n"/>
      <c r="E126" s="53" t="n"/>
      <c r="F126" s="73" t="n"/>
      <c r="G126" s="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3">
        <f>IF($C127="","",ROW()-4)</f>
        <v/>
      </c>
      <c r="C127" s="53" t="n"/>
      <c r="D127" s="53" t="n"/>
      <c r="E127" s="53" t="n"/>
      <c r="F127" s="73" t="n"/>
      <c r="G127" s="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3">
        <f>IF($C128="","",ROW()-4)</f>
        <v/>
      </c>
      <c r="C128" s="53" t="n"/>
      <c r="D128" s="53" t="n"/>
      <c r="E128" s="53" t="n"/>
      <c r="F128" s="73" t="n"/>
      <c r="G128" s="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3">
        <f>IF($C129="","",ROW()-4)</f>
        <v/>
      </c>
      <c r="C129" s="53" t="n"/>
      <c r="D129" s="53" t="n"/>
      <c r="E129" s="53" t="n"/>
      <c r="F129" s="73" t="n"/>
      <c r="G129" s="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3">
        <f>IF($C130="","",ROW()-4)</f>
        <v/>
      </c>
      <c r="C130" s="53" t="n"/>
      <c r="D130" s="53" t="n"/>
      <c r="E130" s="53" t="n"/>
      <c r="F130" s="73" t="n"/>
      <c r="G130" s="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3">
        <f>IF($C131="","",ROW()-4)</f>
        <v/>
      </c>
      <c r="C131" s="53" t="n"/>
      <c r="D131" s="53" t="n"/>
      <c r="E131" s="53" t="n"/>
      <c r="F131" s="73" t="n"/>
      <c r="G131" s="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3">
        <f>IF($C132="","",ROW()-4)</f>
        <v/>
      </c>
      <c r="C132" s="53" t="n"/>
      <c r="D132" s="53" t="n"/>
      <c r="E132" s="53" t="n"/>
      <c r="F132" s="73" t="n"/>
      <c r="G132" s="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3">
        <f>IF($C133="","",ROW()-4)</f>
        <v/>
      </c>
      <c r="C133" s="53" t="n"/>
      <c r="D133" s="53" t="n"/>
      <c r="E133" s="53" t="n"/>
      <c r="F133" s="73" t="n"/>
      <c r="G133" s="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3">
        <f>IF($C134="","",ROW()-4)</f>
        <v/>
      </c>
      <c r="C134" s="53" t="n"/>
      <c r="D134" s="53" t="n"/>
      <c r="E134" s="53" t="n"/>
      <c r="F134" s="73" t="n"/>
      <c r="G134" s="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3">
        <f>IF($C135="","",ROW()-4)</f>
        <v/>
      </c>
      <c r="C135" s="53" t="n"/>
      <c r="D135" s="53" t="n"/>
      <c r="E135" s="53" t="n"/>
      <c r="F135" s="73" t="n"/>
      <c r="G135" s="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3">
        <f>IF($C136="","",ROW()-4)</f>
        <v/>
      </c>
      <c r="C136" s="53" t="n"/>
      <c r="D136" s="53" t="n"/>
      <c r="E136" s="53" t="n"/>
      <c r="F136" s="73" t="n"/>
      <c r="G136" s="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3">
        <f>IF($C137="","",ROW()-4)</f>
        <v/>
      </c>
      <c r="C137" s="53" t="n"/>
      <c r="D137" s="53" t="n"/>
      <c r="E137" s="53" t="n"/>
      <c r="F137" s="73" t="n"/>
      <c r="G137" s="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3">
        <f>IF($C138="","",ROW()-4)</f>
        <v/>
      </c>
      <c r="C138" s="53" t="n"/>
      <c r="D138" s="53" t="n"/>
      <c r="E138" s="53" t="n"/>
      <c r="F138" s="73" t="n"/>
      <c r="G138" s="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3">
        <f>IF($C139="","",ROW()-4)</f>
        <v/>
      </c>
      <c r="C139" s="53" t="n"/>
      <c r="D139" s="53" t="n"/>
      <c r="E139" s="53" t="n"/>
      <c r="F139" s="73" t="n"/>
      <c r="G139" s="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3">
        <f>IF($C140="","",ROW()-4)</f>
        <v/>
      </c>
      <c r="C140" s="53" t="n"/>
      <c r="D140" s="53" t="n"/>
      <c r="E140" s="53" t="n"/>
      <c r="F140" s="73" t="n"/>
      <c r="G140" s="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3">
        <f>IF($C141="","",ROW()-4)</f>
        <v/>
      </c>
      <c r="C141" s="53" t="n"/>
      <c r="D141" s="53" t="n"/>
      <c r="E141" s="53" t="n"/>
      <c r="F141" s="73" t="n"/>
      <c r="G141" s="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3">
        <f>IF($C142="","",ROW()-4)</f>
        <v/>
      </c>
      <c r="C142" s="53" t="n"/>
      <c r="D142" s="53" t="n"/>
      <c r="E142" s="53" t="n"/>
      <c r="F142" s="73" t="n"/>
      <c r="G142" s="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3">
        <f>IF($C143="","",ROW()-4)</f>
        <v/>
      </c>
      <c r="C143" s="53" t="n"/>
      <c r="D143" s="53" t="n"/>
      <c r="E143" s="53" t="n"/>
      <c r="F143" s="73" t="n"/>
      <c r="G143" s="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3">
        <f>IF($C144="","",ROW()-4)</f>
        <v/>
      </c>
      <c r="C144" s="53" t="n"/>
      <c r="D144" s="53" t="n"/>
      <c r="E144" s="53" t="n"/>
      <c r="F144" s="73" t="n"/>
      <c r="G144" s="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3">
        <f>IF($C145="","",ROW()-4)</f>
        <v/>
      </c>
      <c r="C145" s="53" t="n"/>
      <c r="D145" s="53" t="n"/>
      <c r="E145" s="53" t="n"/>
      <c r="F145" s="73" t="n"/>
      <c r="G145" s="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3">
        <f>IF($C146="","",ROW()-4)</f>
        <v/>
      </c>
      <c r="C146" s="53" t="n"/>
      <c r="D146" s="53" t="n"/>
      <c r="E146" s="53" t="n"/>
      <c r="F146" s="73" t="n"/>
      <c r="G146" s="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3">
        <f>IF($C147="","",ROW()-4)</f>
        <v/>
      </c>
      <c r="C147" s="53" t="n"/>
      <c r="D147" s="53" t="n"/>
      <c r="E147" s="53" t="n"/>
      <c r="F147" s="73" t="n"/>
      <c r="G147" s="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3">
        <f>IF($C148="","",ROW()-4)</f>
        <v/>
      </c>
      <c r="C148" s="53" t="n"/>
      <c r="D148" s="53" t="n"/>
      <c r="E148" s="53" t="n"/>
      <c r="F148" s="73" t="n"/>
      <c r="G148" s="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3">
        <f>IF($C149="","",ROW()-4)</f>
        <v/>
      </c>
      <c r="C149" s="53" t="n"/>
      <c r="D149" s="53" t="n"/>
      <c r="E149" s="53" t="n"/>
      <c r="F149" s="73" t="n"/>
      <c r="G149" s="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3">
        <f>IF($C150="","",ROW()-4)</f>
        <v/>
      </c>
      <c r="C150" s="53" t="n"/>
      <c r="D150" s="53" t="n"/>
      <c r="E150" s="53" t="n"/>
      <c r="F150" s="73" t="n"/>
      <c r="G150" s="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3">
        <f>IF($C151="","",ROW()-4)</f>
        <v/>
      </c>
      <c r="C151" s="53" t="n"/>
      <c r="D151" s="53" t="n"/>
      <c r="E151" s="53" t="n"/>
      <c r="F151" s="73" t="n"/>
      <c r="G151" s="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3">
        <f>IF($C152="","",ROW()-4)</f>
        <v/>
      </c>
      <c r="C152" s="53" t="n"/>
      <c r="D152" s="53" t="n"/>
      <c r="E152" s="53" t="n"/>
      <c r="F152" s="73" t="n"/>
      <c r="G152" s="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3">
        <f>IF($C153="","",ROW()-4)</f>
        <v/>
      </c>
      <c r="C153" s="53" t="n"/>
      <c r="D153" s="53" t="n"/>
      <c r="E153" s="53" t="n"/>
      <c r="F153" s="73" t="n"/>
      <c r="G153" s="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3">
        <f>IF($C154="","",ROW()-4)</f>
        <v/>
      </c>
      <c r="C154" s="53" t="n"/>
      <c r="D154" s="53" t="n"/>
      <c r="E154" s="53" t="n"/>
      <c r="F154" s="73" t="n"/>
      <c r="G154" s="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3">
        <f>IF($C155="","",ROW()-4)</f>
        <v/>
      </c>
      <c r="C155" s="53" t="n"/>
      <c r="D155" s="53" t="n"/>
      <c r="E155" s="53" t="n"/>
      <c r="F155" s="73" t="n"/>
      <c r="G155" s="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3">
        <f>IF($C156="","",ROW()-4)</f>
        <v/>
      </c>
      <c r="C156" s="53" t="n"/>
      <c r="D156" s="53" t="n"/>
      <c r="E156" s="53" t="n"/>
      <c r="F156" s="73" t="n"/>
      <c r="G156" s="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3">
        <f>IF($C157="","",ROW()-4)</f>
        <v/>
      </c>
      <c r="C157" s="53" t="n"/>
      <c r="D157" s="53" t="n"/>
      <c r="E157" s="53" t="n"/>
      <c r="F157" s="73" t="n"/>
      <c r="G157" s="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3">
        <f>IF($C158="","",ROW()-4)</f>
        <v/>
      </c>
      <c r="C158" s="53" t="n"/>
      <c r="D158" s="53" t="n"/>
      <c r="E158" s="53" t="n"/>
      <c r="F158" s="73" t="n"/>
      <c r="G158" s="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3">
        <f>IF($C159="","",ROW()-4)</f>
        <v/>
      </c>
      <c r="C159" s="53" t="n"/>
      <c r="D159" s="53" t="n"/>
      <c r="E159" s="53" t="n"/>
      <c r="F159" s="73" t="n"/>
      <c r="G159" s="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3">
        <f>IF($C160="","",ROW()-4)</f>
        <v/>
      </c>
      <c r="C160" s="53" t="n"/>
      <c r="D160" s="53" t="n"/>
      <c r="E160" s="53" t="n"/>
      <c r="F160" s="73" t="n"/>
      <c r="G160" s="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3">
        <f>IF($C161="","",ROW()-4)</f>
        <v/>
      </c>
      <c r="C161" s="53" t="n"/>
      <c r="D161" s="53" t="n"/>
      <c r="E161" s="53" t="n"/>
      <c r="F161" s="73" t="n"/>
      <c r="G161" s="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3">
        <f>IF($C162="","",ROW()-4)</f>
        <v/>
      </c>
      <c r="C162" s="53" t="n"/>
      <c r="D162" s="53" t="n"/>
      <c r="E162" s="53" t="n"/>
      <c r="F162" s="73" t="n"/>
      <c r="G162" s="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3">
        <f>IF($C163="","",ROW()-4)</f>
        <v/>
      </c>
      <c r="C163" s="53" t="n"/>
      <c r="D163" s="53" t="n"/>
      <c r="E163" s="53" t="n"/>
      <c r="F163" s="73" t="n"/>
      <c r="G163" s="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3">
        <f>IF($C164="","",ROW()-4)</f>
        <v/>
      </c>
      <c r="C164" s="53" t="n"/>
      <c r="D164" s="53" t="n"/>
      <c r="E164" s="53" t="n"/>
      <c r="F164" s="73" t="n"/>
      <c r="G164" s="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3">
        <f>IF($C165="","",ROW()-4)</f>
        <v/>
      </c>
      <c r="C165" s="53" t="n"/>
      <c r="D165" s="53" t="n"/>
      <c r="E165" s="53" t="n"/>
      <c r="F165" s="73" t="n"/>
      <c r="G165" s="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3">
        <f>IF($C166="","",ROW()-4)</f>
        <v/>
      </c>
      <c r="C166" s="53" t="n"/>
      <c r="D166" s="53" t="n"/>
      <c r="E166" s="53" t="n"/>
      <c r="F166" s="73" t="n"/>
      <c r="G166" s="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3">
        <f>IF($C167="","",ROW()-4)</f>
        <v/>
      </c>
      <c r="C167" s="53" t="n"/>
      <c r="D167" s="53" t="n"/>
      <c r="E167" s="53" t="n"/>
      <c r="F167" s="73" t="n"/>
      <c r="G167" s="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3">
        <f>IF($C168="","",ROW()-4)</f>
        <v/>
      </c>
      <c r="C168" s="53" t="n"/>
      <c r="D168" s="53" t="n"/>
      <c r="E168" s="53" t="n"/>
      <c r="F168" s="73" t="n"/>
      <c r="G168" s="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3">
        <f>IF($C169="","",ROW()-4)</f>
        <v/>
      </c>
      <c r="C169" s="53" t="n"/>
      <c r="D169" s="53" t="n"/>
      <c r="E169" s="53" t="n"/>
      <c r="F169" s="73" t="n"/>
      <c r="G169" s="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3">
        <f>IF($C170="","",ROW()-4)</f>
        <v/>
      </c>
      <c r="C170" s="53" t="n"/>
      <c r="D170" s="53" t="n"/>
      <c r="E170" s="53" t="n"/>
      <c r="F170" s="73" t="n"/>
      <c r="G170" s="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3">
        <f>IF($C171="","",ROW()-4)</f>
        <v/>
      </c>
      <c r="C171" s="53" t="n"/>
      <c r="D171" s="53" t="n"/>
      <c r="E171" s="53" t="n"/>
      <c r="F171" s="73" t="n"/>
      <c r="G171" s="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3">
        <f>IF($C172="","",ROW()-4)</f>
        <v/>
      </c>
      <c r="C172" s="53" t="n"/>
      <c r="D172" s="53" t="n"/>
      <c r="E172" s="53" t="n"/>
      <c r="F172" s="73" t="n"/>
      <c r="G172" s="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3">
        <f>IF($C173="","",ROW()-4)</f>
        <v/>
      </c>
      <c r="C173" s="53" t="n"/>
      <c r="D173" s="53" t="n"/>
      <c r="E173" s="53" t="n"/>
      <c r="F173" s="73" t="n"/>
      <c r="G173" s="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3">
        <f>IF($C174="","",ROW()-4)</f>
        <v/>
      </c>
      <c r="C174" s="53" t="n"/>
      <c r="D174" s="53" t="n"/>
      <c r="E174" s="53" t="n"/>
      <c r="F174" s="73" t="n"/>
      <c r="G174" s="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3">
        <f>IF($C175="","",ROW()-4)</f>
        <v/>
      </c>
      <c r="C175" s="53" t="n"/>
      <c r="D175" s="53" t="n"/>
      <c r="E175" s="53" t="n"/>
      <c r="F175" s="73" t="n"/>
      <c r="G175" s="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3">
        <f>IF($C176="","",ROW()-4)</f>
        <v/>
      </c>
      <c r="C176" s="53" t="n"/>
      <c r="D176" s="53" t="n"/>
      <c r="E176" s="53" t="n"/>
      <c r="F176" s="73" t="n"/>
      <c r="G176" s="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3">
        <f>IF($C177="","",ROW()-4)</f>
        <v/>
      </c>
      <c r="C177" s="53" t="n"/>
      <c r="D177" s="53" t="n"/>
      <c r="E177" s="53" t="n"/>
      <c r="F177" s="73" t="n"/>
      <c r="G177" s="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3">
        <f>IF($C178="","",ROW()-4)</f>
        <v/>
      </c>
      <c r="C178" s="53" t="n"/>
      <c r="D178" s="53" t="n"/>
      <c r="E178" s="53" t="n"/>
      <c r="F178" s="73" t="n"/>
      <c r="G178" s="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3">
        <f>IF($C179="","",ROW()-4)</f>
        <v/>
      </c>
      <c r="C179" s="53" t="n"/>
      <c r="D179" s="53" t="n"/>
      <c r="E179" s="53" t="n"/>
      <c r="F179" s="73" t="n"/>
      <c r="G179" s="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3">
        <f>IF($C180="","",ROW()-4)</f>
        <v/>
      </c>
      <c r="C180" s="53" t="n"/>
      <c r="D180" s="53" t="n"/>
      <c r="E180" s="53" t="n"/>
      <c r="F180" s="73" t="n"/>
      <c r="G180" s="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3">
        <f>IF($C181="","",ROW()-4)</f>
        <v/>
      </c>
      <c r="C181" s="53" t="n"/>
      <c r="D181" s="53" t="n"/>
      <c r="E181" s="53" t="n"/>
      <c r="F181" s="73" t="n"/>
      <c r="G181" s="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3">
        <f>IF($C182="","",ROW()-4)</f>
        <v/>
      </c>
      <c r="C182" s="53" t="n"/>
      <c r="D182" s="53" t="n"/>
      <c r="E182" s="53" t="n"/>
      <c r="F182" s="73" t="n"/>
      <c r="G182" s="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3">
        <f>IF($C183="","",ROW()-4)</f>
        <v/>
      </c>
      <c r="C183" s="53" t="n"/>
      <c r="D183" s="53" t="n"/>
      <c r="E183" s="53" t="n"/>
      <c r="F183" s="73" t="n"/>
      <c r="G183" s="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3">
        <f>IF($C184="","",ROW()-4)</f>
        <v/>
      </c>
      <c r="C184" s="53" t="n"/>
      <c r="D184" s="53" t="n"/>
      <c r="E184" s="53" t="n"/>
      <c r="F184" s="73" t="n"/>
      <c r="G184" s="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3">
        <f>IF($C185="","",ROW()-4)</f>
        <v/>
      </c>
      <c r="C185" s="53" t="n"/>
      <c r="D185" s="53" t="n"/>
      <c r="E185" s="53" t="n"/>
      <c r="F185" s="73" t="n"/>
      <c r="G185" s="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3">
        <f>IF($C186="","",ROW()-4)</f>
        <v/>
      </c>
      <c r="C186" s="53" t="n"/>
      <c r="D186" s="53" t="n"/>
      <c r="E186" s="53" t="n"/>
      <c r="F186" s="73" t="n"/>
      <c r="G186" s="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3">
        <f>IF($C187="","",ROW()-4)</f>
        <v/>
      </c>
      <c r="C187" s="53" t="n"/>
      <c r="D187" s="53" t="n"/>
      <c r="E187" s="53" t="n"/>
      <c r="F187" s="73" t="n"/>
      <c r="G187" s="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3">
        <f>IF($C188="","",ROW()-4)</f>
        <v/>
      </c>
      <c r="C188" s="53" t="n"/>
      <c r="D188" s="53" t="n"/>
      <c r="E188" s="53" t="n"/>
      <c r="F188" s="73" t="n"/>
      <c r="G188" s="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3">
        <f>IF($C189="","",ROW()-4)</f>
        <v/>
      </c>
      <c r="C189" s="53" t="n"/>
      <c r="D189" s="53" t="n"/>
      <c r="E189" s="53" t="n"/>
      <c r="F189" s="73" t="n"/>
      <c r="G189" s="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3">
        <f>IF($C190="","",ROW()-4)</f>
        <v/>
      </c>
      <c r="C190" s="53" t="n"/>
      <c r="D190" s="53" t="n"/>
      <c r="E190" s="53" t="n"/>
      <c r="F190" s="73" t="n"/>
      <c r="G190" s="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3">
        <f>IF($C191="","",ROW()-4)</f>
        <v/>
      </c>
      <c r="C191" s="53" t="n"/>
      <c r="D191" s="53" t="n"/>
      <c r="E191" s="53" t="n"/>
      <c r="F191" s="73" t="n"/>
      <c r="G191" s="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3">
        <f>IF($C192="","",ROW()-4)</f>
        <v/>
      </c>
      <c r="C192" s="53" t="n"/>
      <c r="D192" s="53" t="n"/>
      <c r="E192" s="53" t="n"/>
      <c r="F192" s="73" t="n"/>
      <c r="G192" s="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3">
        <f>IF($C193="","",ROW()-4)</f>
        <v/>
      </c>
      <c r="C193" s="53" t="n"/>
      <c r="D193" s="53" t="n"/>
      <c r="E193" s="53" t="n"/>
      <c r="F193" s="73" t="n"/>
      <c r="G193" s="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3">
        <f>IF($C194="","",ROW()-4)</f>
        <v/>
      </c>
      <c r="C194" s="53" t="n"/>
      <c r="D194" s="53" t="n"/>
      <c r="E194" s="53" t="n"/>
      <c r="F194" s="73" t="n"/>
      <c r="G194" s="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3">
        <f>IF($C195="","",ROW()-4)</f>
        <v/>
      </c>
      <c r="C195" s="53" t="n"/>
      <c r="D195" s="53" t="n"/>
      <c r="E195" s="53" t="n"/>
      <c r="F195" s="73" t="n"/>
      <c r="G195" s="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3">
        <f>IF($C196="","",ROW()-4)</f>
        <v/>
      </c>
      <c r="C196" s="53" t="n"/>
      <c r="D196" s="53" t="n"/>
      <c r="E196" s="53" t="n"/>
      <c r="F196" s="73" t="n"/>
      <c r="G196" s="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3">
        <f>IF($C197="","",ROW()-4)</f>
        <v/>
      </c>
      <c r="C197" s="53" t="n"/>
      <c r="D197" s="53" t="n"/>
      <c r="E197" s="53" t="n"/>
      <c r="F197" s="73" t="n"/>
      <c r="G197" s="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3">
        <f>IF($C198="","",ROW()-4)</f>
        <v/>
      </c>
      <c r="C198" s="53" t="n"/>
      <c r="D198" s="53" t="n"/>
      <c r="E198" s="53" t="n"/>
      <c r="F198" s="73" t="n"/>
      <c r="G198" s="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3">
        <f>IF($C199="","",ROW()-4)</f>
        <v/>
      </c>
      <c r="C199" s="53" t="n"/>
      <c r="D199" s="53" t="n"/>
      <c r="E199" s="53" t="n"/>
      <c r="F199" s="73" t="n"/>
      <c r="G199" s="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3">
        <f>IF($C200="","",ROW()-4)</f>
        <v/>
      </c>
      <c r="C200" s="53" t="n"/>
      <c r="D200" s="53" t="n"/>
      <c r="E200" s="53" t="n"/>
      <c r="F200" s="73" t="n"/>
      <c r="G200" s="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3">
        <f>IF($C201="","",ROW()-4)</f>
        <v/>
      </c>
      <c r="C201" s="53" t="n"/>
      <c r="D201" s="53" t="n"/>
      <c r="E201" s="53" t="n"/>
      <c r="F201" s="73" t="n"/>
      <c r="G201" s="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3">
        <f>IF($C202="","",ROW()-4)</f>
        <v/>
      </c>
      <c r="C202" s="53" t="n"/>
      <c r="D202" s="53" t="n"/>
      <c r="E202" s="53" t="n"/>
      <c r="F202" s="73" t="n"/>
      <c r="G202" s="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3">
        <f>IF($C203="","",ROW()-4)</f>
        <v/>
      </c>
      <c r="C203" s="53" t="n"/>
      <c r="D203" s="53" t="n"/>
      <c r="E203" s="53" t="n"/>
      <c r="F203" s="73" t="n"/>
      <c r="G203" s="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3">
        <f>IF($C204="","",ROW()-4)</f>
        <v/>
      </c>
      <c r="C204" s="53" t="n"/>
      <c r="D204" s="53" t="n"/>
      <c r="E204" s="53" t="n"/>
      <c r="F204" s="73" t="n"/>
      <c r="G204" s="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4.2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4.2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4.2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4.2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4.2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4.2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4.2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4.2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4.2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4.2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4.2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4.2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4.2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4.2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4.2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4.2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4.2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4.2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4.2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4.2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4.2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4.2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4.2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4.2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4.2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4.2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4.2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4.2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4.2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4.2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4.2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4.2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4.2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4.2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4.2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4.2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4.2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4.2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4.2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4.2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4.2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4.2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4.2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4.2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4.2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4.2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4.2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4.2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4.2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4.2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4.2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4.2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4.2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4.2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4.2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4.2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4.2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4.2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4.2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4.2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4.2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2026-08-26T21:11:12Z</dcterms:created>
  <dcterms:modified xsi:type="dcterms:W3CDTF">2026-09-21T07:12:38Z</dcterms:modified>
</cp:coreProperties>
</file>